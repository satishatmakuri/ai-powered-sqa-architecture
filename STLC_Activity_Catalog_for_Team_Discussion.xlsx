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pace\AI Powered QA\AI Powered Software Quality Architecture - Multi-Layer AI Agent System platform\"/>
    </mc:Choice>
  </mc:AlternateContent>
  <xr:revisionPtr revIDLastSave="0" documentId="13_ncr:1_{08810961-BA1F-4F3E-926B-9BA1441DAAC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ummary" sheetId="2" r:id="rId1"/>
    <sheet name="Activity Catalog" sheetId="1" r:id="rId2"/>
  </sheets>
  <definedNames>
    <definedName name="_xlnm._FilterDatabase" localSheetId="1" hidden="1">'Activity Catalog'!$A$1:$L$51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E11" i="2"/>
  <c r="H11" i="2" s="1"/>
  <c r="D11" i="2"/>
  <c r="F10" i="2"/>
  <c r="E10" i="2"/>
  <c r="H10" i="2" s="1"/>
  <c r="D10" i="2"/>
  <c r="F9" i="2"/>
  <c r="E9" i="2"/>
  <c r="H9" i="2" s="1"/>
  <c r="D9" i="2"/>
  <c r="F8" i="2"/>
  <c r="E8" i="2"/>
  <c r="H8" i="2" s="1"/>
  <c r="D8" i="2"/>
  <c r="F7" i="2"/>
  <c r="E7" i="2"/>
  <c r="H7" i="2" s="1"/>
  <c r="D7" i="2"/>
  <c r="F6" i="2"/>
  <c r="E6" i="2"/>
  <c r="H6" i="2" s="1"/>
  <c r="D6" i="2"/>
  <c r="F5" i="2"/>
  <c r="E5" i="2"/>
  <c r="H5" i="2" s="1"/>
  <c r="D5" i="2"/>
  <c r="F4" i="2"/>
  <c r="E4" i="2"/>
  <c r="H4" i="2" s="1"/>
  <c r="D4" i="2"/>
  <c r="F3" i="2"/>
  <c r="E3" i="2"/>
  <c r="H3" i="2" s="1"/>
  <c r="D3" i="2"/>
  <c r="F2" i="2"/>
  <c r="F12" i="2" s="1"/>
  <c r="E2" i="2"/>
  <c r="H2" i="2" s="1"/>
  <c r="D2" i="2"/>
  <c r="D12" i="2" s="1"/>
  <c r="G3" i="2" l="1"/>
  <c r="G8" i="2"/>
  <c r="G4" i="2"/>
  <c r="G9" i="2"/>
  <c r="G6" i="2"/>
  <c r="G5" i="2"/>
  <c r="G10" i="2"/>
  <c r="G11" i="2"/>
  <c r="E12" i="2"/>
  <c r="G2" i="2"/>
  <c r="G7" i="2"/>
  <c r="H12" i="2" l="1"/>
  <c r="G12" i="2"/>
</calcChain>
</file>

<file path=xl/sharedStrings.xml><?xml version="1.0" encoding="utf-8"?>
<sst xmlns="http://schemas.openxmlformats.org/spreadsheetml/2006/main" count="499" uniqueCount="344">
  <si>
    <t>STLC Phase</t>
  </si>
  <si>
    <t>Group</t>
  </si>
  <si>
    <t>Sub-Phase ID</t>
  </si>
  <si>
    <t>Sub-Phase (Optimized)</t>
  </si>
  <si>
    <t>Includes (Original Sub-Items)</t>
  </si>
  <si>
    <t>Automation Type</t>
  </si>
  <si>
    <t>Available Tools (Today)</t>
  </si>
  <si>
    <t>Available AI Solutions</t>
  </si>
  <si>
    <t>Target Zion Component(s)</t>
  </si>
  <si>
    <t>Owner / Team</t>
  </si>
  <si>
    <t>Team Notes / Comments</t>
  </si>
  <si>
    <t>Status</t>
  </si>
  <si>
    <t>1. Requirements Analysis &amp; Review</t>
  </si>
  <si>
    <t>A · Pre-Testing</t>
  </si>
  <si>
    <t>1.1</t>
  </si>
  <si>
    <t>Requirements Elicitation &amp; Documentation Review</t>
  </si>
  <si>
    <t>Stakeholder &amp; spec walkthrough</t>
  </si>
  <si>
    <t>AI+</t>
  </si>
  <si>
    <t>JIRA · Confluence · IBM DOORS · MS Word · ReqSuite · Aha!</t>
  </si>
  <si>
    <t>ChatGPT · Claude · IBM Watson · Atlassian Intelligence · Notion AI</t>
  </si>
  <si>
    <t>Zion.IntelliSpec · Zion.Vault</t>
  </si>
  <si>
    <t>1.2</t>
  </si>
  <si>
    <t>NL Requirement Parsing &amp; Classification</t>
  </si>
  <si>
    <t>LLM extraction &amp; functional / NFR tagging</t>
  </si>
  <si>
    <t>AUTO</t>
  </si>
  <si>
    <t>spaCy · NLTK · Stanford NLP · AWS Comprehend · Azure Text Analytics</t>
  </si>
  <si>
    <t>OpenAI GPT-4 · Claude · Cohere · AWS Comprehend NER · Google Gemini</t>
  </si>
  <si>
    <t>Zion.IntelliSpec</t>
  </si>
  <si>
    <t>1.3</t>
  </si>
  <si>
    <t>Feasibility, Testability &amp; Quality Analysis</t>
  </si>
  <si>
    <t>Requirement feasibility &amp; testability · Ambiguity / gap / inconsistency detection</t>
  </si>
  <si>
    <t>QVscribe · Reqtify · IBM DOORS · Visure · Polarion</t>
  </si>
  <si>
    <t>QVscribe AI · IBM RDM · Visure AI · ChatGPT · Claude</t>
  </si>
  <si>
    <t>Zion.IntelliSpec · Zion.FlowEngine</t>
  </si>
  <si>
    <t>1.4</t>
  </si>
  <si>
    <t>Test Basis Identification &amp; RTM Creation</t>
  </si>
  <si>
    <t>Test basis identification from docs · RTM creation</t>
  </si>
  <si>
    <t>HP ALM · JIRA Xray · qTest · TestRail · Excel · Zephyr</t>
  </si>
  <si>
    <t>Test.ai · Sealights · BlinqIO · Atlassian Intelligence</t>
  </si>
  <si>
    <t>1.5</t>
  </si>
  <si>
    <t>Risk Identification &amp; Acceptance Criteria Definition</t>
  </si>
  <si>
    <t>Risk identification from requirements · Acceptance criteria (BDD seed)</t>
  </si>
  <si>
    <t>JIRA · ServiceNow GRC · Risk register templates · Confluence</t>
  </si>
  <si>
    <t>Watson AI · ChatGPT · Claude · Codacy AI</t>
  </si>
  <si>
    <t>Zion.IntelliSpec · Zion.Nexus · Zion.TestGen</t>
  </si>
  <si>
    <t>2. Test Planning</t>
  </si>
  <si>
    <t>2.1</t>
  </si>
  <si>
    <t>Test Strategy &amp; Scope Definition</t>
  </si>
  <si>
    <t>Test strategy definition · Test scope determination</t>
  </si>
  <si>
    <t>MS Word · Confluence · JIRA · TestRail · Aha!</t>
  </si>
  <si>
    <t>ChatGPT · Claude · Microsoft Copilot · Notion AI</t>
  </si>
  <si>
    <t>Zion.Compass · Zion.FlowEngine</t>
  </si>
  <si>
    <t>2.2</t>
  </si>
  <si>
    <t>Resource Planning, Scheduling &amp; Effort Estimation</t>
  </si>
  <si>
    <t>Resource planning &amp; allocation · Timeline &amp; schedule creation · ML effort estimation</t>
  </si>
  <si>
    <t>MS Project · JIRA · Smartsheet · Asana · Monday.com</t>
  </si>
  <si>
    <t>Forecast.ai · ProjectAI · Atlassian Intelligence · Microsoft Copilot</t>
  </si>
  <si>
    <t>Zion.Compass</t>
  </si>
  <si>
    <t>2.3</t>
  </si>
  <si>
    <t>Risk Assessment &amp; Mitigation Planning</t>
  </si>
  <si>
    <t>ML risk scoring &amp; mitigation playbook</t>
  </si>
  <si>
    <t>JIRA Risk Register · ServiceNow GRC · Riskonnect · Archer</t>
  </si>
  <si>
    <t>Riskonnect AI · IBM Watson · SAS Risk AI</t>
  </si>
  <si>
    <t>Zion.Compass · Zion.Sentinel</t>
  </si>
  <si>
    <t>2.4</t>
  </si>
  <si>
    <t>Tool Selection &amp; Entry / Exit Criteria</t>
  </si>
  <si>
    <t>Test tool selection · Entry / exit criteria definition</t>
  </si>
  <si>
    <t>Gartner Reviews · G2 · TrustRadius · Tool catalogs</t>
  </si>
  <si>
    <t>Claude · ChatGPT · Gartner AI · Microsoft Copilot</t>
  </si>
  <si>
    <t>Zion.Compass · Zion.Vault</t>
  </si>
  <si>
    <t>2.5</t>
  </si>
  <si>
    <t>Test Plan Document Auto-Generation</t>
  </si>
  <si>
    <t>LLM compiles formatted Test Plan from planning inputs</t>
  </si>
  <si>
    <t>MS Word templates · Confluence · Google Docs</t>
  </si>
  <si>
    <t>ChatGPT · Claude · Microsoft Copilot · Gamma AI</t>
  </si>
  <si>
    <t>Zion.Compass · Zion.Prism</t>
  </si>
  <si>
    <t>3. Test Design &amp; Development</t>
  </si>
  <si>
    <t>B · Test Preparation</t>
  </si>
  <si>
    <t>3.1</t>
  </si>
  <si>
    <t>Test Scenario &amp; Case Generation</t>
  </si>
  <si>
    <t>Scenario identification from requirements · LLM-based test case generation</t>
  </si>
  <si>
    <t>TestRail · Zephyr · Xray · qTest · Tricentis Tosca · ALM Octane</t>
  </si>
  <si>
    <t>Functionize · Mabl · Testim · Diffblue Cover · ACCELQ · Katalon Studio AI</t>
  </si>
  <si>
    <t>Zion.TestGen · Zion.IntelliSpec</t>
  </si>
  <si>
    <t>3.2</t>
  </si>
  <si>
    <t>BDD / Gherkin Specification Writing</t>
  </si>
  <si>
    <t>Auto Given/When/Then generation from acceptance criteria</t>
  </si>
  <si>
    <t>Cucumber · SpecFlow · JBehave · Behave · Karate</t>
  </si>
  <si>
    <t>ChatGPT · Claude · Cucumber AI · Tricentis Tosca BDD</t>
  </si>
  <si>
    <t>Zion.TestGen</t>
  </si>
  <si>
    <t>3.3</t>
  </si>
  <si>
    <t>Synthetic Test Data Generation</t>
  </si>
  <si>
    <t>GAN-style data synthesis · privacy-safe</t>
  </si>
  <si>
    <t>Mockaroo · Faker · Talend · Delphix · Informatica TDM</t>
  </si>
  <si>
    <t>Gretel · Tonic.ai · Synthesized · MOSTLY AI · Hazy</t>
  </si>
  <si>
    <t>Zion.DataForge</t>
  </si>
  <si>
    <t>3.4</t>
  </si>
  <si>
    <t>Test Script Development &amp; Optimization</t>
  </si>
  <si>
    <t>Automated test script development · Test case review &amp; optimization</t>
  </si>
  <si>
    <t>Selenium · Cypress · Playwright · Appium · JUnit · TestNG</t>
  </si>
  <si>
    <t>GitHub Copilot · Claude · Cursor · Mabl · Testim · CodeRabbit</t>
  </si>
  <si>
    <t>Zion.TestGen · Zion.Nexus</t>
  </si>
  <si>
    <t>3.5</t>
  </si>
  <si>
    <t>RTM Update &amp; Coverage Analysis</t>
  </si>
  <si>
    <t>Traceability matrix update &amp; validation · Multi-dim coverage analysis</t>
  </si>
  <si>
    <t>JIRA Xray · qTest · ALM Octane · Codecov · JaCoCo</t>
  </si>
  <si>
    <t>Sealights · BlinqIO · Codecov AI · SonarQube AI</t>
  </si>
  <si>
    <t>Zion.IntelliSpec · Zion.Beacon</t>
  </si>
  <si>
    <t>4. Test Environment Setup</t>
  </si>
  <si>
    <t>4.1</t>
  </si>
  <si>
    <t>Environment Requirements Definition</t>
  </si>
  <si>
    <t>Env config recommended from past patterns</t>
  </si>
  <si>
    <t>Confluence · Excel templates · Lucidchart</t>
  </si>
  <si>
    <t>Claude · ChatGPT · Microsoft Copilot · Architecture AI assistants</t>
  </si>
  <si>
    <t>Zion.Envoy</t>
  </si>
  <si>
    <t>4.2</t>
  </si>
  <si>
    <t>IaC-based Infrastructure Provisioning</t>
  </si>
  <si>
    <t>Auto Terraform / Ansible execution · self-healing</t>
  </si>
  <si>
    <t>Terraform · Ansible · Pulumi · CloudFormation · Crossplane</t>
  </si>
  <si>
    <t>GitHub Copilot · Terraform Cloud AI · Pulumi AI · Spacelift AI</t>
  </si>
  <si>
    <t>Zion.Envoy · Zion.Bridge</t>
  </si>
  <si>
    <t>4.3</t>
  </si>
  <si>
    <t>Test Data Setup &amp; CI/CD Pipeline Configuration</t>
  </si>
  <si>
    <t>Test data seeding &amp; PII masking · CI/CD pipeline config</t>
  </si>
  <si>
    <t>Jenkins · GitLab CI · GitHub Actions · CircleCI · Argo CD · Bitbucket Pipelines</t>
  </si>
  <si>
    <t>Harness AI · CircleCI Insights · GitHub Copilot · GitLab Duo</t>
  </si>
  <si>
    <t>Zion.DataForge · Zion.Bridge · Zion.Envoy</t>
  </si>
  <si>
    <t>4.4</t>
  </si>
  <si>
    <t>Tools Installation &amp; Environment Health Verification</t>
  </si>
  <si>
    <t>Test tools install / config · Env health &amp; smoke checks</t>
  </si>
  <si>
    <t>Docker · Ansible · Puppet · Chef · Kubernetes</t>
  </si>
  <si>
    <t>PagerDuty AIOps · BigPanda · Moogsoft · Datadog AI</t>
  </si>
  <si>
    <t>Zion.Envoy · Zion.Beacon</t>
  </si>
  <si>
    <t>4.5</t>
  </si>
  <si>
    <t>Access Management &amp; Security Configuration</t>
  </si>
  <si>
    <t>RBAC &amp; least-privilege role suggestions</t>
  </si>
  <si>
    <t>Okta · Azure AD · AWS IAM · HashiCorp Vault · CyberArk</t>
  </si>
  <si>
    <t>Saviynt AI · Zscaler AI · SailPoint AI</t>
  </si>
  <si>
    <t>Zion.Guardian · Zion.Envoy</t>
  </si>
  <si>
    <t>5. Test Execution</t>
  </si>
  <si>
    <t>C · Test Execution</t>
  </si>
  <si>
    <t>5.1</t>
  </si>
  <si>
    <t>Smoke, Functional &amp; Regression Execution</t>
  </si>
  <si>
    <t>Smoke / sanity · Functional · Risk-based regression</t>
  </si>
  <si>
    <t>Selenium · Cypress · Playwright · TestComplete · UFT · Robot Framework</t>
  </si>
  <si>
    <t>Mabl · Testim · Functionize · Applitools · ACCELQ · TestSigma · Katalon AI</t>
  </si>
  <si>
    <t>Zion.TestBot</t>
  </si>
  <si>
    <t>5.2</t>
  </si>
  <si>
    <t>Integration &amp; End-to-End Testing</t>
  </si>
  <si>
    <t>Integration testing · System / E2E testing</t>
  </si>
  <si>
    <t>Postman · SoapUI · Cypress · Karate · Selenium Grid · Pact</t>
  </si>
  <si>
    <t>Functionize · Mabl · TestSigma · Tricentis NeoLoad</t>
  </si>
  <si>
    <t>5.3</t>
  </si>
  <si>
    <t>Performance / Load / Stress Testing</t>
  </si>
  <si>
    <t>Auto-scaled load · bottleneck attribution</t>
  </si>
  <si>
    <t>JMeter · Gatling · LoadRunner · K6 · Locust · BlazeMeter</t>
  </si>
  <si>
    <t>NeoLoad AI · Tricentis NeoLoad · Datadog APM AI · LoadView AI</t>
  </si>
  <si>
    <t>Zion.TestBot · Zion.Beacon</t>
  </si>
  <si>
    <t>5.4</t>
  </si>
  <si>
    <t>Security &amp; Penetration Testing</t>
  </si>
  <si>
    <t>Auto-scan · AI-driven fuzz / pentest</t>
  </si>
  <si>
    <t>OWASP ZAP · Burp Suite · Veracode · Checkmarx · Snyk · Nessus</t>
  </si>
  <si>
    <t>Snyk AI · Checkmarx AI · GitHub Advanced Security · Wallarm · DefectDojo</t>
  </si>
  <si>
    <t>Zion.Guardian · Zion.TestBot</t>
  </si>
  <si>
    <t>5.5</t>
  </si>
  <si>
    <t>API, Cross-Platform &amp; Visual Regression Testing</t>
  </si>
  <si>
    <t>API &amp; microservices · Cross-browser / device · Visual / UX regression</t>
  </si>
  <si>
    <t>Postman · REST Assured · BrowserStack · Sauce Labs · Applitools · Percy</t>
  </si>
  <si>
    <t>Applitools Eyes · Percy AI · Mabl Visual · Functionize · TestSigma</t>
  </si>
  <si>
    <t>5.6</t>
  </si>
  <si>
    <t>Test Result Recording &amp; Analysis</t>
  </si>
  <si>
    <t>Consolidated results DB · auto-aggregation &amp; categorisation</t>
  </si>
  <si>
    <t>ReportPortal · Allure · ExtentReports · TestRail · Zephyr</t>
  </si>
  <si>
    <t>Datadog AI · Splunk AI · ReportPortal AI · Tableau Pulse</t>
  </si>
  <si>
    <t>Zion.TestBot · Zion.Vault</t>
  </si>
  <si>
    <t>6. Defect Management</t>
  </si>
  <si>
    <t>6.1</t>
  </si>
  <si>
    <t>Defect Identification &amp; Auto-Logging</t>
  </si>
  <si>
    <t>Auto ticket creation from test failures with context</t>
  </si>
  <si>
    <t>JIRA · Azure DevOps · Bugzilla · Mantis · YouTrack</t>
  </si>
  <si>
    <t>BugBug · Sentry AI · BugReplay · Rookout AI</t>
  </si>
  <si>
    <t>Zion.Sentinel</t>
  </si>
  <si>
    <t>6.2</t>
  </si>
  <si>
    <t>Classification, Deduplication &amp; Smart Assignment</t>
  </si>
  <si>
    <t>Severity AI · Duplicate detection · Intelligent routing</t>
  </si>
  <si>
    <t>JIRA Automation · ServiceNow · Azure DevOps · GitLab Issues</t>
  </si>
  <si>
    <t>Atlassian Intelligence · ServiceNow AI · Aiven · DupeGuru</t>
  </si>
  <si>
    <t>6.3</t>
  </si>
  <si>
    <t>Root Cause Analysis (AI-assisted)</t>
  </si>
  <si>
    <t>Causal graph + commit-bisect candidate causes</t>
  </si>
  <si>
    <t>Splunk · ELK Stack · Datadog · New Relic · Sumo Logic</t>
  </si>
  <si>
    <t>Dynatrace Davis AI · Splunk AI · ChatGPT · Bugsnag · Honeycomb</t>
  </si>
  <si>
    <t>Zion.Sentinel · Zion.Nexus</t>
  </si>
  <si>
    <t>6.4</t>
  </si>
  <si>
    <t>Defect Retesting, Verification &amp; Triage Coordination</t>
  </si>
  <si>
    <t>Defect retesting &amp; impact verification · Triage agenda recommendations</t>
  </si>
  <si>
    <t>JIRA · TestRail · qTest · Xray</t>
  </si>
  <si>
    <t>Atlassian Intelligence · Slack AI workflows · ChatGPT</t>
  </si>
  <si>
    <t>Zion.TestBot · Zion.Sentinel</t>
  </si>
  <si>
    <t>6.5</t>
  </si>
  <si>
    <t>Defect Trend &amp; Pattern Analysis</t>
  </si>
  <si>
    <t>Time-series + clustering for emerging hot-spots</t>
  </si>
  <si>
    <t>JIRA Reports · Tableau · Power BI · Looker</t>
  </si>
  <si>
    <t>Tableau Pulse AI · Power BI Copilot · Looker AI</t>
  </si>
  <si>
    <t>Zion.Beacon · Zion.Sentinel</t>
  </si>
  <si>
    <t>7. Test Reporting &amp; Metrics</t>
  </si>
  <si>
    <t>D · Test Intelligence &amp; Closure</t>
  </si>
  <si>
    <t>7.1</t>
  </si>
  <si>
    <t>Real-time Test Execution Dashboards</t>
  </si>
  <si>
    <t>Role-aware live dashboards</t>
  </si>
  <si>
    <t>Grafana · Kibana · Power BI · Tableau · ReportPortal</t>
  </si>
  <si>
    <t>Tableau Pulse · Power BI Copilot · Grafana AI · ThoughtSpot AI</t>
  </si>
  <si>
    <t>Zion.Beacon · Zion.Prism</t>
  </si>
  <si>
    <t>7.2</t>
  </si>
  <si>
    <t>Quality Gate &amp; Coverage Analysis</t>
  </si>
  <si>
    <t>Defect density &amp; gate analysis · Coverage completeness reporting</t>
  </si>
  <si>
    <t>SonarQube · Codecov · JaCoCo · JIRA · SonarCloud</t>
  </si>
  <si>
    <t>Sealights AI · Sonar AI · DeepCode (Snyk) · Codacy AI</t>
  </si>
  <si>
    <t>Zion.Beacon</t>
  </si>
  <si>
    <t>7.3</t>
  </si>
  <si>
    <t>Risk-based Quality Reporting</t>
  </si>
  <si>
    <t>Risk-vs-coverage correlation matrix</t>
  </si>
  <si>
    <t>JIRA · Riskonnect · Power BI · Tableau</t>
  </si>
  <si>
    <t>SAS Risk AI · Riskonnect AI · Tableau Einstein</t>
  </si>
  <si>
    <t>7.4</t>
  </si>
  <si>
    <t>Predictive Quality Trend Analysis</t>
  </si>
  <si>
    <t>ML forecasting of quality trajectory &amp; gate-miss risk</t>
  </si>
  <si>
    <t>Python (scikit-learn) · Power BI Premium · Tableau · R</t>
  </si>
  <si>
    <t>H2O.ai · DataRobot · Tableau Einstein · Microsoft Fabric AI</t>
  </si>
  <si>
    <t>Zion.Beacon · Zion.Nexus</t>
  </si>
  <si>
    <t>7.5</t>
  </si>
  <si>
    <t>Stakeholder &amp; Summary Report Generation</t>
  </si>
  <si>
    <t>Stakeholder reports · Test summary report compilation</t>
  </si>
  <si>
    <t>MS Word · PowerPoint · Confluence · Google Docs · Notion</t>
  </si>
  <si>
    <t>ChatGPT · Claude · Microsoft Copilot · Notion AI · Gamma AI</t>
  </si>
  <si>
    <t>8. Test Closure</t>
  </si>
  <si>
    <t>8.1</t>
  </si>
  <si>
    <t>Exit Criteria Evaluation &amp; Quality Sign-off</t>
  </si>
  <si>
    <t>Exit-criteria scorecard · Final quality sign-off checklist</t>
  </si>
  <si>
    <t>Excel · Confluence checklists · JIRA · ServiceNow</t>
  </si>
  <si>
    <t>Claude · ChatGPT · Microsoft Copilot</t>
  </si>
  <si>
    <t>Zion.Compass · Zion.Beacon</t>
  </si>
  <si>
    <t>8.2</t>
  </si>
  <si>
    <t>Test Artifact Archiving &amp; Knowledge Transfer</t>
  </si>
  <si>
    <t>Versioned artifact archival · KB update &amp; transfer</t>
  </si>
  <si>
    <t>Git · Confluence · SharePoint · Box · Notion</t>
  </si>
  <si>
    <t>Notion AI · Glean · ChatGPT · Microsoft Copilot · Mem AI</t>
  </si>
  <si>
    <t>Zion.Vault · Zion.Bridge</t>
  </si>
  <si>
    <t>8.3</t>
  </si>
  <si>
    <t>Lessons Learned Documentation</t>
  </si>
  <si>
    <t>AI-drafted from defect patterns &amp; retros</t>
  </si>
  <si>
    <t>Confluence · MS Word · TeamRetro · EasyRetro · Miro</t>
  </si>
  <si>
    <t>Claude · ChatGPT · Notion AI · Tability AI · Reflect AI</t>
  </si>
  <si>
    <t>Zion.Vault · Zion.Nexus</t>
  </si>
  <si>
    <t>8.4</t>
  </si>
  <si>
    <t>Process Improvement Recommendations</t>
  </si>
  <si>
    <t>Pattern analysis → best-practice mapping</t>
  </si>
  <si>
    <t>Six Sigma toolkits · JIRA Insights · Lean tools</t>
  </si>
  <si>
    <t>Celonis AI · UiPath Process Mining · ChatGPT · Microsoft Copilot</t>
  </si>
  <si>
    <t>Zion.Nexus · Zion.Vault</t>
  </si>
  <si>
    <t>9. Customer Release</t>
  </si>
  <si>
    <t>E · Release &amp; Operations</t>
  </si>
  <si>
    <t>9.1</t>
  </si>
  <si>
    <t>Release Readiness Assessment</t>
  </si>
  <si>
    <t>ML readiness scoring with explainability</t>
  </si>
  <si>
    <t>JIRA · ServiceNow · Azure DevOps · GitLab Releases</t>
  </si>
  <si>
    <t>Harness Release AI · LaunchDarkly AI · Codefresh AI</t>
  </si>
  <si>
    <t>Zion.Guardian · Zion.Beacon</t>
  </si>
  <si>
    <t>9.2</t>
  </si>
  <si>
    <t>UAT Coordination &amp; Monitoring</t>
  </si>
  <si>
    <t>Auto-tracking + sentiment on feedback</t>
  </si>
  <si>
    <t>TestRail · Centercode · UserTesting · UserVoice</t>
  </si>
  <si>
    <t>UserTesting AI · Maze AI · Sprig AI</t>
  </si>
  <si>
    <t>Zion.Guardian · Zion.Pulse</t>
  </si>
  <si>
    <t>9.3</t>
  </si>
  <si>
    <t>Go-live Validation &amp; Deployment Verification</t>
  </si>
  <si>
    <t>Go-live checklist · Production + canary verification</t>
  </si>
  <si>
    <t>Jenkins · Spinnaker · Argo CD · Harness · GitLab CI/CD</t>
  </si>
  <si>
    <t>Harness AI · Datadog APM AI · Octopus Deploy AI</t>
  </si>
  <si>
    <t>Zion.Guardian · Zion.Bridge</t>
  </si>
  <si>
    <t>9.4</t>
  </si>
  <si>
    <t>Release Notes &amp; Customer Communication</t>
  </si>
  <si>
    <t>Release notes auto-gen · Tailored customer comms</t>
  </si>
  <si>
    <t>GitHub · Confluence · MS Word · Marketo · Mailchimp</t>
  </si>
  <si>
    <t>Claude · ChatGPT · GitHub Copilot · Notion AI · Mailchimp AI</t>
  </si>
  <si>
    <t>Zion.Vault · Zion.Pulse · Zion.Beacon</t>
  </si>
  <si>
    <t>9.5</t>
  </si>
  <si>
    <t>Rollback Plan Validation</t>
  </si>
  <si>
    <t>Rollback procedure auto-tested in staging</t>
  </si>
  <si>
    <t>Argo Rollouts · Spinnaker · Jenkins · Octopus</t>
  </si>
  <si>
    <t>Harness AI · Datadog AI · ChatGPT</t>
  </si>
  <si>
    <t>10. Post-Release &amp; Prod. Monitoring</t>
  </si>
  <si>
    <t>10.1</t>
  </si>
  <si>
    <t>Production Anomaly Detection &amp; Performance Monitoring</t>
  </si>
  <si>
    <t>Anomaly detection · Real-time performance monitoring</t>
  </si>
  <si>
    <t>Datadog · New Relic · Splunk · Dynatrace · Prometheus · Grafana</t>
  </si>
  <si>
    <t>Datadog Watchdog AI · Dynatrace Davis AI · New Relic AI · Splunk AI</t>
  </si>
  <si>
    <t>Zion.Pulse · Zion.Beacon</t>
  </si>
  <si>
    <t>10.2</t>
  </si>
  <si>
    <t>Customer Feedback Sentiment &amp; Defect Auto-Triage</t>
  </si>
  <si>
    <t>Sentiment analysis · Production defect auto-triage</t>
  </si>
  <si>
    <t>Zendesk · Salesforce Service Cloud · Intercom · Freshdesk</t>
  </si>
  <si>
    <t>Zendesk AI · MonkeyLearn · Klaus AI · Intercom Fin AI</t>
  </si>
  <si>
    <t>Zion.Pulse · Zion.Sentinel</t>
  </si>
  <si>
    <t>10.3</t>
  </si>
  <si>
    <t>SLA Compliance Tracking</t>
  </si>
  <si>
    <t>Auto-tracking + breach forecasting</t>
  </si>
  <si>
    <t>ServiceNow · Freshservice · PagerDuty · Opsgenie</t>
  </si>
  <si>
    <t>PagerDuty AIOps · ServiceNow AI · BigPanda AI · Moogsoft</t>
  </si>
  <si>
    <t>10.4</t>
  </si>
  <si>
    <t>Hotfix Testing &amp; Validation</t>
  </si>
  <si>
    <t>Change-impact targeted regression</t>
  </si>
  <si>
    <t>Selenium · Cypress · JIRA · Jenkins</t>
  </si>
  <si>
    <t>Mabl · Testim · Functionize · Sealights AI</t>
  </si>
  <si>
    <t>Zion.TestBot · Zion.Guardian</t>
  </si>
  <si>
    <t>10.5</t>
  </si>
  <si>
    <t>Continuous Improvement &amp; AI Model Retraining</t>
  </si>
  <si>
    <t>Closed-loop feedback into next sprint · MLOps retraining pipeline</t>
  </si>
  <si>
    <t>MLflow · Kubeflow · Airflow · Weights &amp; Biases · DVC</t>
  </si>
  <si>
    <t>H2O AutoML · DataRobot · AWS SageMaker · Azure ML · Vertex AI</t>
  </si>
  <si>
    <t>Zion.FlowEngine · Zion.Nexus · Zion.Vault</t>
  </si>
  <si>
    <t>Phase #</t>
  </si>
  <si>
    <t>Total Sub-Activities</t>
  </si>
  <si>
    <t>AUTO %</t>
  </si>
  <si>
    <t>Total AI Coverage</t>
  </si>
  <si>
    <t>Requirements Analysis &amp; Review</t>
  </si>
  <si>
    <t>Test Planning</t>
  </si>
  <si>
    <t>Test Design &amp; Development</t>
  </si>
  <si>
    <t>Test Environment Setup</t>
  </si>
  <si>
    <t>Test Execution</t>
  </si>
  <si>
    <t>Defect Management</t>
  </si>
  <si>
    <t>Test Reporting &amp; Metrics</t>
  </si>
  <si>
    <t>Test Closure</t>
  </si>
  <si>
    <t>Customer Release</t>
  </si>
  <si>
    <t>Post-Release &amp; Prod. Monitoring</t>
  </si>
  <si>
    <t>TOTAL</t>
  </si>
  <si>
    <t>HOW TO USE</t>
  </si>
  <si>
    <t>1. Each row in 'Activity Catalog' is one optimised STLC sub-activity (50 in total).</t>
  </si>
  <si>
    <t>2. 'Includes' shows the original sub-items that were merged — coverage is preserved.</t>
  </si>
  <si>
    <t>3. Add tools your team uses today in column G; add AI options in column H.</t>
  </si>
  <si>
    <t>4. Target Zion Component (column I) is pre-populated from the Zion architecture.</t>
  </si>
  <si>
    <t>5. Assign Owner (J) for each row; capture decisions in Notes (K); pick Status (L).</t>
  </si>
  <si>
    <t>6. Status dropdown: Draft · In Review · Approved · In Progress · Blocked · Out of Scope.</t>
  </si>
  <si>
    <t>7. Use the Summary sheet to monitor automation coverage across phases.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</si>
</sst>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3B82F6"/>
      <name val="Arial"/>
      <charset val="1"/>
    </font>
    <font>
      <sz val="9"/>
      <color rgb="FF475569"/>
      <name val="Arial"/>
      <charset val="1"/>
    </font>
    <font>
      <b/>
      <sz val="10"/>
      <color rgb="FF64748B"/>
      <name val="Consolas"/>
      <charset val="1"/>
    </font>
    <font>
      <b/>
      <sz val="10"/>
      <color rgb="FF1E293B"/>
      <name val="Arial"/>
      <charset val="1"/>
    </font>
    <font>
      <i/>
      <sz val="9"/>
      <color rgb="FF64748B"/>
      <name val="Arial"/>
      <charset val="1"/>
    </font>
    <font>
      <b/>
      <sz val="10"/>
      <color rgb="FF854D0E"/>
      <name val="Arial"/>
      <charset val="1"/>
    </font>
    <font>
      <sz val="9"/>
      <color rgb="FF374151"/>
      <name val="Arial"/>
      <charset val="1"/>
    </font>
    <font>
      <b/>
      <sz val="9"/>
      <color rgb="FF3B82F6"/>
      <name val="Consolas"/>
      <charset val="1"/>
    </font>
    <font>
      <sz val="10"/>
      <color rgb="FF1E293B"/>
      <name val="Arial"/>
      <charset val="1"/>
    </font>
    <font>
      <b/>
      <sz val="10"/>
      <color rgb="FF166534"/>
      <name val="Arial"/>
      <charset val="1"/>
    </font>
    <font>
      <b/>
      <sz val="10"/>
      <color rgb="FF8B5CF6"/>
      <name val="Arial"/>
      <charset val="1"/>
    </font>
    <font>
      <b/>
      <sz val="9"/>
      <color rgb="FF8B5CF6"/>
      <name val="Consolas"/>
      <charset val="1"/>
    </font>
    <font>
      <b/>
      <sz val="10"/>
      <color rgb="FFEC4899"/>
      <name val="Arial"/>
      <charset val="1"/>
    </font>
    <font>
      <b/>
      <sz val="9"/>
      <color rgb="FFEC4899"/>
      <name val="Consolas"/>
      <charset val="1"/>
    </font>
    <font>
      <b/>
      <sz val="10"/>
      <color rgb="FFF59E0B"/>
      <name val="Arial"/>
      <charset val="1"/>
    </font>
    <font>
      <b/>
      <sz val="9"/>
      <color rgb="FFF59E0B"/>
      <name val="Consolas"/>
      <charset val="1"/>
    </font>
    <font>
      <b/>
      <sz val="10"/>
      <color rgb="FF10B981"/>
      <name val="Arial"/>
      <charset val="1"/>
    </font>
    <font>
      <b/>
      <sz val="9"/>
      <color rgb="FF10B981"/>
      <name val="Consolas"/>
      <charset val="1"/>
    </font>
    <font>
      <b/>
      <sz val="10"/>
      <color rgb="FFEF4444"/>
      <name val="Arial"/>
      <charset val="1"/>
    </font>
    <font>
      <b/>
      <sz val="9"/>
      <color rgb="FFEF4444"/>
      <name val="Consolas"/>
      <charset val="1"/>
    </font>
    <font>
      <b/>
      <sz val="10"/>
      <color rgb="FF06B6D4"/>
      <name val="Arial"/>
      <charset val="1"/>
    </font>
    <font>
      <b/>
      <sz val="9"/>
      <color rgb="FF06B6D4"/>
      <name val="Consolas"/>
      <charset val="1"/>
    </font>
    <font>
      <b/>
      <sz val="10"/>
      <color rgb="FF16A34A"/>
      <name val="Arial"/>
      <charset val="1"/>
    </font>
    <font>
      <b/>
      <sz val="9"/>
      <color rgb="FF16A34A"/>
      <name val="Consolas"/>
      <charset val="1"/>
    </font>
    <font>
      <b/>
      <sz val="10"/>
      <color rgb="FFF97316"/>
      <name val="Arial"/>
      <charset val="1"/>
    </font>
    <font>
      <b/>
      <sz val="9"/>
      <color rgb="FFF97316"/>
      <name val="Consolas"/>
      <charset val="1"/>
    </font>
    <font>
      <b/>
      <sz val="10"/>
      <color rgb="FF7C3AED"/>
      <name val="Arial"/>
      <charset val="1"/>
    </font>
    <font>
      <b/>
      <sz val="9"/>
      <color rgb="FF7C3AED"/>
      <name val="Consolas"/>
      <charset val="1"/>
    </font>
    <font>
      <b/>
      <sz val="11"/>
      <color rgb="FF1E293B"/>
      <name val="Arial"/>
      <charset val="1"/>
    </font>
    <font>
      <sz val="10"/>
      <color rgb="FF47556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EFF6FF"/>
        <bgColor rgb="FFF5F3FF"/>
      </patternFill>
    </fill>
    <fill>
      <patternFill patternType="solid">
        <fgColor rgb="FFFEF9C3"/>
        <bgColor rgb="FFFFFBEB"/>
      </patternFill>
    </fill>
    <fill>
      <patternFill patternType="solid">
        <fgColor rgb="FFFFFFFF"/>
        <bgColor rgb="FFFFFBEB"/>
      </patternFill>
    </fill>
    <fill>
      <patternFill patternType="solid">
        <fgColor rgb="FFDCFCE7"/>
        <bgColor rgb="FFECFDF5"/>
      </patternFill>
    </fill>
    <fill>
      <patternFill patternType="solid">
        <fgColor rgb="FFF5F3FF"/>
        <bgColor rgb="FFEFF6FF"/>
      </patternFill>
    </fill>
    <fill>
      <patternFill patternType="solid">
        <fgColor rgb="FFFDF2F8"/>
        <bgColor rgb="FFFEF2F2"/>
      </patternFill>
    </fill>
    <fill>
      <patternFill patternType="solid">
        <fgColor rgb="FFFFFBEB"/>
        <bgColor rgb="FFFFF7ED"/>
      </patternFill>
    </fill>
    <fill>
      <patternFill patternType="solid">
        <fgColor rgb="FFECFDF5"/>
        <bgColor rgb="FFF0FDF4"/>
      </patternFill>
    </fill>
    <fill>
      <patternFill patternType="solid">
        <fgColor rgb="FFFEF2F2"/>
        <bgColor rgb="FFFDF2F8"/>
      </patternFill>
    </fill>
    <fill>
      <patternFill patternType="solid">
        <fgColor rgb="FFECFEFF"/>
        <bgColor rgb="FFECFDF5"/>
      </patternFill>
    </fill>
    <fill>
      <patternFill patternType="solid">
        <fgColor rgb="FFF0FDF4"/>
        <bgColor rgb="FFECFDF5"/>
      </patternFill>
    </fill>
    <fill>
      <patternFill patternType="solid">
        <fgColor rgb="FFFFF7ED"/>
        <bgColor rgb="FFFFFBE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6" fillId="5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vertical="top" wrapText="1"/>
    </xf>
    <xf numFmtId="0" fontId="16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17" fillId="9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8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19" fillId="10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18" fillId="5" borderId="1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top" wrapText="1"/>
    </xf>
    <xf numFmtId="0" fontId="20" fillId="11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top"/>
    </xf>
    <xf numFmtId="0" fontId="5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21" fillId="11" borderId="1" xfId="0" applyFont="1" applyFill="1" applyBorder="1" applyAlignment="1">
      <alignment vertical="top" wrapText="1"/>
    </xf>
    <xf numFmtId="0" fontId="10" fillId="11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vertical="top" wrapText="1"/>
    </xf>
    <xf numFmtId="0" fontId="21" fillId="5" borderId="1" xfId="0" applyFont="1" applyFill="1" applyBorder="1" applyAlignment="1">
      <alignment vertical="top" wrapText="1"/>
    </xf>
    <xf numFmtId="0" fontId="22" fillId="5" borderId="1" xfId="0" applyFont="1" applyFill="1" applyBorder="1" applyAlignment="1">
      <alignment vertical="top" wrapText="1"/>
    </xf>
    <xf numFmtId="0" fontId="23" fillId="5" borderId="1" xfId="0" applyFont="1" applyFill="1" applyBorder="1" applyAlignment="1">
      <alignment vertical="top" wrapText="1"/>
    </xf>
    <xf numFmtId="0" fontId="22" fillId="12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23" fillId="12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vertical="top" wrapText="1"/>
    </xf>
    <xf numFmtId="0" fontId="24" fillId="13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25" fillId="13" borderId="1" xfId="0" applyFont="1" applyFill="1" applyBorder="1" applyAlignment="1">
      <alignment vertical="top" wrapText="1"/>
    </xf>
    <xf numFmtId="0" fontId="10" fillId="13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vertical="top" wrapText="1"/>
    </xf>
    <xf numFmtId="0" fontId="25" fillId="5" borderId="1" xfId="0" applyFont="1" applyFill="1" applyBorder="1" applyAlignment="1">
      <alignment vertical="top" wrapText="1"/>
    </xf>
    <xf numFmtId="0" fontId="26" fillId="14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4" fillId="14" borderId="1" xfId="0" applyFont="1" applyFill="1" applyBorder="1" applyAlignment="1">
      <alignment horizontal="center" vertical="top"/>
    </xf>
    <xf numFmtId="0" fontId="5" fillId="14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27" fillId="14" borderId="1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vertical="top" wrapText="1"/>
    </xf>
    <xf numFmtId="0" fontId="26" fillId="5" borderId="1" xfId="0" applyFont="1" applyFill="1" applyBorder="1" applyAlignment="1">
      <alignment vertical="top" wrapText="1"/>
    </xf>
    <xf numFmtId="0" fontId="27" fillId="5" borderId="1" xfId="0" applyFont="1" applyFill="1" applyBorder="1" applyAlignment="1">
      <alignment vertical="top" wrapText="1"/>
    </xf>
    <xf numFmtId="0" fontId="28" fillId="5" borderId="1" xfId="0" applyFont="1" applyFill="1" applyBorder="1" applyAlignment="1">
      <alignment vertical="top" wrapText="1"/>
    </xf>
    <xf numFmtId="0" fontId="29" fillId="5" borderId="1" xfId="0" applyFont="1" applyFill="1" applyBorder="1" applyAlignment="1">
      <alignment vertical="top" wrapText="1"/>
    </xf>
    <xf numFmtId="0" fontId="28" fillId="7" borderId="1" xfId="0" applyFont="1" applyFill="1" applyBorder="1" applyAlignment="1">
      <alignment vertical="top" wrapText="1"/>
    </xf>
    <xf numFmtId="0" fontId="29" fillId="7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F5F3FF"/>
      <rgbColor rgb="FF808080"/>
      <rgbColor rgb="FF8B5CF6"/>
      <rgbColor rgb="FF7C3AED"/>
      <rgbColor rgb="FFFEF9C3"/>
      <rgbColor rgb="FFDCFCE7"/>
      <rgbColor rgb="FF660066"/>
      <rgbColor rgb="FFEC4899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CFEFF"/>
      <rgbColor rgb="FFECFDF5"/>
      <rgbColor rgb="FFFFFBEB"/>
      <rgbColor rgb="FFEFF6FF"/>
      <rgbColor rgb="FFFDF2F8"/>
      <rgbColor rgb="FFFFF7ED"/>
      <rgbColor rgb="FFFEF2F2"/>
      <rgbColor rgb="FF3B82F6"/>
      <rgbColor rgb="FF10B981"/>
      <rgbColor rgb="FF99CC00"/>
      <rgbColor rgb="FFFFCC00"/>
      <rgbColor rgb="FFF59E0B"/>
      <rgbColor rgb="FFF97316"/>
      <rgbColor rgb="FF64748B"/>
      <rgbColor rgb="FF969696"/>
      <rgbColor rgb="FF003366"/>
      <rgbColor rgb="FF16A34A"/>
      <rgbColor rgb="FF003300"/>
      <rgbColor rgb="FF475569"/>
      <rgbColor rgb="FF854D0E"/>
      <rgbColor rgb="FFEF4444"/>
      <rgbColor rgb="FF37415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zoomScaleNormal="100" workbookViewId="0">
      <pane ySplit="1" topLeftCell="A2" activePane="bottomLeft" state="frozen"/>
      <selection pane="bottomLeft" activeCell="B17" sqref="B17"/>
    </sheetView>
  </sheetViews>
  <sheetFormatPr defaultColWidth="8.6328125" defaultRowHeight="14.5" x14ac:dyDescent="0.35"/>
  <cols>
    <col min="1" max="1" width="9" customWidth="1"/>
    <col min="2" max="2" width="86" customWidth="1"/>
    <col min="3" max="3" width="32" customWidth="1"/>
    <col min="4" max="4" width="14" customWidth="1"/>
    <col min="5" max="6" width="9" customWidth="1"/>
    <col min="7" max="7" width="12" customWidth="1"/>
    <col min="8" max="8" width="18" customWidth="1"/>
  </cols>
  <sheetData>
    <row r="1" spans="1:8" ht="31.5" customHeight="1" x14ac:dyDescent="0.35">
      <c r="A1" s="1" t="s">
        <v>321</v>
      </c>
      <c r="B1" s="1" t="s">
        <v>0</v>
      </c>
      <c r="C1" s="1" t="s">
        <v>1</v>
      </c>
      <c r="D1" s="1" t="s">
        <v>322</v>
      </c>
      <c r="E1" s="1" t="s">
        <v>24</v>
      </c>
      <c r="F1" s="1" t="s">
        <v>17</v>
      </c>
      <c r="G1" s="1" t="s">
        <v>323</v>
      </c>
      <c r="H1" s="1" t="s">
        <v>324</v>
      </c>
    </row>
    <row r="2" spans="1:8" ht="21.75" customHeight="1" x14ac:dyDescent="0.35">
      <c r="A2" s="104">
        <v>1</v>
      </c>
      <c r="B2" s="105" t="s">
        <v>325</v>
      </c>
      <c r="C2" s="106" t="s">
        <v>13</v>
      </c>
      <c r="D2" s="107">
        <f>COUNTIF('Activity Catalog'!A2:A51,"1. Requirements Analysis &amp; Review")</f>
        <v>5</v>
      </c>
      <c r="E2" s="107">
        <f>COUNTIFS('Activity Catalog'!A2:A51,"1. Requirements Analysis &amp; Review",'Activity Catalog'!F2:F51,"AUTO")</f>
        <v>1</v>
      </c>
      <c r="F2" s="107">
        <f>COUNTIFS('Activity Catalog'!A2:A51,"1. Requirements Analysis &amp; Review",'Activity Catalog'!F2:F51,"AI+")</f>
        <v>4</v>
      </c>
      <c r="G2" s="108">
        <f t="shared" ref="G2:G12" si="0">IFERROR(E2/D2,0)</f>
        <v>0.2</v>
      </c>
      <c r="H2" s="108">
        <f t="shared" ref="H2:H12" si="1">IFERROR((E2+F2)/D2,0)</f>
        <v>1</v>
      </c>
    </row>
    <row r="3" spans="1:8" ht="21.75" customHeight="1" x14ac:dyDescent="0.35">
      <c r="A3" s="109">
        <v>2</v>
      </c>
      <c r="B3" s="110" t="s">
        <v>326</v>
      </c>
      <c r="C3" s="111" t="s">
        <v>13</v>
      </c>
      <c r="D3" s="112">
        <f>COUNTIF('Activity Catalog'!A2:A51,"2. Test Planning")</f>
        <v>5</v>
      </c>
      <c r="E3" s="112">
        <f>COUNTIFS('Activity Catalog'!A2:A51,"2. Test Planning",'Activity Catalog'!F2:F51,"AUTO")</f>
        <v>2</v>
      </c>
      <c r="F3" s="112">
        <f>COUNTIFS('Activity Catalog'!A2:A51,"2. Test Planning",'Activity Catalog'!F2:F51,"AI+")</f>
        <v>3</v>
      </c>
      <c r="G3" s="113">
        <f t="shared" si="0"/>
        <v>0.4</v>
      </c>
      <c r="H3" s="113">
        <f t="shared" si="1"/>
        <v>1</v>
      </c>
    </row>
    <row r="4" spans="1:8" ht="21.75" customHeight="1" x14ac:dyDescent="0.35">
      <c r="A4" s="114">
        <v>3</v>
      </c>
      <c r="B4" s="115" t="s">
        <v>327</v>
      </c>
      <c r="C4" s="116" t="s">
        <v>77</v>
      </c>
      <c r="D4" s="117">
        <f>COUNTIF('Activity Catalog'!A2:A51,"3. Test Design &amp; Development")</f>
        <v>5</v>
      </c>
      <c r="E4" s="117">
        <f>COUNTIFS('Activity Catalog'!A2:A51,"3. Test Design &amp; Development",'Activity Catalog'!F2:F51,"AUTO")</f>
        <v>4</v>
      </c>
      <c r="F4" s="117">
        <f>COUNTIFS('Activity Catalog'!A2:A51,"3. Test Design &amp; Development",'Activity Catalog'!F2:F51,"AI+")</f>
        <v>1</v>
      </c>
      <c r="G4" s="118">
        <f t="shared" si="0"/>
        <v>0.8</v>
      </c>
      <c r="H4" s="118">
        <f t="shared" si="1"/>
        <v>1</v>
      </c>
    </row>
    <row r="5" spans="1:8" ht="21.75" customHeight="1" x14ac:dyDescent="0.35">
      <c r="A5" s="119">
        <v>4</v>
      </c>
      <c r="B5" s="120" t="s">
        <v>328</v>
      </c>
      <c r="C5" s="121" t="s">
        <v>77</v>
      </c>
      <c r="D5" s="122">
        <f>COUNTIF('Activity Catalog'!A2:A51,"4. Test Environment Setup")</f>
        <v>5</v>
      </c>
      <c r="E5" s="122">
        <f>COUNTIFS('Activity Catalog'!A2:A51,"4. Test Environment Setup",'Activity Catalog'!F2:F51,"AUTO")</f>
        <v>1</v>
      </c>
      <c r="F5" s="122">
        <f>COUNTIFS('Activity Catalog'!A2:A51,"4. Test Environment Setup",'Activity Catalog'!F2:F51,"AI+")</f>
        <v>4</v>
      </c>
      <c r="G5" s="123">
        <f t="shared" si="0"/>
        <v>0.2</v>
      </c>
      <c r="H5" s="123">
        <f t="shared" si="1"/>
        <v>1</v>
      </c>
    </row>
    <row r="6" spans="1:8" ht="21.75" customHeight="1" x14ac:dyDescent="0.35">
      <c r="A6" s="124">
        <v>5</v>
      </c>
      <c r="B6" s="125" t="s">
        <v>329</v>
      </c>
      <c r="C6" s="126" t="s">
        <v>140</v>
      </c>
      <c r="D6" s="127">
        <f>COUNTIF('Activity Catalog'!A2:A51,"5. Test Execution")</f>
        <v>6</v>
      </c>
      <c r="E6" s="127">
        <f>COUNTIFS('Activity Catalog'!A2:A51,"5. Test Execution",'Activity Catalog'!F2:F51,"AUTO")</f>
        <v>6</v>
      </c>
      <c r="F6" s="127">
        <f>COUNTIFS('Activity Catalog'!A2:A51,"5. Test Execution",'Activity Catalog'!F2:F51,"AI+")</f>
        <v>0</v>
      </c>
      <c r="G6" s="128">
        <f t="shared" si="0"/>
        <v>1</v>
      </c>
      <c r="H6" s="128">
        <f t="shared" si="1"/>
        <v>1</v>
      </c>
    </row>
    <row r="7" spans="1:8" ht="21.75" customHeight="1" x14ac:dyDescent="0.35">
      <c r="A7" s="129">
        <v>6</v>
      </c>
      <c r="B7" s="130" t="s">
        <v>330</v>
      </c>
      <c r="C7" s="131" t="s">
        <v>140</v>
      </c>
      <c r="D7" s="132">
        <f>COUNTIF('Activity Catalog'!A2:A51,"6. Defect Management")</f>
        <v>5</v>
      </c>
      <c r="E7" s="132">
        <f>COUNTIFS('Activity Catalog'!A2:A51,"6. Defect Management",'Activity Catalog'!F2:F51,"AUTO")</f>
        <v>3</v>
      </c>
      <c r="F7" s="132">
        <f>COUNTIFS('Activity Catalog'!A2:A51,"6. Defect Management",'Activity Catalog'!F2:F51,"AI+")</f>
        <v>2</v>
      </c>
      <c r="G7" s="133">
        <f t="shared" si="0"/>
        <v>0.6</v>
      </c>
      <c r="H7" s="133">
        <f t="shared" si="1"/>
        <v>1</v>
      </c>
    </row>
    <row r="8" spans="1:8" ht="21.75" customHeight="1" x14ac:dyDescent="0.35">
      <c r="A8" s="134">
        <v>7</v>
      </c>
      <c r="B8" s="135" t="s">
        <v>331</v>
      </c>
      <c r="C8" s="136" t="s">
        <v>206</v>
      </c>
      <c r="D8" s="137">
        <f>COUNTIF('Activity Catalog'!A2:A51,"7. Test Reporting &amp; Metrics")</f>
        <v>5</v>
      </c>
      <c r="E8" s="137">
        <f>COUNTIFS('Activity Catalog'!A2:A51,"7. Test Reporting &amp; Metrics",'Activity Catalog'!F2:F51,"AUTO")</f>
        <v>5</v>
      </c>
      <c r="F8" s="137">
        <f>COUNTIFS('Activity Catalog'!A2:A51,"7. Test Reporting &amp; Metrics",'Activity Catalog'!F2:F51,"AI+")</f>
        <v>0</v>
      </c>
      <c r="G8" s="138">
        <f t="shared" si="0"/>
        <v>1</v>
      </c>
      <c r="H8" s="138">
        <f t="shared" si="1"/>
        <v>1</v>
      </c>
    </row>
    <row r="9" spans="1:8" ht="21.75" customHeight="1" x14ac:dyDescent="0.35">
      <c r="A9" s="139">
        <v>8</v>
      </c>
      <c r="B9" s="140" t="s">
        <v>332</v>
      </c>
      <c r="C9" s="141" t="s">
        <v>206</v>
      </c>
      <c r="D9" s="142">
        <f>COUNTIF('Activity Catalog'!A2:A51,"8. Test Closure")</f>
        <v>4</v>
      </c>
      <c r="E9" s="142">
        <f>COUNTIFS('Activity Catalog'!A2:A51,"8. Test Closure",'Activity Catalog'!F2:F51,"AUTO")</f>
        <v>2</v>
      </c>
      <c r="F9" s="142">
        <f>COUNTIFS('Activity Catalog'!A2:A51,"8. Test Closure",'Activity Catalog'!F2:F51,"AI+")</f>
        <v>2</v>
      </c>
      <c r="G9" s="143">
        <f t="shared" si="0"/>
        <v>0.5</v>
      </c>
      <c r="H9" s="143">
        <f t="shared" si="1"/>
        <v>1</v>
      </c>
    </row>
    <row r="10" spans="1:8" ht="21.75" customHeight="1" x14ac:dyDescent="0.35">
      <c r="A10" s="144">
        <v>9</v>
      </c>
      <c r="B10" s="145" t="s">
        <v>333</v>
      </c>
      <c r="C10" s="146" t="s">
        <v>261</v>
      </c>
      <c r="D10" s="147">
        <f>COUNTIF('Activity Catalog'!A2:A51,"9. Customer Release")</f>
        <v>5</v>
      </c>
      <c r="E10" s="147">
        <f>COUNTIFS('Activity Catalog'!A2:A51,"9. Customer Release",'Activity Catalog'!F2:F51,"AUTO")</f>
        <v>2</v>
      </c>
      <c r="F10" s="147">
        <f>COUNTIFS('Activity Catalog'!A2:A51,"9. Customer Release",'Activity Catalog'!F2:F51,"AI+")</f>
        <v>3</v>
      </c>
      <c r="G10" s="148">
        <f t="shared" si="0"/>
        <v>0.4</v>
      </c>
      <c r="H10" s="148">
        <f t="shared" si="1"/>
        <v>1</v>
      </c>
    </row>
    <row r="11" spans="1:8" ht="21.75" customHeight="1" x14ac:dyDescent="0.35">
      <c r="A11" s="149">
        <v>10</v>
      </c>
      <c r="B11" s="110" t="s">
        <v>334</v>
      </c>
      <c r="C11" s="111" t="s">
        <v>261</v>
      </c>
      <c r="D11" s="112">
        <f>COUNTIF('Activity Catalog'!A2:A51,"10. Post-Release &amp; Prod. Monitoring")</f>
        <v>5</v>
      </c>
      <c r="E11" s="112">
        <f>COUNTIFS('Activity Catalog'!A2:A51,"10. Post-Release &amp; Prod. Monitoring",'Activity Catalog'!F2:F51,"AUTO")</f>
        <v>5</v>
      </c>
      <c r="F11" s="112">
        <f>COUNTIFS('Activity Catalog'!A2:A51,"10. Post-Release &amp; Prod. Monitoring",'Activity Catalog'!F2:F51,"AI+")</f>
        <v>0</v>
      </c>
      <c r="G11" s="113">
        <f t="shared" si="0"/>
        <v>1</v>
      </c>
      <c r="H11" s="113">
        <f t="shared" si="1"/>
        <v>1</v>
      </c>
    </row>
    <row r="12" spans="1:8" ht="25.5" customHeight="1" x14ac:dyDescent="0.35">
      <c r="A12" s="150"/>
      <c r="B12" s="150" t="s">
        <v>335</v>
      </c>
      <c r="C12" s="150"/>
      <c r="D12" s="150">
        <f>SUM(D2:D11)</f>
        <v>50</v>
      </c>
      <c r="E12" s="150">
        <f>SUM(E2:E11)</f>
        <v>31</v>
      </c>
      <c r="F12" s="150">
        <f>SUM(F2:F11)</f>
        <v>19</v>
      </c>
      <c r="G12" s="151">
        <f t="shared" si="0"/>
        <v>0.62</v>
      </c>
      <c r="H12" s="151">
        <f t="shared" si="1"/>
        <v>1</v>
      </c>
    </row>
    <row r="15" spans="1:8" x14ac:dyDescent="0.35">
      <c r="B15" s="152" t="s">
        <v>336</v>
      </c>
    </row>
    <row r="16" spans="1:8" x14ac:dyDescent="0.35">
      <c r="B16" s="153" t="s">
        <v>337</v>
      </c>
    </row>
    <row r="17" spans="2:2" x14ac:dyDescent="0.35">
      <c r="B17" s="153" t="s">
        <v>338</v>
      </c>
    </row>
    <row r="18" spans="2:2" x14ac:dyDescent="0.35">
      <c r="B18" s="153" t="s">
        <v>339</v>
      </c>
    </row>
    <row r="19" spans="2:2" x14ac:dyDescent="0.35">
      <c r="B19" s="153" t="s">
        <v>340</v>
      </c>
    </row>
    <row r="20" spans="2:2" x14ac:dyDescent="0.35">
      <c r="B20" s="153" t="s">
        <v>341</v>
      </c>
    </row>
    <row r="21" spans="2:2" x14ac:dyDescent="0.35">
      <c r="B21" s="153" t="s">
        <v>342</v>
      </c>
    </row>
    <row r="22" spans="2:2" x14ac:dyDescent="0.35">
      <c r="B22" s="153" t="s">
        <v>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H3" sqref="H3"/>
    </sheetView>
  </sheetViews>
  <sheetFormatPr defaultColWidth="8.6328125" defaultRowHeight="14.5" x14ac:dyDescent="0.35"/>
  <cols>
    <col min="1" max="2" width="30" customWidth="1"/>
    <col min="3" max="3" width="10" customWidth="1"/>
    <col min="4" max="4" width="38" customWidth="1"/>
    <col min="5" max="5" width="52" customWidth="1"/>
    <col min="6" max="6" width="14" customWidth="1"/>
    <col min="7" max="8" width="50" customWidth="1"/>
    <col min="9" max="9" width="28" customWidth="1"/>
    <col min="10" max="10" width="16" customWidth="1"/>
    <col min="11" max="11" width="32" customWidth="1"/>
    <col min="12" max="12" width="16" customWidth="1"/>
  </cols>
  <sheetData>
    <row r="1" spans="1:12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9.5" customHeight="1" x14ac:dyDescent="0.35">
      <c r="A2" s="2" t="s">
        <v>12</v>
      </c>
      <c r="B2" s="3" t="s">
        <v>13</v>
      </c>
      <c r="C2" s="4" t="s">
        <v>14</v>
      </c>
      <c r="D2" s="5" t="s">
        <v>15</v>
      </c>
      <c r="E2" s="6" t="s">
        <v>16</v>
      </c>
      <c r="F2" s="7" t="s">
        <v>17</v>
      </c>
      <c r="G2" s="8" t="s">
        <v>18</v>
      </c>
      <c r="H2" s="8" t="s">
        <v>19</v>
      </c>
      <c r="I2" s="9" t="s">
        <v>20</v>
      </c>
      <c r="J2" s="10"/>
      <c r="K2" s="10"/>
      <c r="L2" s="10"/>
    </row>
    <row r="3" spans="1:12" ht="49.5" customHeight="1" x14ac:dyDescent="0.35">
      <c r="A3" s="11" t="s">
        <v>12</v>
      </c>
      <c r="B3" s="12" t="s">
        <v>13</v>
      </c>
      <c r="C3" s="13" t="s">
        <v>21</v>
      </c>
      <c r="D3" s="14" t="s">
        <v>22</v>
      </c>
      <c r="E3" s="15" t="s">
        <v>23</v>
      </c>
      <c r="F3" s="16" t="s">
        <v>24</v>
      </c>
      <c r="G3" s="17" t="s">
        <v>25</v>
      </c>
      <c r="H3" s="17" t="s">
        <v>26</v>
      </c>
      <c r="I3" s="18" t="s">
        <v>27</v>
      </c>
      <c r="J3" s="19"/>
      <c r="K3" s="19"/>
      <c r="L3" s="19"/>
    </row>
    <row r="4" spans="1:12" ht="49.5" customHeight="1" x14ac:dyDescent="0.35">
      <c r="A4" s="2" t="s">
        <v>12</v>
      </c>
      <c r="B4" s="3" t="s">
        <v>13</v>
      </c>
      <c r="C4" s="4" t="s">
        <v>28</v>
      </c>
      <c r="D4" s="5" t="s">
        <v>29</v>
      </c>
      <c r="E4" s="6" t="s">
        <v>30</v>
      </c>
      <c r="F4" s="7" t="s">
        <v>17</v>
      </c>
      <c r="G4" s="8" t="s">
        <v>31</v>
      </c>
      <c r="H4" s="8" t="s">
        <v>32</v>
      </c>
      <c r="I4" s="9" t="s">
        <v>33</v>
      </c>
      <c r="J4" s="10"/>
      <c r="K4" s="10"/>
      <c r="L4" s="10"/>
    </row>
    <row r="5" spans="1:12" ht="49.5" customHeight="1" x14ac:dyDescent="0.35">
      <c r="A5" s="11" t="s">
        <v>12</v>
      </c>
      <c r="B5" s="12" t="s">
        <v>13</v>
      </c>
      <c r="C5" s="13" t="s">
        <v>34</v>
      </c>
      <c r="D5" s="14" t="s">
        <v>35</v>
      </c>
      <c r="E5" s="15" t="s">
        <v>36</v>
      </c>
      <c r="F5" s="7" t="s">
        <v>17</v>
      </c>
      <c r="G5" s="17" t="s">
        <v>37</v>
      </c>
      <c r="H5" s="17" t="s">
        <v>38</v>
      </c>
      <c r="I5" s="18" t="s">
        <v>20</v>
      </c>
      <c r="J5" s="19"/>
      <c r="K5" s="19"/>
      <c r="L5" s="19"/>
    </row>
    <row r="6" spans="1:12" ht="49.5" customHeight="1" x14ac:dyDescent="0.35">
      <c r="A6" s="2" t="s">
        <v>12</v>
      </c>
      <c r="B6" s="3" t="s">
        <v>13</v>
      </c>
      <c r="C6" s="4" t="s">
        <v>39</v>
      </c>
      <c r="D6" s="5" t="s">
        <v>40</v>
      </c>
      <c r="E6" s="6" t="s">
        <v>41</v>
      </c>
      <c r="F6" s="7" t="s">
        <v>17</v>
      </c>
      <c r="G6" s="8" t="s">
        <v>42</v>
      </c>
      <c r="H6" s="8" t="s">
        <v>43</v>
      </c>
      <c r="I6" s="9" t="s">
        <v>44</v>
      </c>
      <c r="J6" s="10"/>
      <c r="K6" s="10"/>
      <c r="L6" s="10"/>
    </row>
    <row r="7" spans="1:12" ht="49.5" customHeight="1" x14ac:dyDescent="0.35">
      <c r="A7" s="20" t="s">
        <v>45</v>
      </c>
      <c r="B7" s="12" t="s">
        <v>13</v>
      </c>
      <c r="C7" s="13" t="s">
        <v>46</v>
      </c>
      <c r="D7" s="14" t="s">
        <v>47</v>
      </c>
      <c r="E7" s="15" t="s">
        <v>48</v>
      </c>
      <c r="F7" s="7" t="s">
        <v>17</v>
      </c>
      <c r="G7" s="17" t="s">
        <v>49</v>
      </c>
      <c r="H7" s="17" t="s">
        <v>50</v>
      </c>
      <c r="I7" s="21" t="s">
        <v>51</v>
      </c>
      <c r="J7" s="19"/>
      <c r="K7" s="19"/>
      <c r="L7" s="19"/>
    </row>
    <row r="8" spans="1:12" ht="49.5" customHeight="1" x14ac:dyDescent="0.35">
      <c r="A8" s="22" t="s">
        <v>45</v>
      </c>
      <c r="B8" s="23" t="s">
        <v>13</v>
      </c>
      <c r="C8" s="24" t="s">
        <v>52</v>
      </c>
      <c r="D8" s="25" t="s">
        <v>53</v>
      </c>
      <c r="E8" s="26" t="s">
        <v>54</v>
      </c>
      <c r="F8" s="7" t="s">
        <v>17</v>
      </c>
      <c r="G8" s="27" t="s">
        <v>55</v>
      </c>
      <c r="H8" s="27" t="s">
        <v>56</v>
      </c>
      <c r="I8" s="28" t="s">
        <v>57</v>
      </c>
      <c r="J8" s="29"/>
      <c r="K8" s="29"/>
      <c r="L8" s="29"/>
    </row>
    <row r="9" spans="1:12" ht="49.5" customHeight="1" x14ac:dyDescent="0.35">
      <c r="A9" s="20" t="s">
        <v>45</v>
      </c>
      <c r="B9" s="12" t="s">
        <v>13</v>
      </c>
      <c r="C9" s="13" t="s">
        <v>58</v>
      </c>
      <c r="D9" s="14" t="s">
        <v>59</v>
      </c>
      <c r="E9" s="15" t="s">
        <v>60</v>
      </c>
      <c r="F9" s="16" t="s">
        <v>24</v>
      </c>
      <c r="G9" s="17" t="s">
        <v>61</v>
      </c>
      <c r="H9" s="17" t="s">
        <v>62</v>
      </c>
      <c r="I9" s="21" t="s">
        <v>63</v>
      </c>
      <c r="J9" s="19"/>
      <c r="K9" s="19"/>
      <c r="L9" s="19"/>
    </row>
    <row r="10" spans="1:12" ht="49.5" customHeight="1" x14ac:dyDescent="0.35">
      <c r="A10" s="22" t="s">
        <v>45</v>
      </c>
      <c r="B10" s="23" t="s">
        <v>13</v>
      </c>
      <c r="C10" s="24" t="s">
        <v>64</v>
      </c>
      <c r="D10" s="25" t="s">
        <v>65</v>
      </c>
      <c r="E10" s="26" t="s">
        <v>66</v>
      </c>
      <c r="F10" s="7" t="s">
        <v>17</v>
      </c>
      <c r="G10" s="27" t="s">
        <v>67</v>
      </c>
      <c r="H10" s="27" t="s">
        <v>68</v>
      </c>
      <c r="I10" s="28" t="s">
        <v>69</v>
      </c>
      <c r="J10" s="29"/>
      <c r="K10" s="29"/>
      <c r="L10" s="29"/>
    </row>
    <row r="11" spans="1:12" ht="49.5" customHeight="1" x14ac:dyDescent="0.35">
      <c r="A11" s="20" t="s">
        <v>45</v>
      </c>
      <c r="B11" s="12" t="s">
        <v>13</v>
      </c>
      <c r="C11" s="13" t="s">
        <v>70</v>
      </c>
      <c r="D11" s="14" t="s">
        <v>71</v>
      </c>
      <c r="E11" s="15" t="s">
        <v>72</v>
      </c>
      <c r="F11" s="16" t="s">
        <v>24</v>
      </c>
      <c r="G11" s="17" t="s">
        <v>73</v>
      </c>
      <c r="H11" s="17" t="s">
        <v>74</v>
      </c>
      <c r="I11" s="21" t="s">
        <v>75</v>
      </c>
      <c r="J11" s="19"/>
      <c r="K11" s="19"/>
      <c r="L11" s="19"/>
    </row>
    <row r="12" spans="1:12" ht="49.5" customHeight="1" x14ac:dyDescent="0.35">
      <c r="A12" s="30" t="s">
        <v>76</v>
      </c>
      <c r="B12" s="31" t="s">
        <v>77</v>
      </c>
      <c r="C12" s="32" t="s">
        <v>78</v>
      </c>
      <c r="D12" s="33" t="s">
        <v>79</v>
      </c>
      <c r="E12" s="34" t="s">
        <v>80</v>
      </c>
      <c r="F12" s="16" t="s">
        <v>24</v>
      </c>
      <c r="G12" s="35" t="s">
        <v>81</v>
      </c>
      <c r="H12" s="35" t="s">
        <v>82</v>
      </c>
      <c r="I12" s="36" t="s">
        <v>83</v>
      </c>
      <c r="J12" s="37"/>
      <c r="K12" s="37"/>
      <c r="L12" s="37"/>
    </row>
    <row r="13" spans="1:12" ht="49.5" customHeight="1" x14ac:dyDescent="0.35">
      <c r="A13" s="38" t="s">
        <v>76</v>
      </c>
      <c r="B13" s="12" t="s">
        <v>77</v>
      </c>
      <c r="C13" s="13" t="s">
        <v>84</v>
      </c>
      <c r="D13" s="14" t="s">
        <v>85</v>
      </c>
      <c r="E13" s="15" t="s">
        <v>86</v>
      </c>
      <c r="F13" s="16" t="s">
        <v>24</v>
      </c>
      <c r="G13" s="17" t="s">
        <v>87</v>
      </c>
      <c r="H13" s="17" t="s">
        <v>88</v>
      </c>
      <c r="I13" s="39" t="s">
        <v>89</v>
      </c>
      <c r="J13" s="19"/>
      <c r="K13" s="19"/>
      <c r="L13" s="19"/>
    </row>
    <row r="14" spans="1:12" ht="49.5" customHeight="1" x14ac:dyDescent="0.35">
      <c r="A14" s="30" t="s">
        <v>76</v>
      </c>
      <c r="B14" s="31" t="s">
        <v>77</v>
      </c>
      <c r="C14" s="32" t="s">
        <v>90</v>
      </c>
      <c r="D14" s="33" t="s">
        <v>91</v>
      </c>
      <c r="E14" s="34" t="s">
        <v>92</v>
      </c>
      <c r="F14" s="16" t="s">
        <v>24</v>
      </c>
      <c r="G14" s="35" t="s">
        <v>93</v>
      </c>
      <c r="H14" s="35" t="s">
        <v>94</v>
      </c>
      <c r="I14" s="36" t="s">
        <v>95</v>
      </c>
      <c r="J14" s="37"/>
      <c r="K14" s="37"/>
      <c r="L14" s="37"/>
    </row>
    <row r="15" spans="1:12" ht="49.5" customHeight="1" x14ac:dyDescent="0.35">
      <c r="A15" s="38" t="s">
        <v>76</v>
      </c>
      <c r="B15" s="12" t="s">
        <v>77</v>
      </c>
      <c r="C15" s="13" t="s">
        <v>96</v>
      </c>
      <c r="D15" s="14" t="s">
        <v>97</v>
      </c>
      <c r="E15" s="15" t="s">
        <v>98</v>
      </c>
      <c r="F15" s="7" t="s">
        <v>17</v>
      </c>
      <c r="G15" s="17" t="s">
        <v>99</v>
      </c>
      <c r="H15" s="17" t="s">
        <v>100</v>
      </c>
      <c r="I15" s="39" t="s">
        <v>101</v>
      </c>
      <c r="J15" s="19"/>
      <c r="K15" s="19"/>
      <c r="L15" s="19"/>
    </row>
    <row r="16" spans="1:12" ht="49.5" customHeight="1" x14ac:dyDescent="0.35">
      <c r="A16" s="30" t="s">
        <v>76</v>
      </c>
      <c r="B16" s="31" t="s">
        <v>77</v>
      </c>
      <c r="C16" s="32" t="s">
        <v>102</v>
      </c>
      <c r="D16" s="33" t="s">
        <v>103</v>
      </c>
      <c r="E16" s="34" t="s">
        <v>104</v>
      </c>
      <c r="F16" s="16" t="s">
        <v>24</v>
      </c>
      <c r="G16" s="35" t="s">
        <v>105</v>
      </c>
      <c r="H16" s="35" t="s">
        <v>106</v>
      </c>
      <c r="I16" s="36" t="s">
        <v>107</v>
      </c>
      <c r="J16" s="37"/>
      <c r="K16" s="37"/>
      <c r="L16" s="37"/>
    </row>
    <row r="17" spans="1:12" ht="49.5" customHeight="1" x14ac:dyDescent="0.35">
      <c r="A17" s="40" t="s">
        <v>108</v>
      </c>
      <c r="B17" s="12" t="s">
        <v>77</v>
      </c>
      <c r="C17" s="13" t="s">
        <v>109</v>
      </c>
      <c r="D17" s="14" t="s">
        <v>110</v>
      </c>
      <c r="E17" s="15" t="s">
        <v>111</v>
      </c>
      <c r="F17" s="7" t="s">
        <v>17</v>
      </c>
      <c r="G17" s="17" t="s">
        <v>112</v>
      </c>
      <c r="H17" s="17" t="s">
        <v>113</v>
      </c>
      <c r="I17" s="41" t="s">
        <v>114</v>
      </c>
      <c r="J17" s="19"/>
      <c r="K17" s="19"/>
      <c r="L17" s="19"/>
    </row>
    <row r="18" spans="1:12" ht="49.5" customHeight="1" x14ac:dyDescent="0.35">
      <c r="A18" s="42" t="s">
        <v>108</v>
      </c>
      <c r="B18" s="43" t="s">
        <v>77</v>
      </c>
      <c r="C18" s="44" t="s">
        <v>115</v>
      </c>
      <c r="D18" s="45" t="s">
        <v>116</v>
      </c>
      <c r="E18" s="46" t="s">
        <v>117</v>
      </c>
      <c r="F18" s="16" t="s">
        <v>24</v>
      </c>
      <c r="G18" s="47" t="s">
        <v>118</v>
      </c>
      <c r="H18" s="47" t="s">
        <v>119</v>
      </c>
      <c r="I18" s="48" t="s">
        <v>120</v>
      </c>
      <c r="J18" s="49"/>
      <c r="K18" s="49"/>
      <c r="L18" s="49"/>
    </row>
    <row r="19" spans="1:12" ht="49.5" customHeight="1" x14ac:dyDescent="0.35">
      <c r="A19" s="40" t="s">
        <v>108</v>
      </c>
      <c r="B19" s="12" t="s">
        <v>77</v>
      </c>
      <c r="C19" s="13" t="s">
        <v>121</v>
      </c>
      <c r="D19" s="14" t="s">
        <v>122</v>
      </c>
      <c r="E19" s="15" t="s">
        <v>123</v>
      </c>
      <c r="F19" s="7" t="s">
        <v>17</v>
      </c>
      <c r="G19" s="17" t="s">
        <v>124</v>
      </c>
      <c r="H19" s="17" t="s">
        <v>125</v>
      </c>
      <c r="I19" s="41" t="s">
        <v>126</v>
      </c>
      <c r="J19" s="19"/>
      <c r="K19" s="19"/>
      <c r="L19" s="19"/>
    </row>
    <row r="20" spans="1:12" ht="49.5" customHeight="1" x14ac:dyDescent="0.35">
      <c r="A20" s="42" t="s">
        <v>108</v>
      </c>
      <c r="B20" s="43" t="s">
        <v>77</v>
      </c>
      <c r="C20" s="44" t="s">
        <v>127</v>
      </c>
      <c r="D20" s="45" t="s">
        <v>128</v>
      </c>
      <c r="E20" s="46" t="s">
        <v>129</v>
      </c>
      <c r="F20" s="7" t="s">
        <v>17</v>
      </c>
      <c r="G20" s="47" t="s">
        <v>130</v>
      </c>
      <c r="H20" s="47" t="s">
        <v>131</v>
      </c>
      <c r="I20" s="48" t="s">
        <v>132</v>
      </c>
      <c r="J20" s="49"/>
      <c r="K20" s="49"/>
      <c r="L20" s="49"/>
    </row>
    <row r="21" spans="1:12" ht="49.5" customHeight="1" x14ac:dyDescent="0.35">
      <c r="A21" s="40" t="s">
        <v>108</v>
      </c>
      <c r="B21" s="12" t="s">
        <v>77</v>
      </c>
      <c r="C21" s="13" t="s">
        <v>133</v>
      </c>
      <c r="D21" s="14" t="s">
        <v>134</v>
      </c>
      <c r="E21" s="15" t="s">
        <v>135</v>
      </c>
      <c r="F21" s="7" t="s">
        <v>17</v>
      </c>
      <c r="G21" s="17" t="s">
        <v>136</v>
      </c>
      <c r="H21" s="17" t="s">
        <v>137</v>
      </c>
      <c r="I21" s="41" t="s">
        <v>138</v>
      </c>
      <c r="J21" s="19"/>
      <c r="K21" s="19"/>
      <c r="L21" s="19"/>
    </row>
    <row r="22" spans="1:12" ht="49.5" customHeight="1" x14ac:dyDescent="0.35">
      <c r="A22" s="50" t="s">
        <v>139</v>
      </c>
      <c r="B22" s="51" t="s">
        <v>140</v>
      </c>
      <c r="C22" s="52" t="s">
        <v>141</v>
      </c>
      <c r="D22" s="53" t="s">
        <v>142</v>
      </c>
      <c r="E22" s="54" t="s">
        <v>143</v>
      </c>
      <c r="F22" s="16" t="s">
        <v>24</v>
      </c>
      <c r="G22" s="55" t="s">
        <v>144</v>
      </c>
      <c r="H22" s="55" t="s">
        <v>145</v>
      </c>
      <c r="I22" s="56" t="s">
        <v>146</v>
      </c>
      <c r="J22" s="57"/>
      <c r="K22" s="57"/>
      <c r="L22" s="57"/>
    </row>
    <row r="23" spans="1:12" ht="49.5" customHeight="1" x14ac:dyDescent="0.35">
      <c r="A23" s="58" t="s">
        <v>139</v>
      </c>
      <c r="B23" s="12" t="s">
        <v>140</v>
      </c>
      <c r="C23" s="13" t="s">
        <v>147</v>
      </c>
      <c r="D23" s="14" t="s">
        <v>148</v>
      </c>
      <c r="E23" s="15" t="s">
        <v>149</v>
      </c>
      <c r="F23" s="16" t="s">
        <v>24</v>
      </c>
      <c r="G23" s="17" t="s">
        <v>150</v>
      </c>
      <c r="H23" s="17" t="s">
        <v>151</v>
      </c>
      <c r="I23" s="59" t="s">
        <v>146</v>
      </c>
      <c r="J23" s="19"/>
      <c r="K23" s="19"/>
      <c r="L23" s="19"/>
    </row>
    <row r="24" spans="1:12" ht="49.5" customHeight="1" x14ac:dyDescent="0.35">
      <c r="A24" s="50" t="s">
        <v>139</v>
      </c>
      <c r="B24" s="51" t="s">
        <v>140</v>
      </c>
      <c r="C24" s="52" t="s">
        <v>152</v>
      </c>
      <c r="D24" s="53" t="s">
        <v>153</v>
      </c>
      <c r="E24" s="54" t="s">
        <v>154</v>
      </c>
      <c r="F24" s="16" t="s">
        <v>24</v>
      </c>
      <c r="G24" s="55" t="s">
        <v>155</v>
      </c>
      <c r="H24" s="55" t="s">
        <v>156</v>
      </c>
      <c r="I24" s="56" t="s">
        <v>157</v>
      </c>
      <c r="J24" s="57"/>
      <c r="K24" s="57"/>
      <c r="L24" s="57"/>
    </row>
    <row r="25" spans="1:12" ht="49.5" customHeight="1" x14ac:dyDescent="0.35">
      <c r="A25" s="58" t="s">
        <v>139</v>
      </c>
      <c r="B25" s="12" t="s">
        <v>140</v>
      </c>
      <c r="C25" s="13" t="s">
        <v>158</v>
      </c>
      <c r="D25" s="14" t="s">
        <v>159</v>
      </c>
      <c r="E25" s="15" t="s">
        <v>160</v>
      </c>
      <c r="F25" s="16" t="s">
        <v>24</v>
      </c>
      <c r="G25" s="17" t="s">
        <v>161</v>
      </c>
      <c r="H25" s="17" t="s">
        <v>162</v>
      </c>
      <c r="I25" s="59" t="s">
        <v>163</v>
      </c>
      <c r="J25" s="19"/>
      <c r="K25" s="19"/>
      <c r="L25" s="19"/>
    </row>
    <row r="26" spans="1:12" ht="49.5" customHeight="1" x14ac:dyDescent="0.35">
      <c r="A26" s="50" t="s">
        <v>139</v>
      </c>
      <c r="B26" s="51" t="s">
        <v>140</v>
      </c>
      <c r="C26" s="52" t="s">
        <v>164</v>
      </c>
      <c r="D26" s="53" t="s">
        <v>165</v>
      </c>
      <c r="E26" s="54" t="s">
        <v>166</v>
      </c>
      <c r="F26" s="16" t="s">
        <v>24</v>
      </c>
      <c r="G26" s="55" t="s">
        <v>167</v>
      </c>
      <c r="H26" s="55" t="s">
        <v>168</v>
      </c>
      <c r="I26" s="56" t="s">
        <v>146</v>
      </c>
      <c r="J26" s="57"/>
      <c r="K26" s="57"/>
      <c r="L26" s="57"/>
    </row>
    <row r="27" spans="1:12" ht="49.5" customHeight="1" x14ac:dyDescent="0.35">
      <c r="A27" s="58" t="s">
        <v>139</v>
      </c>
      <c r="B27" s="12" t="s">
        <v>140</v>
      </c>
      <c r="C27" s="13" t="s">
        <v>169</v>
      </c>
      <c r="D27" s="14" t="s">
        <v>170</v>
      </c>
      <c r="E27" s="15" t="s">
        <v>171</v>
      </c>
      <c r="F27" s="16" t="s">
        <v>24</v>
      </c>
      <c r="G27" s="17" t="s">
        <v>172</v>
      </c>
      <c r="H27" s="17" t="s">
        <v>173</v>
      </c>
      <c r="I27" s="59" t="s">
        <v>174</v>
      </c>
      <c r="J27" s="19"/>
      <c r="K27" s="19"/>
      <c r="L27" s="19"/>
    </row>
    <row r="28" spans="1:12" ht="49.5" customHeight="1" x14ac:dyDescent="0.35">
      <c r="A28" s="60" t="s">
        <v>175</v>
      </c>
      <c r="B28" s="61" t="s">
        <v>140</v>
      </c>
      <c r="C28" s="62" t="s">
        <v>176</v>
      </c>
      <c r="D28" s="63" t="s">
        <v>177</v>
      </c>
      <c r="E28" s="64" t="s">
        <v>178</v>
      </c>
      <c r="F28" s="16" t="s">
        <v>24</v>
      </c>
      <c r="G28" s="65" t="s">
        <v>179</v>
      </c>
      <c r="H28" s="65" t="s">
        <v>180</v>
      </c>
      <c r="I28" s="66" t="s">
        <v>181</v>
      </c>
      <c r="J28" s="67"/>
      <c r="K28" s="67"/>
      <c r="L28" s="67"/>
    </row>
    <row r="29" spans="1:12" ht="49.5" customHeight="1" x14ac:dyDescent="0.35">
      <c r="A29" s="68" t="s">
        <v>175</v>
      </c>
      <c r="B29" s="12" t="s">
        <v>140</v>
      </c>
      <c r="C29" s="13" t="s">
        <v>182</v>
      </c>
      <c r="D29" s="14" t="s">
        <v>183</v>
      </c>
      <c r="E29" s="15" t="s">
        <v>184</v>
      </c>
      <c r="F29" s="16" t="s">
        <v>24</v>
      </c>
      <c r="G29" s="17" t="s">
        <v>185</v>
      </c>
      <c r="H29" s="17" t="s">
        <v>186</v>
      </c>
      <c r="I29" s="69" t="s">
        <v>181</v>
      </c>
      <c r="J29" s="19"/>
      <c r="K29" s="19"/>
      <c r="L29" s="19"/>
    </row>
    <row r="30" spans="1:12" ht="49.5" customHeight="1" x14ac:dyDescent="0.35">
      <c r="A30" s="60" t="s">
        <v>175</v>
      </c>
      <c r="B30" s="61" t="s">
        <v>140</v>
      </c>
      <c r="C30" s="62" t="s">
        <v>187</v>
      </c>
      <c r="D30" s="63" t="s">
        <v>188</v>
      </c>
      <c r="E30" s="64" t="s">
        <v>189</v>
      </c>
      <c r="F30" s="7" t="s">
        <v>17</v>
      </c>
      <c r="G30" s="65" t="s">
        <v>190</v>
      </c>
      <c r="H30" s="65" t="s">
        <v>191</v>
      </c>
      <c r="I30" s="66" t="s">
        <v>192</v>
      </c>
      <c r="J30" s="67"/>
      <c r="K30" s="67"/>
      <c r="L30" s="67"/>
    </row>
    <row r="31" spans="1:12" ht="49.5" customHeight="1" x14ac:dyDescent="0.35">
      <c r="A31" s="68" t="s">
        <v>175</v>
      </c>
      <c r="B31" s="12" t="s">
        <v>140</v>
      </c>
      <c r="C31" s="13" t="s">
        <v>193</v>
      </c>
      <c r="D31" s="14" t="s">
        <v>194</v>
      </c>
      <c r="E31" s="15" t="s">
        <v>195</v>
      </c>
      <c r="F31" s="7" t="s">
        <v>17</v>
      </c>
      <c r="G31" s="17" t="s">
        <v>196</v>
      </c>
      <c r="H31" s="17" t="s">
        <v>197</v>
      </c>
      <c r="I31" s="69" t="s">
        <v>198</v>
      </c>
      <c r="J31" s="19"/>
      <c r="K31" s="19"/>
      <c r="L31" s="19"/>
    </row>
    <row r="32" spans="1:12" ht="49.5" customHeight="1" x14ac:dyDescent="0.35">
      <c r="A32" s="60" t="s">
        <v>175</v>
      </c>
      <c r="B32" s="61" t="s">
        <v>140</v>
      </c>
      <c r="C32" s="62" t="s">
        <v>199</v>
      </c>
      <c r="D32" s="63" t="s">
        <v>200</v>
      </c>
      <c r="E32" s="64" t="s">
        <v>201</v>
      </c>
      <c r="F32" s="16" t="s">
        <v>24</v>
      </c>
      <c r="G32" s="65" t="s">
        <v>202</v>
      </c>
      <c r="H32" s="65" t="s">
        <v>203</v>
      </c>
      <c r="I32" s="66" t="s">
        <v>204</v>
      </c>
      <c r="J32" s="67"/>
      <c r="K32" s="67"/>
      <c r="L32" s="67"/>
    </row>
    <row r="33" spans="1:12" ht="49.5" customHeight="1" x14ac:dyDescent="0.35">
      <c r="A33" s="70" t="s">
        <v>205</v>
      </c>
      <c r="B33" s="12" t="s">
        <v>206</v>
      </c>
      <c r="C33" s="13" t="s">
        <v>207</v>
      </c>
      <c r="D33" s="14" t="s">
        <v>208</v>
      </c>
      <c r="E33" s="15" t="s">
        <v>209</v>
      </c>
      <c r="F33" s="16" t="s">
        <v>24</v>
      </c>
      <c r="G33" s="17" t="s">
        <v>210</v>
      </c>
      <c r="H33" s="17" t="s">
        <v>211</v>
      </c>
      <c r="I33" s="71" t="s">
        <v>212</v>
      </c>
      <c r="J33" s="19"/>
      <c r="K33" s="19"/>
      <c r="L33" s="19"/>
    </row>
    <row r="34" spans="1:12" ht="49.5" customHeight="1" x14ac:dyDescent="0.35">
      <c r="A34" s="72" t="s">
        <v>205</v>
      </c>
      <c r="B34" s="73" t="s">
        <v>206</v>
      </c>
      <c r="C34" s="74" t="s">
        <v>213</v>
      </c>
      <c r="D34" s="75" t="s">
        <v>214</v>
      </c>
      <c r="E34" s="76" t="s">
        <v>215</v>
      </c>
      <c r="F34" s="16" t="s">
        <v>24</v>
      </c>
      <c r="G34" s="77" t="s">
        <v>216</v>
      </c>
      <c r="H34" s="77" t="s">
        <v>217</v>
      </c>
      <c r="I34" s="78" t="s">
        <v>218</v>
      </c>
      <c r="J34" s="79"/>
      <c r="K34" s="79"/>
      <c r="L34" s="79"/>
    </row>
    <row r="35" spans="1:12" ht="49.5" customHeight="1" x14ac:dyDescent="0.35">
      <c r="A35" s="70" t="s">
        <v>205</v>
      </c>
      <c r="B35" s="12" t="s">
        <v>206</v>
      </c>
      <c r="C35" s="13" t="s">
        <v>219</v>
      </c>
      <c r="D35" s="14" t="s">
        <v>220</v>
      </c>
      <c r="E35" s="15" t="s">
        <v>221</v>
      </c>
      <c r="F35" s="16" t="s">
        <v>24</v>
      </c>
      <c r="G35" s="17" t="s">
        <v>222</v>
      </c>
      <c r="H35" s="17" t="s">
        <v>223</v>
      </c>
      <c r="I35" s="71" t="s">
        <v>204</v>
      </c>
      <c r="J35" s="19"/>
      <c r="K35" s="19"/>
      <c r="L35" s="19"/>
    </row>
    <row r="36" spans="1:12" ht="49.5" customHeight="1" x14ac:dyDescent="0.35">
      <c r="A36" s="72" t="s">
        <v>205</v>
      </c>
      <c r="B36" s="73" t="s">
        <v>206</v>
      </c>
      <c r="C36" s="74" t="s">
        <v>224</v>
      </c>
      <c r="D36" s="75" t="s">
        <v>225</v>
      </c>
      <c r="E36" s="76" t="s">
        <v>226</v>
      </c>
      <c r="F36" s="16" t="s">
        <v>24</v>
      </c>
      <c r="G36" s="77" t="s">
        <v>227</v>
      </c>
      <c r="H36" s="77" t="s">
        <v>228</v>
      </c>
      <c r="I36" s="78" t="s">
        <v>229</v>
      </c>
      <c r="J36" s="79"/>
      <c r="K36" s="79"/>
      <c r="L36" s="79"/>
    </row>
    <row r="37" spans="1:12" ht="49.5" customHeight="1" x14ac:dyDescent="0.35">
      <c r="A37" s="70" t="s">
        <v>205</v>
      </c>
      <c r="B37" s="12" t="s">
        <v>206</v>
      </c>
      <c r="C37" s="13" t="s">
        <v>230</v>
      </c>
      <c r="D37" s="14" t="s">
        <v>231</v>
      </c>
      <c r="E37" s="15" t="s">
        <v>232</v>
      </c>
      <c r="F37" s="16" t="s">
        <v>24</v>
      </c>
      <c r="G37" s="17" t="s">
        <v>233</v>
      </c>
      <c r="H37" s="17" t="s">
        <v>234</v>
      </c>
      <c r="I37" s="71" t="s">
        <v>218</v>
      </c>
      <c r="J37" s="19"/>
      <c r="K37" s="19"/>
      <c r="L37" s="19"/>
    </row>
    <row r="38" spans="1:12" ht="49.5" customHeight="1" x14ac:dyDescent="0.35">
      <c r="A38" s="80" t="s">
        <v>235</v>
      </c>
      <c r="B38" s="81" t="s">
        <v>206</v>
      </c>
      <c r="C38" s="82" t="s">
        <v>236</v>
      </c>
      <c r="D38" s="83" t="s">
        <v>237</v>
      </c>
      <c r="E38" s="84" t="s">
        <v>238</v>
      </c>
      <c r="F38" s="7" t="s">
        <v>17</v>
      </c>
      <c r="G38" s="85" t="s">
        <v>239</v>
      </c>
      <c r="H38" s="85" t="s">
        <v>240</v>
      </c>
      <c r="I38" s="86" t="s">
        <v>241</v>
      </c>
      <c r="J38" s="87"/>
      <c r="K38" s="87"/>
      <c r="L38" s="87"/>
    </row>
    <row r="39" spans="1:12" ht="49.5" customHeight="1" x14ac:dyDescent="0.35">
      <c r="A39" s="88" t="s">
        <v>235</v>
      </c>
      <c r="B39" s="12" t="s">
        <v>206</v>
      </c>
      <c r="C39" s="13" t="s">
        <v>242</v>
      </c>
      <c r="D39" s="14" t="s">
        <v>243</v>
      </c>
      <c r="E39" s="15" t="s">
        <v>244</v>
      </c>
      <c r="F39" s="16" t="s">
        <v>24</v>
      </c>
      <c r="G39" s="17" t="s">
        <v>245</v>
      </c>
      <c r="H39" s="17" t="s">
        <v>246</v>
      </c>
      <c r="I39" s="89" t="s">
        <v>247</v>
      </c>
      <c r="J39" s="19"/>
      <c r="K39" s="19"/>
      <c r="L39" s="19"/>
    </row>
    <row r="40" spans="1:12" ht="49.5" customHeight="1" x14ac:dyDescent="0.35">
      <c r="A40" s="80" t="s">
        <v>235</v>
      </c>
      <c r="B40" s="81" t="s">
        <v>206</v>
      </c>
      <c r="C40" s="82" t="s">
        <v>248</v>
      </c>
      <c r="D40" s="83" t="s">
        <v>249</v>
      </c>
      <c r="E40" s="84" t="s">
        <v>250</v>
      </c>
      <c r="F40" s="7" t="s">
        <v>17</v>
      </c>
      <c r="G40" s="85" t="s">
        <v>251</v>
      </c>
      <c r="H40" s="85" t="s">
        <v>252</v>
      </c>
      <c r="I40" s="86" t="s">
        <v>253</v>
      </c>
      <c r="J40" s="87"/>
      <c r="K40" s="87"/>
      <c r="L40" s="87"/>
    </row>
    <row r="41" spans="1:12" ht="49.5" customHeight="1" x14ac:dyDescent="0.35">
      <c r="A41" s="88" t="s">
        <v>235</v>
      </c>
      <c r="B41" s="12" t="s">
        <v>206</v>
      </c>
      <c r="C41" s="13" t="s">
        <v>254</v>
      </c>
      <c r="D41" s="14" t="s">
        <v>255</v>
      </c>
      <c r="E41" s="15" t="s">
        <v>256</v>
      </c>
      <c r="F41" s="16" t="s">
        <v>24</v>
      </c>
      <c r="G41" s="17" t="s">
        <v>257</v>
      </c>
      <c r="H41" s="17" t="s">
        <v>258</v>
      </c>
      <c r="I41" s="89" t="s">
        <v>259</v>
      </c>
      <c r="J41" s="19"/>
      <c r="K41" s="19"/>
      <c r="L41" s="19"/>
    </row>
    <row r="42" spans="1:12" ht="49.5" customHeight="1" x14ac:dyDescent="0.35">
      <c r="A42" s="90" t="s">
        <v>260</v>
      </c>
      <c r="B42" s="91" t="s">
        <v>261</v>
      </c>
      <c r="C42" s="92" t="s">
        <v>262</v>
      </c>
      <c r="D42" s="93" t="s">
        <v>263</v>
      </c>
      <c r="E42" s="94" t="s">
        <v>264</v>
      </c>
      <c r="F42" s="16" t="s">
        <v>24</v>
      </c>
      <c r="G42" s="95" t="s">
        <v>265</v>
      </c>
      <c r="H42" s="95" t="s">
        <v>266</v>
      </c>
      <c r="I42" s="96" t="s">
        <v>267</v>
      </c>
      <c r="J42" s="97"/>
      <c r="K42" s="97"/>
      <c r="L42" s="97"/>
    </row>
    <row r="43" spans="1:12" ht="49.5" customHeight="1" x14ac:dyDescent="0.35">
      <c r="A43" s="98" t="s">
        <v>260</v>
      </c>
      <c r="B43" s="12" t="s">
        <v>261</v>
      </c>
      <c r="C43" s="13" t="s">
        <v>268</v>
      </c>
      <c r="D43" s="14" t="s">
        <v>269</v>
      </c>
      <c r="E43" s="15" t="s">
        <v>270</v>
      </c>
      <c r="F43" s="7" t="s">
        <v>17</v>
      </c>
      <c r="G43" s="17" t="s">
        <v>271</v>
      </c>
      <c r="H43" s="17" t="s">
        <v>272</v>
      </c>
      <c r="I43" s="99" t="s">
        <v>273</v>
      </c>
      <c r="J43" s="19"/>
      <c r="K43" s="19"/>
      <c r="L43" s="19"/>
    </row>
    <row r="44" spans="1:12" ht="49.5" customHeight="1" x14ac:dyDescent="0.35">
      <c r="A44" s="90" t="s">
        <v>260</v>
      </c>
      <c r="B44" s="91" t="s">
        <v>261</v>
      </c>
      <c r="C44" s="92" t="s">
        <v>274</v>
      </c>
      <c r="D44" s="93" t="s">
        <v>275</v>
      </c>
      <c r="E44" s="94" t="s">
        <v>276</v>
      </c>
      <c r="F44" s="16" t="s">
        <v>24</v>
      </c>
      <c r="G44" s="95" t="s">
        <v>277</v>
      </c>
      <c r="H44" s="95" t="s">
        <v>278</v>
      </c>
      <c r="I44" s="96" t="s">
        <v>279</v>
      </c>
      <c r="J44" s="97"/>
      <c r="K44" s="97"/>
      <c r="L44" s="97"/>
    </row>
    <row r="45" spans="1:12" ht="49.5" customHeight="1" x14ac:dyDescent="0.35">
      <c r="A45" s="98" t="s">
        <v>260</v>
      </c>
      <c r="B45" s="12" t="s">
        <v>261</v>
      </c>
      <c r="C45" s="13" t="s">
        <v>280</v>
      </c>
      <c r="D45" s="14" t="s">
        <v>281</v>
      </c>
      <c r="E45" s="15" t="s">
        <v>282</v>
      </c>
      <c r="F45" s="7" t="s">
        <v>17</v>
      </c>
      <c r="G45" s="17" t="s">
        <v>283</v>
      </c>
      <c r="H45" s="17" t="s">
        <v>284</v>
      </c>
      <c r="I45" s="99" t="s">
        <v>285</v>
      </c>
      <c r="J45" s="19"/>
      <c r="K45" s="19"/>
      <c r="L45" s="19"/>
    </row>
    <row r="46" spans="1:12" ht="49.5" customHeight="1" x14ac:dyDescent="0.35">
      <c r="A46" s="90" t="s">
        <v>260</v>
      </c>
      <c r="B46" s="91" t="s">
        <v>261</v>
      </c>
      <c r="C46" s="92" t="s">
        <v>286</v>
      </c>
      <c r="D46" s="93" t="s">
        <v>287</v>
      </c>
      <c r="E46" s="94" t="s">
        <v>288</v>
      </c>
      <c r="F46" s="7" t="s">
        <v>17</v>
      </c>
      <c r="G46" s="95" t="s">
        <v>289</v>
      </c>
      <c r="H46" s="95" t="s">
        <v>290</v>
      </c>
      <c r="I46" s="96" t="s">
        <v>279</v>
      </c>
      <c r="J46" s="97"/>
      <c r="K46" s="97"/>
      <c r="L46" s="97"/>
    </row>
    <row r="47" spans="1:12" ht="49.5" customHeight="1" x14ac:dyDescent="0.35">
      <c r="A47" s="100" t="s">
        <v>291</v>
      </c>
      <c r="B47" s="12" t="s">
        <v>261</v>
      </c>
      <c r="C47" s="13" t="s">
        <v>292</v>
      </c>
      <c r="D47" s="14" t="s">
        <v>293</v>
      </c>
      <c r="E47" s="15" t="s">
        <v>294</v>
      </c>
      <c r="F47" s="16" t="s">
        <v>24</v>
      </c>
      <c r="G47" s="17" t="s">
        <v>295</v>
      </c>
      <c r="H47" s="17" t="s">
        <v>296</v>
      </c>
      <c r="I47" s="101" t="s">
        <v>297</v>
      </c>
      <c r="J47" s="19"/>
      <c r="K47" s="19"/>
      <c r="L47" s="19"/>
    </row>
    <row r="48" spans="1:12" ht="49.5" customHeight="1" x14ac:dyDescent="0.35">
      <c r="A48" s="102" t="s">
        <v>291</v>
      </c>
      <c r="B48" s="23" t="s">
        <v>261</v>
      </c>
      <c r="C48" s="24" t="s">
        <v>298</v>
      </c>
      <c r="D48" s="25" t="s">
        <v>299</v>
      </c>
      <c r="E48" s="26" t="s">
        <v>300</v>
      </c>
      <c r="F48" s="16" t="s">
        <v>24</v>
      </c>
      <c r="G48" s="27" t="s">
        <v>301</v>
      </c>
      <c r="H48" s="27" t="s">
        <v>302</v>
      </c>
      <c r="I48" s="103" t="s">
        <v>303</v>
      </c>
      <c r="J48" s="29"/>
      <c r="K48" s="29"/>
      <c r="L48" s="29"/>
    </row>
    <row r="49" spans="1:12" ht="49.5" customHeight="1" x14ac:dyDescent="0.35">
      <c r="A49" s="100" t="s">
        <v>291</v>
      </c>
      <c r="B49" s="12" t="s">
        <v>261</v>
      </c>
      <c r="C49" s="13" t="s">
        <v>304</v>
      </c>
      <c r="D49" s="14" t="s">
        <v>305</v>
      </c>
      <c r="E49" s="15" t="s">
        <v>306</v>
      </c>
      <c r="F49" s="16" t="s">
        <v>24</v>
      </c>
      <c r="G49" s="17" t="s">
        <v>307</v>
      </c>
      <c r="H49" s="17" t="s">
        <v>308</v>
      </c>
      <c r="I49" s="101" t="s">
        <v>297</v>
      </c>
      <c r="J49" s="19"/>
      <c r="K49" s="19"/>
      <c r="L49" s="19"/>
    </row>
    <row r="50" spans="1:12" ht="49.5" customHeight="1" x14ac:dyDescent="0.35">
      <c r="A50" s="102" t="s">
        <v>291</v>
      </c>
      <c r="B50" s="23" t="s">
        <v>261</v>
      </c>
      <c r="C50" s="24" t="s">
        <v>309</v>
      </c>
      <c r="D50" s="25" t="s">
        <v>310</v>
      </c>
      <c r="E50" s="26" t="s">
        <v>311</v>
      </c>
      <c r="F50" s="16" t="s">
        <v>24</v>
      </c>
      <c r="G50" s="27" t="s">
        <v>312</v>
      </c>
      <c r="H50" s="27" t="s">
        <v>313</v>
      </c>
      <c r="I50" s="103" t="s">
        <v>314</v>
      </c>
      <c r="J50" s="29"/>
      <c r="K50" s="29"/>
      <c r="L50" s="29"/>
    </row>
    <row r="51" spans="1:12" ht="49.5" customHeight="1" x14ac:dyDescent="0.35">
      <c r="A51" s="100" t="s">
        <v>291</v>
      </c>
      <c r="B51" s="12" t="s">
        <v>261</v>
      </c>
      <c r="C51" s="13" t="s">
        <v>315</v>
      </c>
      <c r="D51" s="14" t="s">
        <v>316</v>
      </c>
      <c r="E51" s="15" t="s">
        <v>317</v>
      </c>
      <c r="F51" s="16" t="s">
        <v>24</v>
      </c>
      <c r="G51" s="17" t="s">
        <v>318</v>
      </c>
      <c r="H51" s="17" t="s">
        <v>319</v>
      </c>
      <c r="I51" s="101" t="s">
        <v>320</v>
      </c>
      <c r="J51" s="19"/>
      <c r="K51" s="19"/>
      <c r="L51" s="19"/>
    </row>
  </sheetData>
  <autoFilter ref="A1:L51" xr:uid="{00000000-0009-0000-0000-000000000000}"/>
  <dataValidations count="1">
    <dataValidation type="list" allowBlank="1" errorTitle="Invalid status" error="Please pick a valid status" prompt="Pick one" sqref="L2:L51" xr:uid="{00000000-0002-0000-0000-000000000000}">
      <formula1>"Draft,In Review,Approved,In Progress,Blocked,Out of Scope"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Activity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Satish Atmakuri</cp:lastModifiedBy>
  <cp:revision>0</cp:revision>
  <dcterms:created xsi:type="dcterms:W3CDTF">2026-06-12T07:04:53Z</dcterms:created>
  <dcterms:modified xsi:type="dcterms:W3CDTF">2026-06-12T07:12:56Z</dcterms:modified>
  <dc:language>en-US</dc:language>
</cp:coreProperties>
</file>