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_Scoring_Model" sheetId="2" state="visible" r:id="rId4"/>
    <sheet name="B_Evaluation_Flow" sheetId="3" state="visible" r:id="rId5"/>
    <sheet name="C_Components" sheetId="4" state="visible" r:id="rId6"/>
    <sheet name="C_KPI_Benchmark" sheetId="5" state="visible" r:id="rId7"/>
    <sheet name="D_Shared_Services" sheetId="6" state="visible" r:id="rId8"/>
    <sheet name="E_Measurements" sheetId="7" state="visible" r:id="rId9"/>
    <sheet name="E_Scorecard" sheetId="8" state="visible" r:id="rId10"/>
    <sheet name="E_Summary" sheetId="9" state="visible" r:id="rId11"/>
  </sheets>
  <definedNames>
    <definedName function="false" hidden="true" localSheetId="3" name="_xlnm._FilterDatabase" vbProcedure="false">C_Components!$A$4:$M$35</definedName>
    <definedName function="false" hidden="true" localSheetId="4" name="_xlnm._FilterDatabase" vbProcedure="false">C_KPI_Benchmark!$A$4:$R$546</definedName>
    <definedName function="false" hidden="true" localSheetId="6" name="_xlnm._FilterDatabase" vbProcedure="false">E_Measurements!$A$4:$Q$546</definedName>
    <definedName function="false" hidden="true" localSheetId="7" name="_xlnm._FilterDatabase" vbProcedure="false">E_Scorecard!$A$4:$V$95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5" authorId="0">
      <text>
        <r>
          <rPr>
            <sz val="10"/>
            <rFont val="Arial"/>
            <family val="2"/>
          </rPr>
          <t xml:space="preserve">Rows for L3-1.a hold ILLUSTRATIVE example values for grp1/grp2/grp3. Replace with real benchmark results.</t>
        </r>
      </text>
    </comment>
  </commentList>
</comments>
</file>

<file path=xl/sharedStrings.xml><?xml version="1.0" encoding="utf-8"?>
<sst xmlns="http://schemas.openxmlformats.org/spreadsheetml/2006/main" count="8310" uniqueCount="1365">
  <si>
    <t xml:space="preserve">L3 Agent (Controller) — Reusable Solution Benchmark KPIs</t>
  </si>
  <si>
    <t xml:space="preserve">Zion Quality Platform · Sol PE grp1 / grp2 / grp3 · companion to wf2c_l3_agent_kpi_benchmark_light.html (sections A–E)</t>
  </si>
  <si>
    <t xml:space="preserve">Purpose</t>
  </si>
  <si>
    <t xml:space="preserve">One benchmark for every L3 AI agent, ML model, heuristic and business-logic component across STLC phases 1–10, so each capability is built once, certified, and reused by all three Sol PE groups.</t>
  </si>
  <si>
    <t xml:space="preserve">Sheet</t>
  </si>
  <si>
    <t xml:space="preserve">What it holds</t>
  </si>
  <si>
    <t xml:space="preserve">A_Scoring_Model</t>
  </si>
  <si>
    <t xml:space="preserve">Section A — six weighted dimensions, generic KPIs, scoring parameters, six mandatory gates, five eligibility tiers. Weights and thresholds here drive every formula.</t>
  </si>
  <si>
    <t xml:space="preserve">B_Evaluation_Flow</t>
  </si>
  <si>
    <t xml:space="preserve">Section B — the eight steps from registering an idea to quarterly re-benchmarking, with owner, inputs, outputs and exit criterion.</t>
  </si>
  <si>
    <t xml:space="preserve">C_Components</t>
  </si>
  <si>
    <t xml:space="preserve">Section C — the 30 L3 components: phase, type, technique, reusable I/O contract, golden benchmark set, shared services, KPI counts.</t>
  </si>
  <si>
    <t xml:space="preserve">C_KPI_Benchmark</t>
  </si>
  <si>
    <t xml:space="preserve">Section C — detailed KPI catalogue: one row per KPI per component with dimension, unit, direction, Target (Tier 1), Min floor and measurement method.</t>
  </si>
  <si>
    <t xml:space="preserve">D_Shared_Services</t>
  </si>
  <si>
    <t xml:space="preserve">Section D — ten shared platform services and a component × service usage matrix.</t>
  </si>
  <si>
    <t xml:space="preserve">E_Measurements</t>
  </si>
  <si>
    <t xml:space="preserve">Section E — enter each group's measured value per KPI; KPI scores (0–100) calculate automatically.</t>
  </si>
  <si>
    <t xml:space="preserve">E_Scorecard</t>
  </si>
  <si>
    <t xml:space="preserve">Section E — per component and group: dimension scores, composite, gates, tier and rank.</t>
  </si>
  <si>
    <t xml:space="preserve">E_Summary</t>
  </si>
  <si>
    <t xml:space="preserve">Section E — per component: leading group, composite, tier and the action for all groups.</t>
  </si>
  <si>
    <t xml:space="preserve">Legend</t>
  </si>
  <si>
    <t xml:space="preserve">Yellow fill</t>
  </si>
  <si>
    <t xml:space="preserve">Input cell — enter values here (E_Measurements group values, E_Scorecard gates G1–G4 and G6).</t>
  </si>
  <si>
    <t xml:space="preserve">Blue text</t>
  </si>
  <si>
    <t xml:space="preserve">Hardcoded benchmark values (weights, thresholds, KPI targets and floors) — change only with review board approval.</t>
  </si>
  <si>
    <t xml:space="preserve">Black text</t>
  </si>
  <si>
    <t xml:space="preserve">Formulas — do not overwrite.</t>
  </si>
  <si>
    <t xml:space="preserve">Green text</t>
  </si>
  <si>
    <t xml:space="preserve">Links pulled from another sheet.</t>
  </si>
  <si>
    <t xml:space="preserve">How to score</t>
  </si>
  <si>
    <t xml:space="preserve">1</t>
  </si>
  <si>
    <t xml:space="preserve">In E_Measurements, enter the measured value on the golden set for each KPI and group. Percent KPIs as percentages (e.g. 94%), Yes/No KPIs as 1 = Yes, 0 = No.</t>
  </si>
  <si>
    <t xml:space="preserve">2</t>
  </si>
  <si>
    <t xml:space="preserve">KPI score = 100 at or beyond Target, 60 at the Min floor, linear between, 0 beyond the floor. KPIs without a defined Min use the default tolerance in A_Scoring_Model.</t>
  </si>
  <si>
    <t xml:space="preserve">3</t>
  </si>
  <si>
    <t xml:space="preserve">In E_Scorecard, set gates G1–G4 and G6 to Y or N. G5 (efficacy floors) is computed. Composite, tier and rank calculate once all six dimensions have at least one measured KPI.</t>
  </si>
  <si>
    <t xml:space="preserve">4</t>
  </si>
  <si>
    <t xml:space="preserve">E_Summary shows the leading eligible solution per component. Tier 1 becomes the Sol PE standard.</t>
  </si>
  <si>
    <t xml:space="preserve">Example data</t>
  </si>
  <si>
    <t xml:space="preserve">Component L3-1.a (NL Req Parsing &amp; Classification Agent) is pre-filled with ILLUSTRATIVE values for grp1, grp2 and grp3 to show the mechanics. Replace them with real benchmark results.</t>
  </si>
  <si>
    <t xml:space="preserve">Source</t>
  </si>
  <si>
    <t xml:space="preserve">All targets and floors: proposed benchmark v1.0 (wf2c page, September 2026), to be confirmed by the cross-group review board.</t>
  </si>
  <si>
    <t xml:space="preserve">A · Scoring model</t>
  </si>
  <si>
    <t xml:space="preserve">Six dimensions every L3 solution is measured on; weights are fixed across all 30 components so rankings are comparable</t>
  </si>
  <si>
    <t xml:space="preserve">Dim</t>
  </si>
  <si>
    <t xml:space="preserve">Dimension</t>
  </si>
  <si>
    <t xml:space="preserve">Weight</t>
  </si>
  <si>
    <t xml:space="preserve">Generic KPIs applied to every component</t>
  </si>
  <si>
    <t xml:space="preserve">D1</t>
  </si>
  <si>
    <t xml:space="preserve">Functional efficacy</t>
  </si>
  <si>
    <t xml:space="preserve">Component KPIs in C_KPI_Benchmark on the shared golden set · must beat the current manual / tool baseline · every D1 KPI ≥ Min (gate G5)</t>
  </si>
  <si>
    <t xml:space="preserve">D2</t>
  </si>
  <si>
    <t xml:space="preserve">Reuse &amp; genericity</t>
  </si>
  <si>
    <t xml:space="preserve">Portability: ≥3 product lines (NVMe SSD, UFS, eMMC/uSD, PSSD) with ≤10% efficacy drop · ≥90% of specifics in config · versioned OpenAPI / JSON Schema I/O · uses shared services · adopted by ≥2 of 3 groups within 2 quarters · onboarding ≤2 days</t>
  </si>
  <si>
    <t xml:space="preserve">D3</t>
  </si>
  <si>
    <t xml:space="preserve">Scalability &amp; performance</t>
  </si>
  <si>
    <t xml:space="preserve">p95 latency / throughput at component target · 10× load with ≤20% latency degradation · stateless, horizontally scalable on Zion K8s · cost per 1k runs at or below benchmark · fits on-prem GPU budget</t>
  </si>
  <si>
    <t xml:space="preserve">D4</t>
  </si>
  <si>
    <t xml:space="preserve">Reliability &amp; trust</t>
  </si>
  <si>
    <t xml:space="preserve">Run-to-run consistency ≥95% · hallucination / fabricated output at or below target · evidence or citation on every output · availability ≥99.5% · graceful fallback to rules or a human</t>
  </si>
  <si>
    <t xml:space="preserve">D5</t>
  </si>
  <si>
    <t xml:space="preserve">Business value</t>
  </si>
  <si>
    <t xml:space="preserve">Effort saved vs manual baseline · SME accept-without-edit rate · cycle-time reduction of the STLC activity · monthly active users across groups</t>
  </si>
  <si>
    <t xml:space="preserve">D6</t>
  </si>
  <si>
    <t xml:space="preserve">Governance &amp; maintainability</t>
  </si>
  <si>
    <t xml:space="preserve">Solution code test coverage ≥80% · Review Shield 0 critical · SAST 0 high, 0 secrets, data on-prem · model card, data sheet, README, runbook · MLOps drift monitor + registry · named owner and support SLA</t>
  </si>
  <si>
    <t xml:space="preserve">Total (must be 100%)</t>
  </si>
  <si>
    <t xml:space="preserve">Scoring parameters</t>
  </si>
  <si>
    <t xml:space="preserve">Score at or beyond Target</t>
  </si>
  <si>
    <t xml:space="preserve">KPI score formula: 100 at/beyond Target · 60 at Min · linear between · 0 beyond Min</t>
  </si>
  <si>
    <t xml:space="preserve">Score at the Min floor</t>
  </si>
  <si>
    <t xml:space="preserve">Default tolerance for KPIs without a defined Min</t>
  </si>
  <si>
    <t xml:space="preserve">Assumption: a KPI with no Min floor is interpolated between Target and Target relaxed by this tolerance (Yes/No and zero-target KPIs become pass / fail).</t>
  </si>
  <si>
    <t xml:space="preserve">Challenger margin to replace a champion (points)</t>
  </si>
  <si>
    <t xml:space="preserve">Challenger replaces champion only if composite ≥ champion + margin and no gate regresses</t>
  </si>
  <si>
    <t xml:space="preserve">Mandatory gates — any failure makes a solution ineligible</t>
  </si>
  <si>
    <t xml:space="preserve">Gate</t>
  </si>
  <si>
    <t xml:space="preserve">Name</t>
  </si>
  <si>
    <t xml:space="preserve">Check</t>
  </si>
  <si>
    <t xml:space="preserve">Rule</t>
  </si>
  <si>
    <t xml:space="preserve">G1</t>
  </si>
  <si>
    <t xml:space="preserve">Registered first</t>
  </si>
  <si>
    <t xml:space="preserve">Input</t>
  </si>
  <si>
    <t xml:space="preserve">Registered in the Zion Capability Registry before development starts; duplicate check done against existing Tier-1/Tier-2 components.</t>
  </si>
  <si>
    <t xml:space="preserve">G2</t>
  </si>
  <si>
    <t xml:space="preserve">Reproducible benchmark</t>
  </si>
  <si>
    <t xml:space="preserve">Benchmarked on the shared golden dataset with a reproducible harness (versioned data, fixed seeds, scripted run).</t>
  </si>
  <si>
    <t xml:space="preserve">G3</t>
  </si>
  <si>
    <t xml:space="preserve">Data stays on-prem</t>
  </si>
  <si>
    <t xml:space="preserve">Customer specs, logs and telemetry processed only through the approved on-prem LLM / Zion LLM gateway.</t>
  </si>
  <si>
    <t xml:space="preserve">G4</t>
  </si>
  <si>
    <t xml:space="preserve">Human in the loop</t>
  </si>
  <si>
    <t xml:space="preserve">Human approval for irreversible actions: closing defects, granting access, release Go, committing healed scripts.</t>
  </si>
  <si>
    <t xml:space="preserve">G5</t>
  </si>
  <si>
    <t xml:space="preserve">Efficacy floors met</t>
  </si>
  <si>
    <t xml:space="preserve">Auto</t>
  </si>
  <si>
    <t xml:space="preserve">Every D1 efficacy KPI at or above its Min floor (computed from E_Measurements).</t>
  </si>
  <si>
    <t xml:space="preserve">G6</t>
  </si>
  <si>
    <t xml:space="preserve">Documentation complete</t>
  </si>
  <si>
    <t xml:space="preserve">README, I/O contract, model card, runbook, benchmark report.</t>
  </si>
  <si>
    <t xml:space="preserve">Eligibility tiers by composite score</t>
  </si>
  <si>
    <t xml:space="preserve">Tier</t>
  </si>
  <si>
    <t xml:space="preserve">Tier name</t>
  </si>
  <si>
    <t xml:space="preserve">Min composite</t>
  </si>
  <si>
    <t xml:space="preserve">What it means for the groups</t>
  </si>
  <si>
    <t xml:space="preserve">T1</t>
  </si>
  <si>
    <t xml:space="preserve">Tier 1 · Certified</t>
  </si>
  <si>
    <t xml:space="preserve">Platform standard. Mandatory reuse across grp1/2/3; new builds of this capability are blocked.</t>
  </si>
  <si>
    <t xml:space="preserve">T2</t>
  </si>
  <si>
    <t xml:space="preserve">Tier 2 · Conditional</t>
  </si>
  <si>
    <t xml:space="preserve">Reusable with a named improvement plan; re-benchmark in one quarter.</t>
  </si>
  <si>
    <t xml:space="preserve">T3</t>
  </si>
  <si>
    <t xml:space="preserve">Tier 3 · Group-local</t>
  </si>
  <si>
    <t xml:space="preserve">Usable within the owning group only; not listed in the shared catalog.</t>
  </si>
  <si>
    <t xml:space="preserve">T4</t>
  </si>
  <si>
    <t xml:space="preserve">Tier 4 · Rework</t>
  </si>
  <si>
    <t xml:space="preserve">Not for production use; merge effort into the leading solution.</t>
  </si>
  <si>
    <t xml:space="preserve">—</t>
  </si>
  <si>
    <t xml:space="preserve">Not eligible</t>
  </si>
  <si>
    <t xml:space="preserve">&lt; T4 or gate fail</t>
  </si>
  <si>
    <t xml:space="preserve">Composite below the Tier 4 minimum, or any gate failed. Retire, or fix the failed gate and resubmit.</t>
  </si>
  <si>
    <t xml:space="preserve">Composite = Σ weight × dimension score = 0.30·D1 + 0.20·D2 + 0.15·D3 + 0.10·D4 + 0.15·D5 + 0.10·D6   ·   Dimension score = mean of its KPI scores   ·   Tie-break: higher D1 → lower cost per 1k runs → more groups already adopting</t>
  </si>
  <si>
    <t xml:space="preserve">B · Evaluation flow</t>
  </si>
  <si>
    <t xml:space="preserve">From idea to certified reusable component</t>
  </si>
  <si>
    <t xml:space="preserve">Step</t>
  </si>
  <si>
    <t xml:space="preserve">What happens</t>
  </si>
  <si>
    <t xml:space="preserve">Owner</t>
  </si>
  <si>
    <t xml:space="preserve">Output</t>
  </si>
  <si>
    <t xml:space="preserve">Exit criterion</t>
  </si>
  <si>
    <t xml:space="preserve">Register intent</t>
  </si>
  <si>
    <t xml:space="preserve">Group files the capability in the Zion Capability Registry with its L3 ID (e.g. L3-1.a).</t>
  </si>
  <si>
    <t xml:space="preserve">Proposing group lead</t>
  </si>
  <si>
    <t xml:space="preserve">Capability idea, target phase</t>
  </si>
  <si>
    <t xml:space="preserve">Registry entry</t>
  </si>
  <si>
    <t xml:space="preserve">Entry exists before any development (G1)</t>
  </si>
  <si>
    <t xml:space="preserve">Duplicate check</t>
  </si>
  <si>
    <t xml:space="preserve">Registry searched for Tier-1/2 solutions of the same capability; if one exists the group extends it instead of building new.</t>
  </si>
  <si>
    <t xml:space="preserve">Review board + Zion platform team</t>
  </si>
  <si>
    <t xml:space="preserve">Build / extend decision</t>
  </si>
  <si>
    <t xml:space="preserve">Decision recorded in registry</t>
  </si>
  <si>
    <t xml:space="preserve">Build to contract</t>
  </si>
  <si>
    <t xml:space="preserve">Implement the reusable I/O contract and use the shared services (D_Shared_Services).</t>
  </si>
  <si>
    <t xml:space="preserve">Component owner</t>
  </si>
  <si>
    <t xml:space="preserve">L3 contract, shared services</t>
  </si>
  <si>
    <t xml:space="preserve">Solution + docs pack</t>
  </si>
  <si>
    <t xml:space="preserve">Contract tests pass; docs pack complete (G6)</t>
  </si>
  <si>
    <t xml:space="preserve">Benchmark run</t>
  </si>
  <si>
    <t xml:space="preserve">Automated harness on the shared golden set produces the KPI report.</t>
  </si>
  <si>
    <t xml:space="preserve">Golden-set owner + component owner</t>
  </si>
  <si>
    <t xml:space="preserve">Solution, golden set</t>
  </si>
  <si>
    <t xml:space="preserve">KPI report (E_Measurements values)</t>
  </si>
  <si>
    <t xml:space="preserve">Reproducible run, versioned data and seeds (G2)</t>
  </si>
  <si>
    <t xml:space="preserve">Score &amp; gate</t>
  </si>
  <si>
    <t xml:space="preserve">KPI scores roll up to six dimensions and a composite; six gates checked.</t>
  </si>
  <si>
    <t xml:space="preserve">KPI report</t>
  </si>
  <si>
    <t xml:space="preserve">E_Scorecard row</t>
  </si>
  <si>
    <t xml:space="preserve">All six dimensions scored</t>
  </si>
  <si>
    <t xml:space="preserve">Cross-group review</t>
  </si>
  <si>
    <t xml:space="preserve">grp1/2/3 leads and AI champions validate the evidence and gate status.</t>
  </si>
  <si>
    <t xml:space="preserve">Cross-group review board</t>
  </si>
  <si>
    <t xml:space="preserve">Scorecard + evidence</t>
  </si>
  <si>
    <t xml:space="preserve">Validated scores</t>
  </si>
  <si>
    <t xml:space="preserve">Board sign-off</t>
  </si>
  <si>
    <t xml:space="preserve">Rank &amp; publish</t>
  </si>
  <si>
    <t xml:space="preserve">Tier assigned; Tier 1 is published to the shared catalog as the Sol PE standard.</t>
  </si>
  <si>
    <t xml:space="preserve">Tier + catalog entry</t>
  </si>
  <si>
    <t xml:space="preserve">E_Summary updated and communicated</t>
  </si>
  <si>
    <t xml:space="preserve">Quarterly re-benchmark</t>
  </si>
  <si>
    <t xml:space="preserve">Champion vs challenger on the grown golden set; challenger wins only by ≥ margin with no gate regression.</t>
  </si>
  <si>
    <t xml:space="preserve">Review board + all groups</t>
  </si>
  <si>
    <t xml:space="preserve">New submissions, updated golden set</t>
  </si>
  <si>
    <t xml:space="preserve">Updated tiers</t>
  </si>
  <si>
    <t xml:space="preserve">Re-benchmark completed each quarter</t>
  </si>
  <si>
    <t xml:space="preserve">C · L3 component register — 30 components, STLC phases 1–10</t>
  </si>
  <si>
    <t xml:space="preserve">Reusable I/O contract, technique, golden benchmark set and shared services per component</t>
  </si>
  <si>
    <t xml:space="preserve">Phase</t>
  </si>
  <si>
    <t xml:space="preserve">Phase name</t>
  </si>
  <si>
    <t xml:space="preserve">L3 ID</t>
  </si>
  <si>
    <t xml:space="preserve">L3 component</t>
  </si>
  <si>
    <t xml:space="preserve">Type</t>
  </si>
  <si>
    <t xml:space="preserve">Technique</t>
  </si>
  <si>
    <t xml:space="preserve">Input (contract)</t>
  </si>
  <si>
    <t xml:space="preserve">Output (contract)</t>
  </si>
  <si>
    <t xml:space="preserve">Golden benchmark set</t>
  </si>
  <si>
    <t xml:space="preserve">Shared services</t>
  </si>
  <si>
    <t xml:space="preserve">KPIs total</t>
  </si>
  <si>
    <t xml:space="preserve">D1 KPIs</t>
  </si>
  <si>
    <t xml:space="preserve">D1 KPIs with floor</t>
  </si>
  <si>
    <t xml:space="preserve">Requirements Analysis &amp; Review</t>
  </si>
  <si>
    <t xml:space="preserve">1.a</t>
  </si>
  <si>
    <t xml:space="preserve">NL Req Parsing &amp; Classification Agent</t>
  </si>
  <si>
    <t xml:space="preserve">AI + HX</t>
  </si>
  <si>
    <t xml:space="preserve">LLM extraction + taxonomy classifier; clause-level chunking</t>
  </si>
  <si>
    <t xml:space="preserve">Spec / PRD (PDF, DOCX, ReqIF)</t>
  </si>
  <si>
    <t xml:space="preserve">Atomic requirements JSON {id, text, type, priority, source clause}</t>
  </si>
  <si>
    <t xml:space="preserve">5 annotated specs (NVMe 2.0 Base, ZNS, UFS 4.0, 2 internal PRDs), ~2,500 labelled requirements</t>
  </si>
  <si>
    <t xml:space="preserve">LLM gateway, Spec &amp;, golden harness</t>
  </si>
  <si>
    <t xml:space="preserve">1.b</t>
  </si>
  <si>
    <t xml:space="preserve">Feasibility &amp; Quality Analyzer</t>
  </si>
  <si>
    <t xml:space="preserve">LLM rubric on ISO/IEC/IEEE 29148 attributes + ambiguity lexicon</t>
  </si>
  <si>
    <t xml:space="preserve">Atomic requirements</t>
  </si>
  <si>
    <t xml:space="preserve">Flags {ambiguous, untestable, incomplete, conflicting} + rewrite suggestion</t>
  </si>
  <si>
    <t xml:space="preserve">800 requirements with SME-labelled 29148 defects + 120 known conflict pairs</t>
  </si>
  <si>
    <t xml:space="preserve">LLM gateway, Embedding &amp;, Rule &amp;, golden harness</t>
  </si>
  <si>
    <t xml:space="preserve">1.c</t>
  </si>
  <si>
    <t xml:space="preserve">RTM Auto-Generator + Risk Scoring</t>
  </si>
  <si>
    <t xml:space="preserve">Semantic linking + traceability graph; likelihood × impact risk heuristic</t>
  </si>
  <si>
    <t xml:space="preserve">Requirements + test cases</t>
  </si>
  <si>
    <t xml:space="preserve">RTM links {req, tc, confidence} + risk score 1–25</t>
  </si>
  <si>
    <t xml:space="preserve">Curated RTMs from 2 released products (~6k links) with SME risk rankings</t>
  </si>
  <si>
    <t xml:space="preserve">LLM gateway, Embedding &amp;, Risk scoring, golden harness</t>
  </si>
  <si>
    <t xml:space="preserve">Test Planning</t>
  </si>
  <si>
    <t xml:space="preserve">2.a</t>
  </si>
  <si>
    <t xml:space="preserve">Test Strategy AI Advisor</t>
  </si>
  <si>
    <t xml:space="preserve">AI</t>
  </si>
  <si>
    <t xml:space="preserve">RAG over strategy templates and past strategies + LLM drafting</t>
  </si>
  <si>
    <t xml:space="preserve">Scope, risk register, product type</t>
  </si>
  <si>
    <t xml:space="preserve">Strategy draft {levels, types, techniques, entry/exit}</t>
  </si>
  <si>
    <t xml:space="preserve">20 approved historical strategies + SME scoring rubric</t>
  </si>
  <si>
    <t xml:space="preserve">LLM gateway, Spec &amp;, Report &amp;, golden harness</t>
  </si>
  <si>
    <t xml:space="preserve">2.b</t>
  </si>
  <si>
    <t xml:space="preserve">Effort Estimator ML Model</t>
  </si>
  <si>
    <t xml:space="preserve">ML</t>
  </si>
  <si>
    <t xml:space="preserve">Gradient boosting / quantile regression on historical effort</t>
  </si>
  <si>
    <t xml:space="preserve">Features {req count, complexity, TC count, reuse %, FW delta}</t>
  </si>
  <si>
    <t xml:space="preserve">Person-days P10 / P50 / P90</t>
  </si>
  <si>
    <t xml:space="preserve">≥150 closed projects, planned vs actual effort, time-split hold-out</t>
  </si>
  <si>
    <t xml:space="preserve">MLOps pipeline, golden harness</t>
  </si>
  <si>
    <t xml:space="preserve">2.c</t>
  </si>
  <si>
    <t xml:space="preserve">Risk Scoring &amp; Plan Generator</t>
  </si>
  <si>
    <t xml:space="preserve">HX + AI</t>
  </si>
  <si>
    <t xml:space="preserve">FMEA RPN heuristic + LLM plan writer</t>
  </si>
  <si>
    <t xml:space="preserve">Features, risk items, strategy</t>
  </si>
  <si>
    <t xml:space="preserve">RPN scores, mitigations, test plan (MD / DOCX / Confluence)</t>
  </si>
  <si>
    <t xml:space="preserve">15 plans with SME risk rankings and review comments</t>
  </si>
  <si>
    <t xml:space="preserve">LLM gateway, Risk scoring, Rule &amp;, Report &amp;, golden harness</t>
  </si>
  <si>
    <t xml:space="preserve">Test Design &amp; Development</t>
  </si>
  <si>
    <t xml:space="preserve">3.a</t>
  </si>
  <si>
    <t xml:space="preserve">Scenario + LLM Test Case Gen Agent</t>
  </si>
  <si>
    <t xml:space="preserve">LLM + technique heuristics (EP, BVA, pairwise, state transition)</t>
  </si>
  <si>
    <t xml:space="preserve">Atomic requirement + domain pack</t>
  </si>
  <si>
    <t xml:space="preserve">TCs {pre, steps, expected, technique, req link}</t>
  </si>
  <si>
    <t xml:space="preserve">NVMe Format NVM, Sanitize, Get Log Page expert suites (~1,500 TCs) + seeded mutants</t>
  </si>
  <si>
    <t xml:space="preserve">LLM gateway, Embedding &amp;, golden harness</t>
  </si>
  <si>
    <t xml:space="preserve">3.b</t>
  </si>
  <si>
    <t xml:space="preserve">BDD Writer &amp; Data Synth Agent</t>
  </si>
  <si>
    <t xml:space="preserve">LLM Gherkin writer + constraint-based / generative data synthesis</t>
  </si>
  <si>
    <t xml:space="preserve">TC or requirement; data schema + constraints</t>
  </si>
  <si>
    <t xml:space="preserve">.feature files; synthetic datasets</t>
  </si>
  <si>
    <t xml:space="preserve">300 reference scenarios + 20 data schemas with constraint oracles</t>
  </si>
  <si>
    <t xml:space="preserve">LLM gateway, golden harness</t>
  </si>
  <si>
    <t xml:space="preserve">3.c</t>
  </si>
  <si>
    <t xml:space="preserve">Script Dev/Review &amp; Coverage Agent</t>
  </si>
  <si>
    <t xml:space="preserve">Code LLM + static analysis + coverage-gap heuristics</t>
  </si>
  <si>
    <t xml:space="preserve">TC; existing scripts; coverage data</t>
  </si>
  <si>
    <t xml:space="preserve">Automation script; review findings; coverage-gap list</t>
  </si>
  <si>
    <t xml:space="preserve">200 TC→script reference pairs + seeded-defect review set</t>
  </si>
  <si>
    <t xml:space="preserve">LLM gateway, Log parser, golden harness</t>
  </si>
  <si>
    <t xml:space="preserve">3.d</t>
  </si>
  <si>
    <t xml:space="preserve">AI Code Review Agent (Review Shield)</t>
  </si>
  <si>
    <t xml:space="preserve">LLM reviewer over MR diff with Graph RAG branch context, layered on SAM static analysis and linters</t>
  </si>
  <si>
    <t xml:space="preserve">MR diff + changed-line summary; branch Graph RAG context; static-analysis output; per-repo feature config</t>
  </si>
  <si>
    <t xml:space="preserve">Risk summary + capped review comments {file, line, severity, type, issue, fix}</t>
  </si>
  <si>
    <t xml:space="preserve">≥200 seeded, SME-labelled defects across C/C++ firmware, Python backend and TypeScript/Angular repos + clean diffs for false-positive measurement</t>
  </si>
  <si>
    <t xml:space="preserve">LLM gateway, Embedding &amp;, Log parser, Rule &amp;, Report &amp;, MLOps pipeline, golden harness</t>
  </si>
  <si>
    <t xml:space="preserve">Test Environment Setup</t>
  </si>
  <si>
    <t xml:space="preserve">4.a</t>
  </si>
  <si>
    <t xml:space="preserve">IaC Provisioner Agent</t>
  </si>
  <si>
    <t xml:space="preserve">AI + BL</t>
  </si>
  <si>
    <t xml:space="preserve">LLM → Terraform / Ansible + policy-as-code checks</t>
  </si>
  <si>
    <t xml:space="preserve">Env spec {host OS, kernel, driver, FW, tools}</t>
  </si>
  <si>
    <t xml:space="preserve">IaC modules + provisioned rig / VM / pod</t>
  </si>
  <si>
    <t xml:space="preserve">25 reference environment specs with expected end-state</t>
  </si>
  <si>
    <t xml:space="preserve">LLM gateway, Rule &amp;, golden harness</t>
  </si>
  <si>
    <t xml:space="preserve">4.b</t>
  </si>
  <si>
    <t xml:space="preserve">Env Validator &amp; Drift Detector</t>
  </si>
  <si>
    <t xml:space="preserve">ML + BL</t>
  </si>
  <si>
    <t xml:space="preserve">Golden-config diff rules + anomaly model on inventory snapshots</t>
  </si>
  <si>
    <t xml:space="preserve">Rig inventory snapshot</t>
  </si>
  <si>
    <t xml:space="preserve">Health status + drift items {expected, actual}</t>
  </si>
  <si>
    <t xml:space="preserve">100 seeded-drift scenarios on reference rigs</t>
  </si>
  <si>
    <t xml:space="preserve">Time-series anomaly, MLOps pipeline, golden harness</t>
  </si>
  <si>
    <t xml:space="preserve">4.c</t>
  </si>
  <si>
    <t xml:space="preserve">Access &amp; Security Recommender</t>
  </si>
  <si>
    <t xml:space="preserve">BL + AI</t>
  </si>
  <si>
    <t xml:space="preserve">RBAC / least-privilege policy engine + LLM rationale</t>
  </si>
  <si>
    <t xml:space="preserve">Role, project, current grants</t>
  </si>
  <si>
    <t xml:space="preserve">Access recommendations + misconfiguration findings</t>
  </si>
  <si>
    <t xml:space="preserve">200 seeded IAM misconfiguration cases</t>
  </si>
  <si>
    <t xml:space="preserve">Test Execution</t>
  </si>
  <si>
    <t xml:space="preserve">5.a</t>
  </si>
  <si>
    <t xml:space="preserve">Test Orchestrator Agent</t>
  </si>
  <si>
    <t xml:space="preserve">Test impact analysis + scheduling heuristic / RL on rig pool</t>
  </si>
  <si>
    <t xml:space="preserve">Suite, change set, rig pool</t>
  </si>
  <si>
    <t xml:space="preserve">Optimised schedule + execution run</t>
  </si>
  <si>
    <t xml:space="preserve">6-month CI replay with known defects</t>
  </si>
  <si>
    <t xml:space="preserve">LLM gateway, Risk scoring, golden harness</t>
  </si>
  <si>
    <t xml:space="preserve">5.b</t>
  </si>
  <si>
    <t xml:space="preserve">Self-Healing Script Agent</t>
  </si>
  <si>
    <t xml:space="preserve">LLM + API / CLI / log-field diff heuristics</t>
  </si>
  <si>
    <t xml:space="preserve">Failed script + failure context</t>
  </si>
  <si>
    <t xml:space="preserve">Patch (diff) + confidence + classification</t>
  </si>
  <si>
    <t xml:space="preserve">300 labelled breakages (200 script-caused, 100 product-caused)</t>
  </si>
  <si>
    <t xml:space="preserve">5.c</t>
  </si>
  <si>
    <t xml:space="preserve">Visual AI + Perf Analyzer</t>
  </si>
  <si>
    <t xml:space="preserve">ML + HX</t>
  </si>
  <si>
    <t xml:space="preserve">Change-point / SPC on IOPS, BW, latency p99–p99.99; CV diff for GUI tools</t>
  </si>
  <si>
    <t xml:space="preserve">Perf metrics (fio, IOMeter, internal tools), screenshots</t>
  </si>
  <si>
    <t xml:space="preserve">Regression verdict + bottleneck attribution</t>
  </si>
  <si>
    <t xml:space="preserve">400 perf runs with injected 1–10% regressions</t>
  </si>
  <si>
    <t xml:space="preserve">Defect Management</t>
  </si>
  <si>
    <t xml:space="preserve">6.a</t>
  </si>
  <si>
    <t xml:space="preserve">Defect Classifier &amp; Severity AI</t>
  </si>
  <si>
    <t xml:space="preserve">AI + ML</t>
  </si>
  <si>
    <t xml:space="preserve">Fine-tuned classifier / LLM on report + logs</t>
  </si>
  <si>
    <t xml:space="preserve">Defect report + attached logs</t>
  </si>
  <si>
    <t xml:space="preserve">{component, category, severity, priority, owner team}</t>
  </si>
  <si>
    <t xml:space="preserve">10k historical defects with final post-triage labels</t>
  </si>
  <si>
    <t xml:space="preserve">LLM gateway, Log parser, MLOps pipeline, golden harness</t>
  </si>
  <si>
    <t xml:space="preserve">6.b</t>
  </si>
  <si>
    <t xml:space="preserve">Duplicate Detector Agent</t>
  </si>
  <si>
    <t xml:space="preserve">Embeddings + log-signature hashing</t>
  </si>
  <si>
    <t xml:space="preserve">New defect</t>
  </si>
  <si>
    <t xml:space="preserve">Top-k duplicates with similarity</t>
  </si>
  <si>
    <t xml:space="preserve">3k labelled duplicate pairs</t>
  </si>
  <si>
    <t xml:space="preserve">Embedding &amp;, Log parser, MLOps pipeline, golden harness</t>
  </si>
  <si>
    <t xml:space="preserve">6.c</t>
  </si>
  <si>
    <t xml:space="preserve">RCA Analyzer + Pattern Detector</t>
  </si>
  <si>
    <t xml:space="preserve">Log mining + causal / knowledge graph + LLM hypothesis ranking</t>
  </si>
  <si>
    <t xml:space="preserve">Defect + FW trace, host dmesg, NVMe error log, UART</t>
  </si>
  <si>
    <t xml:space="preserve">Ranked root-cause hypotheses + similar RCAs + pattern clusters</t>
  </si>
  <si>
    <t xml:space="preserve">500 closed defects with confirmed RCA and logs</t>
  </si>
  <si>
    <t xml:space="preserve">LLM gateway, Log parser, Embedding &amp;, golden harness</t>
  </si>
  <si>
    <t xml:space="preserve">Test Reporting &amp; Metrics</t>
  </si>
  <si>
    <t xml:space="preserve">7.a</t>
  </si>
  <si>
    <t xml:space="preserve">Metrics Analytics Intelligence</t>
  </si>
  <si>
    <t xml:space="preserve">NL-to-query over a semantic metrics layer + insight LLM</t>
  </si>
  <si>
    <t xml:space="preserve">Metrics warehouse + question</t>
  </si>
  <si>
    <t xml:space="preserve">KPI values + narrative insight + query</t>
  </si>
  <si>
    <t xml:space="preserve">200 NL questions with verified answers</t>
  </si>
  <si>
    <t xml:space="preserve">7.b</t>
  </si>
  <si>
    <t xml:space="preserve">Predictive QA ML Model</t>
  </si>
  <si>
    <t xml:space="preserve">Defect-proneness, residual-defect and reliability-growth models</t>
  </si>
  <si>
    <t xml:space="preserve">Code churn, test results, defect arrival</t>
  </si>
  <si>
    <t xml:space="preserve">Defect-prone modules, residual defects, readiness probability</t>
  </si>
  <si>
    <t xml:space="preserve">8 past release cycles, time-split validation</t>
  </si>
  <si>
    <t xml:space="preserve">7.c</t>
  </si>
  <si>
    <t xml:space="preserve">Auto Report Generator Agent</t>
  </si>
  <si>
    <t xml:space="preserve">Template engine + LLM narrative with numeric verification</t>
  </si>
  <si>
    <t xml:space="preserve">Metrics + audience + period</t>
  </si>
  <si>
    <t xml:space="preserve">Daily / weekly / exec / customer report</t>
  </si>
  <si>
    <t xml:space="preserve">50 approved reports with their source data</t>
  </si>
  <si>
    <t xml:space="preserve">LLM gateway, Report &amp;, golden harness</t>
  </si>
  <si>
    <t xml:space="preserve">Test Closure</t>
  </si>
  <si>
    <t xml:space="preserve">8.a</t>
  </si>
  <si>
    <t xml:space="preserve">Exit Criteria Evaluator Agent</t>
  </si>
  <si>
    <t xml:space="preserve">Deterministic criteria engine + LLM waiver summary</t>
  </si>
  <si>
    <t xml:space="preserve">Exit criteria (DSL / YAML) + metrics</t>
  </si>
  <si>
    <t xml:space="preserve">Pass / fail per criterion + waiver recommendation</t>
  </si>
  <si>
    <t xml:space="preserve">30 historical closure decisions incl. waivers</t>
  </si>
  <si>
    <t xml:space="preserve">8.b</t>
  </si>
  <si>
    <t xml:space="preserve">Knowledge Extractor Agent</t>
  </si>
  <si>
    <t xml:space="preserve">LLM extraction into KB / knowledge graph with entity linking</t>
  </si>
  <si>
    <t xml:space="preserve">Closure artifacts, retro notes, RCAs</t>
  </si>
  <si>
    <t xml:space="preserve">Structured lessons + KG entities</t>
  </si>
  <si>
    <t xml:space="preserve">100 documents with SME-extracted lessons</t>
  </si>
  <si>
    <t xml:space="preserve">LLM gateway, Spec &amp;, Embedding &amp;, golden harness</t>
  </si>
  <si>
    <t xml:space="preserve">8.c</t>
  </si>
  <si>
    <t xml:space="preserve">Process Optimizer Agent</t>
  </si>
  <si>
    <t xml:space="preserve">Process mining + bottleneck analysis + simulation</t>
  </si>
  <si>
    <t xml:space="preserve">Workflow event logs (XES / OCEL)</t>
  </si>
  <si>
    <t xml:space="preserve">Bottlenecks + recommendations + simulated gain</t>
  </si>
  <si>
    <t xml:space="preserve">12 months of Jira / ALM event logs</t>
  </si>
  <si>
    <t xml:space="preserve">Customer Release</t>
  </si>
  <si>
    <t xml:space="preserve">9.a</t>
  </si>
  <si>
    <t xml:space="preserve">Release Gate Validator Agent</t>
  </si>
  <si>
    <t xml:space="preserve">Gate policy engine + risk model + evidence checker</t>
  </si>
  <si>
    <t xml:space="preserve">Release candidate evidence</t>
  </si>
  <si>
    <t xml:space="preserve">Go / No-Go + evidence checklist</t>
  </si>
  <si>
    <t xml:space="preserve">40 historical RC decisions incl. 10 blocked</t>
  </si>
  <si>
    <t xml:space="preserve">LLM gateway, Rule &amp;, Risk scoring, golden harness</t>
  </si>
  <si>
    <t xml:space="preserve">9.b</t>
  </si>
  <si>
    <t xml:space="preserve">Deployment Verifier Agent</t>
  </si>
  <si>
    <t xml:space="preserve">Manifest checks, FW image checksum / version, post-deploy smoke</t>
  </si>
  <si>
    <t xml:space="preserve">Deployment manifest + targets</t>
  </si>
  <si>
    <t xml:space="preserve">Signed verification report</t>
  </si>
  <si>
    <t xml:space="preserve">50 seeded deployment faults</t>
  </si>
  <si>
    <t xml:space="preserve">9.c</t>
  </si>
  <si>
    <t xml:space="preserve">Comms Drafter &amp; Rollback Agent</t>
  </si>
  <si>
    <t xml:space="preserve">LLM release notes / customer comms + rollback dry-run validator</t>
  </si>
  <si>
    <t xml:space="preserve">Change log, known issues, rollback plan</t>
  </si>
  <si>
    <t xml:space="preserve">Release notes, customer comms, rollback validation</t>
  </si>
  <si>
    <t xml:space="preserve">30 past release notes with change logs</t>
  </si>
  <si>
    <t xml:space="preserve">Post-Release &amp; Prod. Monitoring</t>
  </si>
  <si>
    <t xml:space="preserve">10.a</t>
  </si>
  <si>
    <t xml:space="preserve">Anomaly Detection Agent</t>
  </si>
  <si>
    <t xml:space="preserve">SPC + isolation forest / LSTM-AE on field telemetry (SMART, error counters, latency)</t>
  </si>
  <si>
    <t xml:space="preserve">Telemetry streams</t>
  </si>
  <si>
    <t xml:space="preserve">Anomaly alerts + severity + contributing signals</t>
  </si>
  <si>
    <t xml:space="preserve">Labelled field incidents + injected anomalies</t>
  </si>
  <si>
    <t xml:space="preserve">10.b</t>
  </si>
  <si>
    <t xml:space="preserve">Customer Feedback Analyzer</t>
  </si>
  <si>
    <t xml:space="preserve">NLP sentiment + topic + defect extraction</t>
  </si>
  <si>
    <t xml:space="preserve">Customer tickets, emails, FA reports</t>
  </si>
  <si>
    <t xml:space="preserve">Sentiment, topic, auto-triaged defect</t>
  </si>
  <si>
    <t xml:space="preserve">2k labelled customer tickets</t>
  </si>
  <si>
    <t xml:space="preserve">10.c</t>
  </si>
  <si>
    <t xml:space="preserve">Hotfix Triage &amp; MLOps Pipeline</t>
  </si>
  <si>
    <t xml:space="preserve">HX + ML</t>
  </si>
  <si>
    <t xml:space="preserve">Hotfix priority heuristic + targeted regression + champion / challenger retraining</t>
  </si>
  <si>
    <t xml:space="preserve">Field issues; feedback data</t>
  </si>
  <si>
    <t xml:space="preserve">Hotfix priority + targeted suite; retrained model versions</t>
  </si>
  <si>
    <t xml:space="preserve">60 historical hotfixes</t>
  </si>
  <si>
    <t xml:space="preserve">MLOps pipeline, Risk scoring, golden harness</t>
  </si>
  <si>
    <t xml:space="preserve">Total KPIs</t>
  </si>
  <si>
    <t xml:space="preserve">C · Benchmark KPIs per L3 component — STLC phases 1–10</t>
  </si>
  <si>
    <t xml:space="preserve">One row per KPI · Target = full score and Tier-1 requirement · Min = floor (below it the KPI scores 0; below it on a D1 KPI fails gate G5)</t>
  </si>
  <si>
    <t xml:space="preserve">KPI ID</t>
  </si>
  <si>
    <t xml:space="preserve">Dim weight</t>
  </si>
  <si>
    <t xml:space="preserve">Scope</t>
  </si>
  <si>
    <t xml:space="preserve">KPI</t>
  </si>
  <si>
    <t xml:space="preserve">Unit</t>
  </si>
  <si>
    <t xml:space="preserve">Direction</t>
  </si>
  <si>
    <t xml:space="preserve">Cond.</t>
  </si>
  <si>
    <t xml:space="preserve">Target (Tier 1)</t>
  </si>
  <si>
    <t xml:space="preserve">Min floor</t>
  </si>
  <si>
    <t xml:space="preserve">Min source</t>
  </si>
  <si>
    <t xml:space="preserve">Measurement method</t>
  </si>
  <si>
    <t xml:space="preserve">1.a-D1-01</t>
  </si>
  <si>
    <t xml:space="preserve">Component-specific</t>
  </si>
  <si>
    <t xml:space="preserve">Atomic requirement extraction recall</t>
  </si>
  <si>
    <t xml:space="preserve">%</t>
  </si>
  <si>
    <t xml:space="preserve">Higher is better</t>
  </si>
  <si>
    <t xml:space="preserve">≥</t>
  </si>
  <si>
    <t xml:space="preserve">Defined</t>
  </si>
  <si>
    <t xml:space="preserve">Automated harness run on the shared golden set</t>
  </si>
  <si>
    <t xml:space="preserve">1.a-D1-02</t>
  </si>
  <si>
    <t xml:space="preserve">Classification macro-F1 (func / perf / security / compliance / interface)</t>
  </si>
  <si>
    <t xml:space="preserve">F1</t>
  </si>
  <si>
    <t xml:space="preserve">1.a-D1-03</t>
  </si>
  <si>
    <t xml:space="preserve">Source-clause traceability</t>
  </si>
  <si>
    <t xml:space="preserve">1.a-D2-04</t>
  </si>
  <si>
    <t xml:space="preserve">Taxonomy and rules in YAML / prompt packs, no code change per group</t>
  </si>
  <si>
    <t xml:space="preserve">Yes/No</t>
  </si>
  <si>
    <t xml:space="preserve">Default tolerance</t>
  </si>
  <si>
    <t xml:space="preserve">Architecture review against the L3 contract + cross-product run</t>
  </si>
  <si>
    <t xml:space="preserve">1.a-D2-05</t>
  </si>
  <si>
    <t xml:space="preserve">Generic</t>
  </si>
  <si>
    <t xml:space="preserve">Product lines supported with ≤10% efficacy drop (NVMe SSD, UFS, eMMC/uSD, PSSD)</t>
  </si>
  <si>
    <t xml:space="preserve">count</t>
  </si>
  <si>
    <t xml:space="preserve">1.a-D2-06</t>
  </si>
  <si>
    <t xml:space="preserve">Uses Zion shared services instead of re-implementing them</t>
  </si>
  <si>
    <t xml:space="preserve">1.a-D3-07</t>
  </si>
  <si>
    <t xml:space="preserve">Throughput</t>
  </si>
  <si>
    <t xml:space="preserve">pages/hr</t>
  </si>
  <si>
    <t xml:space="preserve">Load / performance test on Zion reference cluster</t>
  </si>
  <si>
    <t xml:space="preserve">1.a-D3-08</t>
  </si>
  <si>
    <t xml:space="preserve">p95 latency per page</t>
  </si>
  <si>
    <t xml:space="preserve">s</t>
  </si>
  <si>
    <t xml:space="preserve">Lower is better</t>
  </si>
  <si>
    <t xml:space="preserve">≤</t>
  </si>
  <si>
    <t xml:space="preserve">1.a-D3-09</t>
  </si>
  <si>
    <t xml:space="preserve">Latency degradation at 10× load</t>
  </si>
  <si>
    <t xml:space="preserve">1.a-D4-10</t>
  </si>
  <si>
    <t xml:space="preserve">Hallucinated requirements</t>
  </si>
  <si>
    <t xml:space="preserve">Repeat harness runs, audit log and ops monitoring</t>
  </si>
  <si>
    <t xml:space="preserve">1.a-D4-11</t>
  </si>
  <si>
    <t xml:space="preserve">Run-to-run agreement (temperature 0)</t>
  </si>
  <si>
    <t xml:space="preserve">1.a-D4-12</t>
  </si>
  <si>
    <t xml:space="preserve">Service availability</t>
  </si>
  <si>
    <t xml:space="preserve">1.a-D5-13</t>
  </si>
  <si>
    <t xml:space="preserve">Manual parsing effort reduction</t>
  </si>
  <si>
    <t xml:space="preserve">Pilot vs manual baseline, SME survey</t>
  </si>
  <si>
    <t xml:space="preserve">1.a-D5-14</t>
  </si>
  <si>
    <t xml:space="preserve">SME acceptance rate</t>
  </si>
  <si>
    <t xml:space="preserve">1.a-D6-15</t>
  </si>
  <si>
    <t xml:space="preserve">Solution code test coverage</t>
  </si>
  <si>
    <t xml:space="preserve">CI reports (coverage, Review Shield, SAST) + doc review</t>
  </si>
  <si>
    <t xml:space="preserve">1.a-D6-16</t>
  </si>
  <si>
    <t xml:space="preserve">Review Shield critical findings</t>
  </si>
  <si>
    <t xml:space="preserve">1.a-D6-17</t>
  </si>
  <si>
    <t xml:space="preserve">SAST high findings and exposed secrets</t>
  </si>
  <si>
    <t xml:space="preserve">1.a-D6-18</t>
  </si>
  <si>
    <t xml:space="preserve">Documentation pack complete (README, I/O contract, model card, runbook)</t>
  </si>
  <si>
    <t xml:space="preserve">1.a-D6-19</t>
  </si>
  <si>
    <t xml:space="preserve">Named owner and support SLA</t>
  </si>
  <si>
    <t xml:space="preserve">1.b-D1-01</t>
  </si>
  <si>
    <t xml:space="preserve">Requirement-defect detection precision</t>
  </si>
  <si>
    <t xml:space="preserve">ratio</t>
  </si>
  <si>
    <t xml:space="preserve">1.b-D1-02</t>
  </si>
  <si>
    <t xml:space="preserve">Requirement-defect detection recall</t>
  </si>
  <si>
    <t xml:space="preserve">1.b-D1-03</t>
  </si>
  <si>
    <t xml:space="preserve">Conflicting-pair detection recall</t>
  </si>
  <si>
    <t xml:space="preserve">1.b-D1-04</t>
  </si>
  <si>
    <t xml:space="preserve">Rewrite suggestion acceptance</t>
  </si>
  <si>
    <t xml:space="preserve">1.b-D2-05</t>
  </si>
  <si>
    <t xml:space="preserve">Pluggable rule packs (29148 + group checklists)</t>
  </si>
  <si>
    <t xml:space="preserve">1.b-D2-06</t>
  </si>
  <si>
    <t xml:space="preserve">1.b-D2-07</t>
  </si>
  <si>
    <t xml:space="preserve">1.b-D3-08</t>
  </si>
  <si>
    <t xml:space="preserve">Time to analyse 1,000 requirements</t>
  </si>
  <si>
    <t xml:space="preserve">min</t>
  </si>
  <si>
    <t xml:space="preserve">1.b-D3-09</t>
  </si>
  <si>
    <t xml:space="preserve">1.b-D4-10</t>
  </si>
  <si>
    <t xml:space="preserve">False alarm rate</t>
  </si>
  <si>
    <t xml:space="preserve">1.b-D4-11</t>
  </si>
  <si>
    <t xml:space="preserve">Flags citing rule + text span</t>
  </si>
  <si>
    <t xml:space="preserve">1.b-D4-12</t>
  </si>
  <si>
    <t xml:space="preserve">1.b-D5-13</t>
  </si>
  <si>
    <t xml:space="preserve">Requirement defects escaping into test design (reduction)</t>
  </si>
  <si>
    <t xml:space="preserve">1.b-D6-14</t>
  </si>
  <si>
    <t xml:space="preserve">1.b-D6-15</t>
  </si>
  <si>
    <t xml:space="preserve">1.b-D6-16</t>
  </si>
  <si>
    <t xml:space="preserve">1.b-D6-17</t>
  </si>
  <si>
    <t xml:space="preserve">1.b-D6-18</t>
  </si>
  <si>
    <t xml:space="preserve">1.c-D1-01</t>
  </si>
  <si>
    <t xml:space="preserve">Trace-link precision</t>
  </si>
  <si>
    <t xml:space="preserve">1.c-D1-02</t>
  </si>
  <si>
    <t xml:space="preserve">Trace-link recall</t>
  </si>
  <si>
    <t xml:space="preserve">1.c-D1-03</t>
  </si>
  <si>
    <t xml:space="preserve">Risk rank vs SME (Spearman ρ)</t>
  </si>
  <si>
    <t xml:space="preserve">ρ</t>
  </si>
  <si>
    <t xml:space="preserve">1.c-D1-04</t>
  </si>
  <si>
    <t xml:space="preserve">Orphan requirement / TC detection</t>
  </si>
  <si>
    <t xml:space="preserve">1.c-D2-05</t>
  </si>
  <si>
    <t xml:space="preserve">ALM adapters available (Jira, Polarion, TestRail)</t>
  </si>
  <si>
    <t xml:space="preserve">1.c-D2-06</t>
  </si>
  <si>
    <t xml:space="preserve">1.c-D2-07</t>
  </si>
  <si>
    <t xml:space="preserve">1.c-D3-08</t>
  </si>
  <si>
    <t xml:space="preserve">Full link run: 10k reqs × 50k TCs</t>
  </si>
  <si>
    <t xml:space="preserve">1.c-D3-09</t>
  </si>
  <si>
    <t xml:space="preserve">Incremental re-link on delta</t>
  </si>
  <si>
    <t xml:space="preserve">1.c-D3-10</t>
  </si>
  <si>
    <t xml:space="preserve">1.c-D4-11</t>
  </si>
  <si>
    <t xml:space="preserve">Low-confidence links (&lt;0.6) routed to human review</t>
  </si>
  <si>
    <t xml:space="preserve">1.c-D4-12</t>
  </si>
  <si>
    <t xml:space="preserve">1.c-D5-13</t>
  </si>
  <si>
    <t xml:space="preserve">RTM creation effort reduction</t>
  </si>
  <si>
    <t xml:space="preserve">1.c-D5-14</t>
  </si>
  <si>
    <t xml:space="preserve">Coverage gaps found before design</t>
  </si>
  <si>
    <t xml:space="preserve">1.c-D6-15</t>
  </si>
  <si>
    <t xml:space="preserve">1.c-D6-16</t>
  </si>
  <si>
    <t xml:space="preserve">1.c-D6-17</t>
  </si>
  <si>
    <t xml:space="preserve">1.c-D6-18</t>
  </si>
  <si>
    <t xml:space="preserve">1.c-D6-19</t>
  </si>
  <si>
    <t xml:space="preserve">2.a-D1-01</t>
  </si>
  <si>
    <t xml:space="preserve">Section completeness vs ISO/IEC/IEEE 29119-3</t>
  </si>
  <si>
    <t xml:space="preserve">2.a-D1-02</t>
  </si>
  <si>
    <t xml:space="preserve">SME rubric score</t>
  </si>
  <si>
    <t xml:space="preserve">/5</t>
  </si>
  <si>
    <t xml:space="preserve">2.a-D1-03</t>
  </si>
  <si>
    <t xml:space="preserve">High risks mapped to a strategy element</t>
  </si>
  <si>
    <t xml:space="preserve">2.a-D2-04</t>
  </si>
  <si>
    <t xml:space="preserve">Template library parameterised by product line</t>
  </si>
  <si>
    <t xml:space="preserve">2.a-D2-05</t>
  </si>
  <si>
    <t xml:space="preserve">2.a-D2-06</t>
  </si>
  <si>
    <t xml:space="preserve">2.a-D3-07</t>
  </si>
  <si>
    <t xml:space="preserve">Draft generation time</t>
  </si>
  <si>
    <t xml:space="preserve">2.a-D3-08</t>
  </si>
  <si>
    <t xml:space="preserve">Concurrent plans supported</t>
  </si>
  <si>
    <t xml:space="preserve">2.a-D3-09</t>
  </si>
  <si>
    <t xml:space="preserve">2.a-D4-10</t>
  </si>
  <si>
    <t xml:space="preserve">Recommendations citing a template / KB source</t>
  </si>
  <si>
    <t xml:space="preserve">2.a-D4-11</t>
  </si>
  <si>
    <t xml:space="preserve">2.a-D5-12</t>
  </si>
  <si>
    <t xml:space="preserve">Strategy authoring time reduction</t>
  </si>
  <si>
    <t xml:space="preserve">2.a-D6-13</t>
  </si>
  <si>
    <t xml:space="preserve">2.a-D6-14</t>
  </si>
  <si>
    <t xml:space="preserve">2.a-D6-15</t>
  </si>
  <si>
    <t xml:space="preserve">2.a-D6-16</t>
  </si>
  <si>
    <t xml:space="preserve">2.a-D6-17</t>
  </si>
  <si>
    <t xml:space="preserve">2.b-D1-01</t>
  </si>
  <si>
    <t xml:space="preserve">MMRE (mean magnitude of relative error)</t>
  </si>
  <si>
    <t xml:space="preserve">2.b-D1-02</t>
  </si>
  <si>
    <t xml:space="preserve">PRED(25)</t>
  </si>
  <si>
    <t xml:space="preserve">2.b-D1-03</t>
  </si>
  <si>
    <t xml:space="preserve">P10–P90 interval coverage</t>
  </si>
  <si>
    <t xml:space="preserve">2.b-D2-04</t>
  </si>
  <si>
    <t xml:space="preserve">Common feature schema; per-group calibration layer only</t>
  </si>
  <si>
    <t xml:space="preserve">2.b-D2-05</t>
  </si>
  <si>
    <t xml:space="preserve">2.b-D2-06</t>
  </si>
  <si>
    <t xml:space="preserve">2.b-D3-07</t>
  </si>
  <si>
    <t xml:space="preserve">Inference latency</t>
  </si>
  <si>
    <t xml:space="preserve">ms</t>
  </si>
  <si>
    <t xml:space="preserve">2.b-D3-08</t>
  </si>
  <si>
    <t xml:space="preserve">Retrain time on 5k projects</t>
  </si>
  <si>
    <t xml:space="preserve">hr</t>
  </si>
  <si>
    <t xml:space="preserve">2.b-D3-09</t>
  </si>
  <si>
    <t xml:space="preserve">2.b-D4-10</t>
  </si>
  <si>
    <t xml:space="preserve">Drift PSI</t>
  </si>
  <si>
    <t xml:space="preserve">PSI</t>
  </si>
  <si>
    <t xml:space="preserve">2.b-D4-11</t>
  </si>
  <si>
    <t xml:space="preserve">Estimates with top-5 SHAP drivers</t>
  </si>
  <si>
    <t xml:space="preserve">2.b-D4-12</t>
  </si>
  <si>
    <t xml:space="preserve">2.b-D5-13</t>
  </si>
  <si>
    <t xml:space="preserve">Estimate-vs-actual variance reduction vs expert baseline</t>
  </si>
  <si>
    <t xml:space="preserve">2.b-D6-14</t>
  </si>
  <si>
    <t xml:space="preserve">2.b-D6-15</t>
  </si>
  <si>
    <t xml:space="preserve">2.b-D6-16</t>
  </si>
  <si>
    <t xml:space="preserve">2.b-D6-17</t>
  </si>
  <si>
    <t xml:space="preserve">2.b-D6-18</t>
  </si>
  <si>
    <t xml:space="preserve">2.c-D1-01</t>
  </si>
  <si>
    <t xml:space="preserve">Top-10 risk overlap with SME</t>
  </si>
  <si>
    <t xml:space="preserve">2.c-D1-02</t>
  </si>
  <si>
    <t xml:space="preserve">Plan section completeness</t>
  </si>
  <si>
    <t xml:space="preserve">2.c-D1-03</t>
  </si>
  <si>
    <t xml:space="preserve">Mitigation relevance (SME)</t>
  </si>
  <si>
    <t xml:space="preserve">2.c-D2-04</t>
  </si>
  <si>
    <t xml:space="preserve">FMEA scales and weights in config</t>
  </si>
  <si>
    <t xml:space="preserve">2.c-D2-05</t>
  </si>
  <si>
    <t xml:space="preserve">2.c-D2-06</t>
  </si>
  <si>
    <t xml:space="preserve">2.c-D3-07</t>
  </si>
  <si>
    <t xml:space="preserve">Plan generation for 200 features</t>
  </si>
  <si>
    <t xml:space="preserve">2.c-D3-08</t>
  </si>
  <si>
    <t xml:space="preserve">2.c-D4-09</t>
  </si>
  <si>
    <t xml:space="preserve">RPN determinism (same input → same score)</t>
  </si>
  <si>
    <t xml:space="preserve">2.c-D4-10</t>
  </si>
  <si>
    <t xml:space="preserve">2.c-D5-11</t>
  </si>
  <si>
    <t xml:space="preserve">Plan cycle time reduction</t>
  </si>
  <si>
    <t xml:space="preserve">2.c-D5-12</t>
  </si>
  <si>
    <t xml:space="preserve">Review comments per plan reduction</t>
  </si>
  <si>
    <t xml:space="preserve">2.c-D6-13</t>
  </si>
  <si>
    <t xml:space="preserve">2.c-D6-14</t>
  </si>
  <si>
    <t xml:space="preserve">2.c-D6-15</t>
  </si>
  <si>
    <t xml:space="preserve">2.c-D6-16</t>
  </si>
  <si>
    <t xml:space="preserve">2.c-D6-17</t>
  </si>
  <si>
    <t xml:space="preserve">3.a-D1-01</t>
  </si>
  <si>
    <t xml:space="preserve">Requirement coverage</t>
  </si>
  <si>
    <t xml:space="preserve">3.a-D1-02</t>
  </si>
  <si>
    <t xml:space="preserve">Valid, executable TC rate</t>
  </si>
  <si>
    <t xml:space="preserve">3.a-D1-03</t>
  </si>
  <si>
    <t xml:space="preserve">Fault detection vs expert suite (mutation parity)</t>
  </si>
  <si>
    <t xml:space="preserve">3.a-D1-04</t>
  </si>
  <si>
    <t xml:space="preserve">Duplicate TCs</t>
  </si>
  <si>
    <t xml:space="preserve">3.a-D2-05</t>
  </si>
  <si>
    <t xml:space="preserve">Technique plug-ins + domain packs (NVMe admin / IO, UFS UPIU)</t>
  </si>
  <si>
    <t xml:space="preserve">3.a-D2-06</t>
  </si>
  <si>
    <t xml:space="preserve">3.a-D2-07</t>
  </si>
  <si>
    <t xml:space="preserve">3.a-D3-08</t>
  </si>
  <si>
    <t xml:space="preserve">TCs/hr</t>
  </si>
  <si>
    <t xml:space="preserve">3.a-D3-09</t>
  </si>
  <si>
    <t xml:space="preserve">3.a-D4-10</t>
  </si>
  <si>
    <t xml:space="preserve">Non-existent opcode / field / parameter</t>
  </si>
  <si>
    <t xml:space="preserve">3.a-D4-11</t>
  </si>
  <si>
    <t xml:space="preserve">TCs traced to requirement + technique</t>
  </si>
  <si>
    <t xml:space="preserve">3.a-D4-12</t>
  </si>
  <si>
    <t xml:space="preserve">3.a-D5-13</t>
  </si>
  <si>
    <t xml:space="preserve">TC design effort reduction</t>
  </si>
  <si>
    <t xml:space="preserve">3.a-D5-14</t>
  </si>
  <si>
    <t xml:space="preserve">Accept-without-edit rate</t>
  </si>
  <si>
    <t xml:space="preserve">3.a-D6-15</t>
  </si>
  <si>
    <t xml:space="preserve">3.a-D6-16</t>
  </si>
  <si>
    <t xml:space="preserve">3.a-D6-17</t>
  </si>
  <si>
    <t xml:space="preserve">3.a-D6-18</t>
  </si>
  <si>
    <t xml:space="preserve">3.a-D6-19</t>
  </si>
  <si>
    <t xml:space="preserve">3.b-D1-01</t>
  </si>
  <si>
    <t xml:space="preserve">Gherkin lint pass</t>
  </si>
  <si>
    <t xml:space="preserve">3.b-D1-02</t>
  </si>
  <si>
    <t xml:space="preserve">Step-definition reuse ratio</t>
  </si>
  <si>
    <t xml:space="preserve">3.b-D1-03</t>
  </si>
  <si>
    <t xml:space="preserve">Synthetic data constraint validity</t>
  </si>
  <si>
    <t xml:space="preserve">3.b-D1-04</t>
  </si>
  <si>
    <t xml:space="preserve">Boundary-value coverage</t>
  </si>
  <si>
    <t xml:space="preserve">3.b-D2-05</t>
  </si>
  <si>
    <t xml:space="preserve">Generators driven by JSON Schema / NVMe structure definitions</t>
  </si>
  <si>
    <t xml:space="preserve">3.b-D2-06</t>
  </si>
  <si>
    <t xml:space="preserve">3.b-D2-07</t>
  </si>
  <si>
    <t xml:space="preserve">3.b-D3-08</t>
  </si>
  <si>
    <t xml:space="preserve">Time to generate 1M records</t>
  </si>
  <si>
    <t xml:space="preserve">3.b-D3-09</t>
  </si>
  <si>
    <t xml:space="preserve">3.b-D4-10</t>
  </si>
  <si>
    <t xml:space="preserve">Real customer / PII records in output</t>
  </si>
  <si>
    <t xml:space="preserve">3.b-D4-11</t>
  </si>
  <si>
    <t xml:space="preserve">3.b-D5-12</t>
  </si>
  <si>
    <t xml:space="preserve">Test data prep time reduction</t>
  </si>
  <si>
    <t xml:space="preserve">3.b-D6-13</t>
  </si>
  <si>
    <t xml:space="preserve">3.b-D6-14</t>
  </si>
  <si>
    <t xml:space="preserve">3.b-D6-15</t>
  </si>
  <si>
    <t xml:space="preserve">3.b-D6-16</t>
  </si>
  <si>
    <t xml:space="preserve">3.b-D6-17</t>
  </si>
  <si>
    <t xml:space="preserve">3.c-D1-01</t>
  </si>
  <si>
    <t xml:space="preserve">Generated script first-run pass (lint + execute)</t>
  </si>
  <si>
    <t xml:space="preserve">3.c-D1-02</t>
  </si>
  <si>
    <t xml:space="preserve">Review finding precision</t>
  </si>
  <si>
    <t xml:space="preserve">3.c-D1-03</t>
  </si>
  <si>
    <t xml:space="preserve">Coverage-gap identification recall</t>
  </si>
  <si>
    <t xml:space="preserve">3.c-D2-04</t>
  </si>
  <si>
    <t xml:space="preserve">Framework adapters (in-house NVMe, pytest, Robot); Review Shield lint rules shared</t>
  </si>
  <si>
    <t xml:space="preserve">3.c-D2-05</t>
  </si>
  <si>
    <t xml:space="preserve">3.c-D2-06</t>
  </si>
  <si>
    <t xml:space="preserve">3.c-D3-07</t>
  </si>
  <si>
    <t xml:space="preserve">Script generation throughput</t>
  </si>
  <si>
    <t xml:space="preserve">scripts/hr</t>
  </si>
  <si>
    <t xml:space="preserve">3.c-D3-08</t>
  </si>
  <si>
    <t xml:space="preserve">100k-LOC repo analysis time</t>
  </si>
  <si>
    <t xml:space="preserve">3.c-D3-09</t>
  </si>
  <si>
    <t xml:space="preserve">3.c-D4-10</t>
  </si>
  <si>
    <t xml:space="preserve">SAST high findings in generated code</t>
  </si>
  <si>
    <t xml:space="preserve">3.c-D4-11</t>
  </si>
  <si>
    <t xml:space="preserve">3.c-D5-12</t>
  </si>
  <si>
    <t xml:space="preserve">Scripting effort reduction</t>
  </si>
  <si>
    <t xml:space="preserve">3.c-D5-13</t>
  </si>
  <si>
    <t xml:space="preserve">Review turnaround reduction</t>
  </si>
  <si>
    <t xml:space="preserve">3.c-D6-14</t>
  </si>
  <si>
    <t xml:space="preserve">3.c-D6-15</t>
  </si>
  <si>
    <t xml:space="preserve">3.c-D6-16</t>
  </si>
  <si>
    <t xml:space="preserve">3.c-D6-17</t>
  </si>
  <si>
    <t xml:space="preserve">3.c-D6-18</t>
  </si>
  <si>
    <t xml:space="preserve">3.d-D1-01</t>
  </si>
  <si>
    <t xml:space="preserve">Critical/High defect detection recall on the seeded-defect golden set</t>
  </si>
  <si>
    <t xml:space="preserve">recall</t>
  </si>
  <si>
    <t xml:space="preserve">3.d-D1-02</t>
  </si>
  <si>
    <t xml:space="preserve">Comment precision (comments that are real, actionable defects)</t>
  </si>
  <si>
    <t xml:space="preserve">precision</t>
  </si>
  <si>
    <t xml:space="preserve">3.d-D1-03</t>
  </si>
  <si>
    <t xml:space="preserve">Severity classification agreement with the SME rubric</t>
  </si>
  <si>
    <t xml:space="preserve">agreement</t>
  </si>
  <si>
    <t xml:space="preserve">3.d-D1-04</t>
  </si>
  <si>
    <t xml:space="preserve">Scope compliance: comments inside the allowed defect categories</t>
  </si>
  <si>
    <t xml:space="preserve">3.d-D1-05</t>
  </si>
  <si>
    <t xml:space="preserve">Changed-line coverage (all changed files and lines analysed)</t>
  </si>
  <si>
    <t xml:space="preserve">3.d-D1-06</t>
  </si>
  <si>
    <t xml:space="preserve">Duplicate or repeated comments within one review</t>
  </si>
  <si>
    <t xml:space="preserve">3.d-D1-07</t>
  </si>
  <si>
    <t xml:space="preserve">Findings carrying a concrete fix (code or explicit instruction)</t>
  </si>
  <si>
    <t xml:space="preserve">3.d-D2-08</t>
  </si>
  <si>
    <t xml:space="preserve">SCM platforms supported (Bitbucket, GitHub, GitLab)</t>
  </si>
  <si>
    <t xml:space="preserve">3.d-D2-09</t>
  </si>
  <si>
    <t xml:space="preserve">Languages covered with domain-aware rules</t>
  </si>
  <si>
    <t xml:space="preserve">3.d-D2-10</t>
  </si>
  <si>
    <t xml:space="preserve">Per-repository feature configuration without code change</t>
  </si>
  <si>
    <t xml:space="preserve">3.d-D2-11</t>
  </si>
  <si>
    <t xml:space="preserve">Sol PE groups with active usage</t>
  </si>
  <si>
    <t xml:space="preserve">groups</t>
  </si>
  <si>
    <t xml:space="preserve">3.d-D2-12</t>
  </si>
  <si>
    <t xml:space="preserve">3.d-D2-13</t>
  </si>
  <si>
    <t xml:space="preserve">3.d-D3-14</t>
  </si>
  <si>
    <t xml:space="preserve">Average AI review latency per MR</t>
  </si>
  <si>
    <t xml:space="preserve">3.d-D3-15</t>
  </si>
  <si>
    <t xml:space="preserve">Sustained review throughput</t>
  </si>
  <si>
    <t xml:space="preserve">reviews/day</t>
  </si>
  <si>
    <t xml:space="preserve">3.d-D3-16</t>
  </si>
  <si>
    <t xml:space="preserve">LLM tokens consumed per review</t>
  </si>
  <si>
    <t xml:space="preserve">tokens</t>
  </si>
  <si>
    <t xml:space="preserve">3.d-D3-17</t>
  </si>
  <si>
    <t xml:space="preserve">Graph RAG index size per repository</t>
  </si>
  <si>
    <t xml:space="preserve">MB</t>
  </si>
  <si>
    <t xml:space="preserve">3.d-D3-18</t>
  </si>
  <si>
    <t xml:space="preserve">3.d-D4-19</t>
  </si>
  <si>
    <t xml:space="preserve">Hallucinated findings (non-existent code, fields or APIs)</t>
  </si>
  <si>
    <t xml:space="preserve">3.d-D4-20</t>
  </si>
  <si>
    <t xml:space="preserve">Findings carrying exact file, line and severity</t>
  </si>
  <si>
    <t xml:space="preserve">3.d-D4-21</t>
  </si>
  <si>
    <t xml:space="preserve">Run-to-run consistency on the same MR</t>
  </si>
  <si>
    <t xml:space="preserve">3.d-D4-22</t>
  </si>
  <si>
    <t xml:space="preserve">Human approves every merge (advisory comments only)</t>
  </si>
  <si>
    <t xml:space="preserve">3.d-D4-23</t>
  </si>
  <si>
    <t xml:space="preserve">3.d-D5-24</t>
  </si>
  <si>
    <t xml:space="preserve">Human review effort saved per MR</t>
  </si>
  <si>
    <t xml:space="preserve">3.d-D5-25</t>
  </si>
  <si>
    <t xml:space="preserve">Engineer-hours saved per week</t>
  </si>
  <si>
    <t xml:space="preserve">hours</t>
  </si>
  <si>
    <t xml:space="preserve">3.d-D5-26</t>
  </si>
  <si>
    <t xml:space="preserve">Issue resolution rate in merged PRs</t>
  </si>
  <si>
    <t xml:space="preserve">3.d-D5-27</t>
  </si>
  <si>
    <t xml:space="preserve">Repositories onboarded (share of active repositories)</t>
  </si>
  <si>
    <t xml:space="preserve">3.d-D6-28</t>
  </si>
  <si>
    <t xml:space="preserve">Prompt and configuration versioned and change-controlled</t>
  </si>
  <si>
    <t xml:space="preserve">3.d-D6-29</t>
  </si>
  <si>
    <t xml:space="preserve">Golden set and reproducible benchmark harness in place</t>
  </si>
  <si>
    <t xml:space="preserve">3.d-D6-30</t>
  </si>
  <si>
    <t xml:space="preserve">3.d-D6-31</t>
  </si>
  <si>
    <t xml:space="preserve">3.d-D6-32</t>
  </si>
  <si>
    <t xml:space="preserve">3.d-D6-33</t>
  </si>
  <si>
    <t xml:space="preserve">3.d-D6-34</t>
  </si>
  <si>
    <t xml:space="preserve">4.a-D1-01</t>
  </si>
  <si>
    <t xml:space="preserve">IaC validity (validate / lint)</t>
  </si>
  <si>
    <t xml:space="preserve">4.a-D1-02</t>
  </si>
  <si>
    <t xml:space="preserve">First-attempt provisioning success</t>
  </si>
  <si>
    <t xml:space="preserve">4.a-D1-03</t>
  </si>
  <si>
    <t xml:space="preserve">Policy-as-code compliance</t>
  </si>
  <si>
    <t xml:space="preserve">4.a-D2-04</t>
  </si>
  <si>
    <t xml:space="preserve">Module registry covers VM, K8s and bare-metal host + DUT rigs</t>
  </si>
  <si>
    <t xml:space="preserve">4.a-D2-05</t>
  </si>
  <si>
    <t xml:space="preserve">4.a-D2-06</t>
  </si>
  <si>
    <t xml:space="preserve">4.a-D3-07</t>
  </si>
  <si>
    <t xml:space="preserve">Rigs provisioned in parallel</t>
  </si>
  <si>
    <t xml:space="preserve">4.a-D3-08</t>
  </si>
  <si>
    <t xml:space="preserve">Environment ready time</t>
  </si>
  <si>
    <t xml:space="preserve">4.a-D3-09</t>
  </si>
  <si>
    <t xml:space="preserve">4.a-D4-10</t>
  </si>
  <si>
    <t xml:space="preserve">Idempotent re-apply (no diff)</t>
  </si>
  <si>
    <t xml:space="preserve">4.a-D4-11</t>
  </si>
  <si>
    <t xml:space="preserve">Destroy / rollback success</t>
  </si>
  <si>
    <t xml:space="preserve">4.a-D4-12</t>
  </si>
  <si>
    <t xml:space="preserve">4.a-D5-13</t>
  </si>
  <si>
    <t xml:space="preserve">Environment setup lead time reduction</t>
  </si>
  <si>
    <t xml:space="preserve">4.a-D6-14</t>
  </si>
  <si>
    <t xml:space="preserve">4.a-D6-15</t>
  </si>
  <si>
    <t xml:space="preserve">4.a-D6-16</t>
  </si>
  <si>
    <t xml:space="preserve">4.a-D6-17</t>
  </si>
  <si>
    <t xml:space="preserve">4.a-D6-18</t>
  </si>
  <si>
    <t xml:space="preserve">4.b-D1-01</t>
  </si>
  <si>
    <t xml:space="preserve">Drift detection recall</t>
  </si>
  <si>
    <t xml:space="preserve">4.b-D1-02</t>
  </si>
  <si>
    <t xml:space="preserve">Drift detection precision</t>
  </si>
  <si>
    <t xml:space="preserve">4.b-D1-03</t>
  </si>
  <si>
    <t xml:space="preserve">Health-check false negatives</t>
  </si>
  <si>
    <t xml:space="preserve">4.b-D2-04</t>
  </si>
  <si>
    <t xml:space="preserve">Probe plug-ins + golden config per product</t>
  </si>
  <si>
    <t xml:space="preserve">4.b-D2-05</t>
  </si>
  <si>
    <t xml:space="preserve">4.b-D2-06</t>
  </si>
  <si>
    <t xml:space="preserve">4.b-D3-07</t>
  </si>
  <si>
    <t xml:space="preserve">Scan time for 500 rigs</t>
  </si>
  <si>
    <t xml:space="preserve">4.b-D3-08</t>
  </si>
  <si>
    <t xml:space="preserve">4.b-D4-09</t>
  </si>
  <si>
    <t xml:space="preserve">Drifts reported with expected vs actual</t>
  </si>
  <si>
    <t xml:space="preserve">4.b-D4-10</t>
  </si>
  <si>
    <t xml:space="preserve">4.b-D5-11</t>
  </si>
  <si>
    <t xml:space="preserve">Env-caused false test failures reduction</t>
  </si>
  <si>
    <t xml:space="preserve">4.b-D6-12</t>
  </si>
  <si>
    <t xml:space="preserve">4.b-D6-13</t>
  </si>
  <si>
    <t xml:space="preserve">4.b-D6-14</t>
  </si>
  <si>
    <t xml:space="preserve">4.b-D6-15</t>
  </si>
  <si>
    <t xml:space="preserve">4.b-D6-16</t>
  </si>
  <si>
    <t xml:space="preserve">4.c-D1-01</t>
  </si>
  <si>
    <t xml:space="preserve">Least-privilege violation recall</t>
  </si>
  <si>
    <t xml:space="preserve">4.c-D1-02</t>
  </si>
  <si>
    <t xml:space="preserve">Recommendation acceptance</t>
  </si>
  <si>
    <t xml:space="preserve">4.c-D1-03</t>
  </si>
  <si>
    <t xml:space="preserve">Secret-exposure detection (seeded)</t>
  </si>
  <si>
    <t xml:space="preserve">4.c-D2-04</t>
  </si>
  <si>
    <t xml:space="preserve">OPA / Rego policies shared; LDAP / AD connectors</t>
  </si>
  <si>
    <t xml:space="preserve">4.c-D2-05</t>
  </si>
  <si>
    <t xml:space="preserve">4.c-D2-06</t>
  </si>
  <si>
    <t xml:space="preserve">4.c-D3-07</t>
  </si>
  <si>
    <t xml:space="preserve">Time to evaluate 5k identities</t>
  </si>
  <si>
    <t xml:space="preserve">4.c-D3-08</t>
  </si>
  <si>
    <t xml:space="preserve">4.c-D4-09</t>
  </si>
  <si>
    <t xml:space="preserve">Auto-grants without approval</t>
  </si>
  <si>
    <t xml:space="preserve">4.c-D4-10</t>
  </si>
  <si>
    <t xml:space="preserve">4.c-D5-11</t>
  </si>
  <si>
    <t xml:space="preserve">Access provisioning time reduction</t>
  </si>
  <si>
    <t xml:space="preserve">4.c-D6-12</t>
  </si>
  <si>
    <t xml:space="preserve">4.c-D6-13</t>
  </si>
  <si>
    <t xml:space="preserve">4.c-D6-14</t>
  </si>
  <si>
    <t xml:space="preserve">4.c-D6-15</t>
  </si>
  <si>
    <t xml:space="preserve">4.c-D6-16</t>
  </si>
  <si>
    <t xml:space="preserve">5.a-D1-01</t>
  </si>
  <si>
    <t xml:space="preserve">Defect-catch retention at ≥40% suite reduction</t>
  </si>
  <si>
    <t xml:space="preserve">5.a-D1-02</t>
  </si>
  <si>
    <t xml:space="preserve">Rig utilisation</t>
  </si>
  <si>
    <t xml:space="preserve">5.a-D1-03</t>
  </si>
  <si>
    <t xml:space="preserve">Makespan reduction vs FIFO</t>
  </si>
  <si>
    <t xml:space="preserve">5.a-D2-04</t>
  </si>
  <si>
    <t xml:space="preserve">Executor adapters (Jenkins, GitLab CI, in-house runner)</t>
  </si>
  <si>
    <t xml:space="preserve">5.a-D2-05</t>
  </si>
  <si>
    <t xml:space="preserve">5.a-D2-06</t>
  </si>
  <si>
    <t xml:space="preserve">5.a-D3-07</t>
  </si>
  <si>
    <t xml:space="preserve">Tests orchestrated per day</t>
  </si>
  <si>
    <t xml:space="preserve">tests/day</t>
  </si>
  <si>
    <t xml:space="preserve">5.a-D3-08</t>
  </si>
  <si>
    <t xml:space="preserve">Queue decision latency</t>
  </si>
  <si>
    <t xml:space="preserve">5.a-D3-09</t>
  </si>
  <si>
    <t xml:space="preserve">5.a-D4-10</t>
  </si>
  <si>
    <t xml:space="preserve">Selection determinism with safe fallback to full regression</t>
  </si>
  <si>
    <t xml:space="preserve">5.a-D4-11</t>
  </si>
  <si>
    <t xml:space="preserve">5.a-D5-12</t>
  </si>
  <si>
    <t xml:space="preserve">Regression cycle time reduction</t>
  </si>
  <si>
    <t xml:space="preserve">5.a-D6-13</t>
  </si>
  <si>
    <t xml:space="preserve">5.a-D6-14</t>
  </si>
  <si>
    <t xml:space="preserve">5.a-D6-15</t>
  </si>
  <si>
    <t xml:space="preserve">5.a-D6-16</t>
  </si>
  <si>
    <t xml:space="preserve">5.a-D6-17</t>
  </si>
  <si>
    <t xml:space="preserve">5.b-D1-01</t>
  </si>
  <si>
    <t xml:space="preserve">Heal success on true script breakage</t>
  </si>
  <si>
    <t xml:space="preserve">5.b-D1-02</t>
  </si>
  <si>
    <t xml:space="preserve">False heal (masks a real product defect)</t>
  </si>
  <si>
    <t xml:space="preserve">5.b-D1-03</t>
  </si>
  <si>
    <t xml:space="preserve">Script vs product failure classification F1</t>
  </si>
  <si>
    <t xml:space="preserve">5.b-D2-04</t>
  </si>
  <si>
    <t xml:space="preserve">Shared failure-signature taxonomy; framework-neutral diff</t>
  </si>
  <si>
    <t xml:space="preserve">5.b-D2-05</t>
  </si>
  <si>
    <t xml:space="preserve">5.b-D2-06</t>
  </si>
  <si>
    <t xml:space="preserve">5.b-D3-07</t>
  </si>
  <si>
    <t xml:space="preserve">Heal proposal time</t>
  </si>
  <si>
    <t xml:space="preserve">5.b-D3-08</t>
  </si>
  <si>
    <t xml:space="preserve">5.b-D4-09</t>
  </si>
  <si>
    <t xml:space="preserve">Heals submitted as PR needing approval</t>
  </si>
  <si>
    <t xml:space="preserve">5.b-D4-10</t>
  </si>
  <si>
    <t xml:space="preserve">5.b-D5-11</t>
  </si>
  <si>
    <t xml:space="preserve">Script maintenance effort reduction</t>
  </si>
  <si>
    <t xml:space="preserve">5.b-D6-12</t>
  </si>
  <si>
    <t xml:space="preserve">5.b-D6-13</t>
  </si>
  <si>
    <t xml:space="preserve">5.b-D6-14</t>
  </si>
  <si>
    <t xml:space="preserve">5.b-D6-15</t>
  </si>
  <si>
    <t xml:space="preserve">5.b-D6-16</t>
  </si>
  <si>
    <t xml:space="preserve">5.c-D1-01</t>
  </si>
  <si>
    <t xml:space="preserve">Perf regression recall at ≥3% delta</t>
  </si>
  <si>
    <t xml:space="preserve">5.c-D1-02</t>
  </si>
  <si>
    <t xml:space="preserve">False-positive regressions</t>
  </si>
  <si>
    <t xml:space="preserve">5.c-D1-03</t>
  </si>
  <si>
    <t xml:space="preserve">Tail-latency outlier F1</t>
  </si>
  <si>
    <t xml:space="preserve">5.c-D1-04</t>
  </si>
  <si>
    <t xml:space="preserve">Visual diff F1</t>
  </si>
  <si>
    <t xml:space="preserve">5.c-D2-05</t>
  </si>
  <si>
    <t xml:space="preserve">Metric-agnostic ingestion; thresholds per product in config</t>
  </si>
  <si>
    <t xml:space="preserve">5.c-D2-06</t>
  </si>
  <si>
    <t xml:space="preserve">5.c-D2-07</t>
  </si>
  <si>
    <t xml:space="preserve">5.c-D3-08</t>
  </si>
  <si>
    <t xml:space="preserve">Analysis time for 1M datapoints</t>
  </si>
  <si>
    <t xml:space="preserve">5.c-D3-09</t>
  </si>
  <si>
    <t xml:space="preserve">5.c-D4-10</t>
  </si>
  <si>
    <t xml:space="preserve">Verdicts with significance (p-value / CI)</t>
  </si>
  <si>
    <t xml:space="preserve">5.c-D4-11</t>
  </si>
  <si>
    <t xml:space="preserve">5.c-D5-12</t>
  </si>
  <si>
    <t xml:space="preserve">Perf analysis time reduction</t>
  </si>
  <si>
    <t xml:space="preserve">5.c-D6-13</t>
  </si>
  <si>
    <t xml:space="preserve">5.c-D6-14</t>
  </si>
  <si>
    <t xml:space="preserve">5.c-D6-15</t>
  </si>
  <si>
    <t xml:space="preserve">5.c-D6-16</t>
  </si>
  <si>
    <t xml:space="preserve">5.c-D6-17</t>
  </si>
  <si>
    <t xml:space="preserve">6.a-D1-01</t>
  </si>
  <si>
    <t xml:space="preserve">Component classification accuracy</t>
  </si>
  <si>
    <t xml:space="preserve">6.a-D1-02</t>
  </si>
  <si>
    <t xml:space="preserve">Severity weighted-F1</t>
  </si>
  <si>
    <t xml:space="preserve">6.a-D1-03</t>
  </si>
  <si>
    <t xml:space="preserve">S1 / critical recall</t>
  </si>
  <si>
    <t xml:space="preserve">6.a-D1-04</t>
  </si>
  <si>
    <t xml:space="preserve">Owner assignment accuracy</t>
  </si>
  <si>
    <t xml:space="preserve">6.a-D2-05</t>
  </si>
  <si>
    <t xml:space="preserve">Taxonomy in config; Jira / PLM connectors</t>
  </si>
  <si>
    <t xml:space="preserve">6.a-D2-06</t>
  </si>
  <si>
    <t xml:space="preserve">6.a-D2-07</t>
  </si>
  <si>
    <t xml:space="preserve">6.a-D3-08</t>
  </si>
  <si>
    <t xml:space="preserve">Latency per defect</t>
  </si>
  <si>
    <t xml:space="preserve">6.a-D3-09</t>
  </si>
  <si>
    <t xml:space="preserve">Defects per day</t>
  </si>
  <si>
    <t xml:space="preserve">defects/day</t>
  </si>
  <si>
    <t xml:space="preserve">6.a-D3-10</t>
  </si>
  <si>
    <t xml:space="preserve">6.a-D4-11</t>
  </si>
  <si>
    <t xml:space="preserve">Severity downgrades requiring human approval</t>
  </si>
  <si>
    <t xml:space="preserve">6.a-D4-12</t>
  </si>
  <si>
    <t xml:space="preserve">6.a-D5-13</t>
  </si>
  <si>
    <t xml:space="preserve">Triage time reduction</t>
  </si>
  <si>
    <t xml:space="preserve">6.a-D5-14</t>
  </si>
  <si>
    <t xml:space="preserve">Reassignment bounce reduction</t>
  </si>
  <si>
    <t xml:space="preserve">6.a-D6-15</t>
  </si>
  <si>
    <t xml:space="preserve">6.a-D6-16</t>
  </si>
  <si>
    <t xml:space="preserve">6.a-D6-17</t>
  </si>
  <si>
    <t xml:space="preserve">6.a-D6-18</t>
  </si>
  <si>
    <t xml:space="preserve">6.a-D6-19</t>
  </si>
  <si>
    <t xml:space="preserve">6.b-D1-01</t>
  </si>
  <si>
    <t xml:space="preserve">Top-5 recall</t>
  </si>
  <si>
    <t xml:space="preserve">6.b-D1-02</t>
  </si>
  <si>
    <t xml:space="preserve">Precision@1</t>
  </si>
  <si>
    <t xml:space="preserve">6.b-D1-03</t>
  </si>
  <si>
    <t xml:space="preserve">False merge</t>
  </si>
  <si>
    <t xml:space="preserve">6.b-D2-04</t>
  </si>
  <si>
    <t xml:space="preserve">Uses shared embedding service; cross-project search</t>
  </si>
  <si>
    <t xml:space="preserve">6.b-D2-05</t>
  </si>
  <si>
    <t xml:space="preserve">6.b-D2-06</t>
  </si>
  <si>
    <t xml:space="preserve">6.b-D3-07</t>
  </si>
  <si>
    <t xml:space="preserve">p95 search latency over 1M defects</t>
  </si>
  <si>
    <t xml:space="preserve">6.b-D3-08</t>
  </si>
  <si>
    <t xml:space="preserve">6.b-D4-09</t>
  </si>
  <si>
    <t xml:space="preserve">Auto-closed defects (suggest only)</t>
  </si>
  <si>
    <t xml:space="preserve">6.b-D4-10</t>
  </si>
  <si>
    <t xml:space="preserve">6.b-D5-11</t>
  </si>
  <si>
    <t xml:space="preserve">Duplicate defects filed reduction</t>
  </si>
  <si>
    <t xml:space="preserve">6.b-D6-12</t>
  </si>
  <si>
    <t xml:space="preserve">6.b-D6-13</t>
  </si>
  <si>
    <t xml:space="preserve">6.b-D6-14</t>
  </si>
  <si>
    <t xml:space="preserve">6.b-D6-15</t>
  </si>
  <si>
    <t xml:space="preserve">6.b-D6-16</t>
  </si>
  <si>
    <t xml:space="preserve">6.c-D1-01</t>
  </si>
  <si>
    <t xml:space="preserve">Correct root cause in top-3</t>
  </si>
  <si>
    <t xml:space="preserve">6.c-D1-02</t>
  </si>
  <si>
    <t xml:space="preserve">RCA category accuracy</t>
  </si>
  <si>
    <t xml:space="preserve">6.c-D1-03</t>
  </si>
  <si>
    <t xml:space="preserve">Pattern cluster purity</t>
  </si>
  <si>
    <t xml:space="preserve">6.c-D2-04</t>
  </si>
  <si>
    <t xml:space="preserve">Log parser plug-ins; common RCA taxonomy (5-Why / Ishikawa)</t>
  </si>
  <si>
    <t xml:space="preserve">6.c-D2-05</t>
  </si>
  <si>
    <t xml:space="preserve">6.c-D2-06</t>
  </si>
  <si>
    <t xml:space="preserve">6.c-D3-07</t>
  </si>
  <si>
    <t xml:space="preserve">Ingest time for 2 GB logs</t>
  </si>
  <si>
    <t xml:space="preserve">6.c-D3-08</t>
  </si>
  <si>
    <t xml:space="preserve">6.c-D4-09</t>
  </si>
  <si>
    <t xml:space="preserve">Hypotheses citing evidence lines</t>
  </si>
  <si>
    <t xml:space="preserve">6.c-D4-10</t>
  </si>
  <si>
    <t xml:space="preserve">6.c-D5-11</t>
  </si>
  <si>
    <t xml:space="preserve">Defect open → RCA time reduction</t>
  </si>
  <si>
    <t xml:space="preserve">6.c-D6-12</t>
  </si>
  <si>
    <t xml:space="preserve">6.c-D6-13</t>
  </si>
  <si>
    <t xml:space="preserve">6.c-D6-14</t>
  </si>
  <si>
    <t xml:space="preserve">6.c-D6-15</t>
  </si>
  <si>
    <t xml:space="preserve">6.c-D6-16</t>
  </si>
  <si>
    <t xml:space="preserve">7.a-D1-01</t>
  </si>
  <si>
    <t xml:space="preserve">NL → query execution accuracy</t>
  </si>
  <si>
    <t xml:space="preserve">7.a-D1-02</t>
  </si>
  <si>
    <t xml:space="preserve">Metric correctness vs certified definitions</t>
  </si>
  <si>
    <t xml:space="preserve">7.a-D1-03</t>
  </si>
  <si>
    <t xml:space="preserve">Insight relevance (SME)</t>
  </si>
  <si>
    <t xml:space="preserve">7.a-D2-04</t>
  </si>
  <si>
    <t xml:space="preserve">Single semantic metrics layer shared by all groups</t>
  </si>
  <si>
    <t xml:space="preserve">7.a-D2-05</t>
  </si>
  <si>
    <t xml:space="preserve">7.a-D2-06</t>
  </si>
  <si>
    <t xml:space="preserve">7.a-D3-07</t>
  </si>
  <si>
    <t xml:space="preserve">Dashboard query p95 over 3 years of data</t>
  </si>
  <si>
    <t xml:space="preserve">7.a-D3-08</t>
  </si>
  <si>
    <t xml:space="preserve">7.a-D4-09</t>
  </si>
  <si>
    <t xml:space="preserve">Fabricated numbers</t>
  </si>
  <si>
    <t xml:space="preserve">7.a-D4-10</t>
  </si>
  <si>
    <t xml:space="preserve">7.a-D5-11</t>
  </si>
  <si>
    <t xml:space="preserve">Manual metrics prep reduction</t>
  </si>
  <si>
    <t xml:space="preserve">7.a-D6-12</t>
  </si>
  <si>
    <t xml:space="preserve">7.a-D6-13</t>
  </si>
  <si>
    <t xml:space="preserve">7.a-D6-14</t>
  </si>
  <si>
    <t xml:space="preserve">7.a-D6-15</t>
  </si>
  <si>
    <t xml:space="preserve">7.a-D6-16</t>
  </si>
  <si>
    <t xml:space="preserve">7.b-D1-01</t>
  </si>
  <si>
    <t xml:space="preserve">Defect-prone module AUC</t>
  </si>
  <si>
    <t xml:space="preserve">AUC</t>
  </si>
  <si>
    <t xml:space="preserve">7.b-D1-02</t>
  </si>
  <si>
    <t xml:space="preserve">Residual-defect forecast MAPE</t>
  </si>
  <si>
    <t xml:space="preserve">7.b-D1-03</t>
  </si>
  <si>
    <t xml:space="preserve">Release-readiness prediction accuracy</t>
  </si>
  <si>
    <t xml:space="preserve">7.b-D2-04</t>
  </si>
  <si>
    <t xml:space="preserve">Shared feature store; per-product calibration only</t>
  </si>
  <si>
    <t xml:space="preserve">7.b-D2-05</t>
  </si>
  <si>
    <t xml:space="preserve">7.b-D2-06</t>
  </si>
  <si>
    <t xml:space="preserve">7.b-D3-07</t>
  </si>
  <si>
    <t xml:space="preserve">Nightly batch run time</t>
  </si>
  <si>
    <t xml:space="preserve">7.b-D3-08</t>
  </si>
  <si>
    <t xml:space="preserve">7.b-D4-09</t>
  </si>
  <si>
    <t xml:space="preserve">Brier score (calibration)</t>
  </si>
  <si>
    <t xml:space="preserve">Brier</t>
  </si>
  <si>
    <t xml:space="preserve">7.b-D4-10</t>
  </si>
  <si>
    <t xml:space="preserve">7.b-D5-11</t>
  </si>
  <si>
    <t xml:space="preserve">Escaped defects reduction</t>
  </si>
  <si>
    <t xml:space="preserve">7.b-D6-12</t>
  </si>
  <si>
    <t xml:space="preserve">7.b-D6-13</t>
  </si>
  <si>
    <t xml:space="preserve">7.b-D6-14</t>
  </si>
  <si>
    <t xml:space="preserve">7.b-D6-15</t>
  </si>
  <si>
    <t xml:space="preserve">7.b-D6-16</t>
  </si>
  <si>
    <t xml:space="preserve">7.c-D1-01</t>
  </si>
  <si>
    <t xml:space="preserve">Numeric consistency with source data</t>
  </si>
  <si>
    <t xml:space="preserve">7.c-D1-02</t>
  </si>
  <si>
    <t xml:space="preserve">Template compliance</t>
  </si>
  <si>
    <t xml:space="preserve">7.c-D1-03</t>
  </si>
  <si>
    <t xml:space="preserve">Stakeholder rating</t>
  </si>
  <si>
    <t xml:space="preserve">7.c-D2-04</t>
  </si>
  <si>
    <t xml:space="preserve">Output formats supported (DOCX, PPTX, Confluence, email)</t>
  </si>
  <si>
    <t xml:space="preserve">7.c-D2-05</t>
  </si>
  <si>
    <t xml:space="preserve">7.c-D2-06</t>
  </si>
  <si>
    <t xml:space="preserve">7.c-D3-07</t>
  </si>
  <si>
    <t xml:space="preserve">Generation time per report</t>
  </si>
  <si>
    <t xml:space="preserve">7.c-D3-08</t>
  </si>
  <si>
    <t xml:space="preserve">7.c-D4-09</t>
  </si>
  <si>
    <t xml:space="preserve">Numeric claims auto-verified against source</t>
  </si>
  <si>
    <t xml:space="preserve">7.c-D4-10</t>
  </si>
  <si>
    <t xml:space="preserve">7.c-D5-11</t>
  </si>
  <si>
    <t xml:space="preserve">Report prep effort reduction</t>
  </si>
  <si>
    <t xml:space="preserve">7.c-D6-12</t>
  </si>
  <si>
    <t xml:space="preserve">7.c-D6-13</t>
  </si>
  <si>
    <t xml:space="preserve">7.c-D6-14</t>
  </si>
  <si>
    <t xml:space="preserve">7.c-D6-15</t>
  </si>
  <si>
    <t xml:space="preserve">7.c-D6-16</t>
  </si>
  <si>
    <t xml:space="preserve">8.a-D1-01</t>
  </si>
  <si>
    <t xml:space="preserve">Deterministic criterion evaluation accuracy</t>
  </si>
  <si>
    <t xml:space="preserve">8.a-D1-02</t>
  </si>
  <si>
    <t xml:space="preserve">Waiver recommendation agreement with CCB</t>
  </si>
  <si>
    <t xml:space="preserve">8.a-D2-03</t>
  </si>
  <si>
    <t xml:space="preserve">Criteria DSL shared; per-program YAML</t>
  </si>
  <si>
    <t xml:space="preserve">8.a-D2-04</t>
  </si>
  <si>
    <t xml:space="preserve">8.a-D2-05</t>
  </si>
  <si>
    <t xml:space="preserve">8.a-D3-06</t>
  </si>
  <si>
    <t xml:space="preserve">Evaluation time</t>
  </si>
  <si>
    <t xml:space="preserve">8.a-D3-07</t>
  </si>
  <si>
    <t xml:space="preserve">8.a-D4-08</t>
  </si>
  <si>
    <t xml:space="preserve">Decisions with full audit trail</t>
  </si>
  <si>
    <t xml:space="preserve">8.a-D4-09</t>
  </si>
  <si>
    <t xml:space="preserve">8.a-D5-10</t>
  </si>
  <si>
    <t xml:space="preserve">Sign-off cycle reduction</t>
  </si>
  <si>
    <t xml:space="preserve">8.a-D6-11</t>
  </si>
  <si>
    <t xml:space="preserve">8.a-D6-12</t>
  </si>
  <si>
    <t xml:space="preserve">8.a-D6-13</t>
  </si>
  <si>
    <t xml:space="preserve">8.a-D6-14</t>
  </si>
  <si>
    <t xml:space="preserve">8.a-D6-15</t>
  </si>
  <si>
    <t xml:space="preserve">8.b-D1-01</t>
  </si>
  <si>
    <t xml:space="preserve">Lesson extraction precision</t>
  </si>
  <si>
    <t xml:space="preserve">8.b-D1-02</t>
  </si>
  <si>
    <t xml:space="preserve">Lesson extraction recall</t>
  </si>
  <si>
    <t xml:space="preserve">8.b-D1-03</t>
  </si>
  <si>
    <t xml:space="preserve">Entity-linking accuracy</t>
  </si>
  <si>
    <t xml:space="preserve">8.b-D1-04</t>
  </si>
  <si>
    <t xml:space="preserve">KB retrieval hit@5</t>
  </si>
  <si>
    <t xml:space="preserve">8.b-D2-05</t>
  </si>
  <si>
    <t xml:space="preserve">Single Zion KG ontology across groups</t>
  </si>
  <si>
    <t xml:space="preserve">8.b-D2-06</t>
  </si>
  <si>
    <t xml:space="preserve">8.b-D2-07</t>
  </si>
  <si>
    <t xml:space="preserve">8.b-D3-08</t>
  </si>
  <si>
    <t xml:space="preserve">Documents processed per hour</t>
  </si>
  <si>
    <t xml:space="preserve">docs/hr</t>
  </si>
  <si>
    <t xml:space="preserve">8.b-D3-09</t>
  </si>
  <si>
    <t xml:space="preserve">8.b-D4-10</t>
  </si>
  <si>
    <t xml:space="preserve">Confidential redaction</t>
  </si>
  <si>
    <t xml:space="preserve">8.b-D4-11</t>
  </si>
  <si>
    <t xml:space="preserve">8.b-D5-12</t>
  </si>
  <si>
    <t xml:space="preserve">New-member KT time reduction</t>
  </si>
  <si>
    <t xml:space="preserve">8.b-D6-13</t>
  </si>
  <si>
    <t xml:space="preserve">8.b-D6-14</t>
  </si>
  <si>
    <t xml:space="preserve">8.b-D6-15</t>
  </si>
  <si>
    <t xml:space="preserve">8.b-D6-16</t>
  </si>
  <si>
    <t xml:space="preserve">8.b-D6-17</t>
  </si>
  <si>
    <t xml:space="preserve">8.c-D1-01</t>
  </si>
  <si>
    <t xml:space="preserve">Bottleneck identification agreement</t>
  </si>
  <si>
    <t xml:space="preserve">8.c-D1-02</t>
  </si>
  <si>
    <t xml:space="preserve">Conformance fitness</t>
  </si>
  <si>
    <t xml:space="preserve">8.c-D1-03</t>
  </si>
  <si>
    <t xml:space="preserve">Recommendations adopted</t>
  </si>
  <si>
    <t xml:space="preserve">8.c-D2-04</t>
  </si>
  <si>
    <t xml:space="preserve">Standard event-log schema from any ALM</t>
  </si>
  <si>
    <t xml:space="preserve">8.c-D2-05</t>
  </si>
  <si>
    <t xml:space="preserve">8.c-D2-06</t>
  </si>
  <si>
    <t xml:space="preserve">8.c-D3-07</t>
  </si>
  <si>
    <t xml:space="preserve">Processing time for 1M events</t>
  </si>
  <si>
    <t xml:space="preserve">8.c-D3-08</t>
  </si>
  <si>
    <t xml:space="preserve">8.c-D4-09</t>
  </si>
  <si>
    <t xml:space="preserve">Simulated gains reported with confidence interval</t>
  </si>
  <si>
    <t xml:space="preserve">8.c-D4-10</t>
  </si>
  <si>
    <t xml:space="preserve">8.c-D5-11</t>
  </si>
  <si>
    <t xml:space="preserve">Activity cycle time reduction after adoption</t>
  </si>
  <si>
    <t xml:space="preserve">8.c-D6-12</t>
  </si>
  <si>
    <t xml:space="preserve">8.c-D6-13</t>
  </si>
  <si>
    <t xml:space="preserve">8.c-D6-14</t>
  </si>
  <si>
    <t xml:space="preserve">8.c-D6-15</t>
  </si>
  <si>
    <t xml:space="preserve">8.c-D6-16</t>
  </si>
  <si>
    <t xml:space="preserve">9.a-D1-01</t>
  </si>
  <si>
    <t xml:space="preserve">Decision agreement with release board</t>
  </si>
  <si>
    <t xml:space="preserve">9.a-D1-02</t>
  </si>
  <si>
    <t xml:space="preserve">Missing-evidence detection recall</t>
  </si>
  <si>
    <t xml:space="preserve">9.a-D1-03</t>
  </si>
  <si>
    <t xml:space="preserve">False Go on seeded blockers</t>
  </si>
  <si>
    <t xml:space="preserve">9.a-D2-04</t>
  </si>
  <si>
    <t xml:space="preserve">Gate policies per customer / product in YAML</t>
  </si>
  <si>
    <t xml:space="preserve">9.a-D2-05</t>
  </si>
  <si>
    <t xml:space="preserve">9.a-D2-06</t>
  </si>
  <si>
    <t xml:space="preserve">9.a-D3-07</t>
  </si>
  <si>
    <t xml:space="preserve">Validation time per RC</t>
  </si>
  <si>
    <t xml:space="preserve">9.a-D3-08</t>
  </si>
  <si>
    <t xml:space="preserve">9.a-D4-09</t>
  </si>
  <si>
    <t xml:space="preserve">Final Go made by a human</t>
  </si>
  <si>
    <t xml:space="preserve">9.a-D4-10</t>
  </si>
  <si>
    <t xml:space="preserve">9.a-D5-11</t>
  </si>
  <si>
    <t xml:space="preserve">Release readiness review time reduction</t>
  </si>
  <si>
    <t xml:space="preserve">9.a-D6-12</t>
  </si>
  <si>
    <t xml:space="preserve">9.a-D6-13</t>
  </si>
  <si>
    <t xml:space="preserve">9.a-D6-14</t>
  </si>
  <si>
    <t xml:space="preserve">9.a-D6-15</t>
  </si>
  <si>
    <t xml:space="preserve">9.a-D6-16</t>
  </si>
  <si>
    <t xml:space="preserve">9.b-D1-01</t>
  </si>
  <si>
    <t xml:space="preserve">Deployment fault detection recall</t>
  </si>
  <si>
    <t xml:space="preserve">9.b-D1-02</t>
  </si>
  <si>
    <t xml:space="preserve">FW / image integrity verification</t>
  </si>
  <si>
    <t xml:space="preserve">9.b-D2-03</t>
  </si>
  <si>
    <t xml:space="preserve">Check-packs per target (customer platform, OEM qualification)</t>
  </si>
  <si>
    <t xml:space="preserve">9.b-D2-04</t>
  </si>
  <si>
    <t xml:space="preserve">9.b-D2-05</t>
  </si>
  <si>
    <t xml:space="preserve">9.b-D3-06</t>
  </si>
  <si>
    <t xml:space="preserve">Targets verified in parallel</t>
  </si>
  <si>
    <t xml:space="preserve">9.b-D3-07</t>
  </si>
  <si>
    <t xml:space="preserve">Verification time</t>
  </si>
  <si>
    <t xml:space="preserve">9.b-D3-08</t>
  </si>
  <si>
    <t xml:space="preserve">9.b-D4-09</t>
  </si>
  <si>
    <t xml:space="preserve">Signed, tamper-evident reports</t>
  </si>
  <si>
    <t xml:space="preserve">9.b-D4-10</t>
  </si>
  <si>
    <t xml:space="preserve">9.b-D5-11</t>
  </si>
  <si>
    <t xml:space="preserve">Post-release deployment issues reduction</t>
  </si>
  <si>
    <t xml:space="preserve">9.b-D6-12</t>
  </si>
  <si>
    <t xml:space="preserve">9.b-D6-13</t>
  </si>
  <si>
    <t xml:space="preserve">9.b-D6-14</t>
  </si>
  <si>
    <t xml:space="preserve">9.b-D6-15</t>
  </si>
  <si>
    <t xml:space="preserve">9.b-D6-16</t>
  </si>
  <si>
    <t xml:space="preserve">9.c-D1-01</t>
  </si>
  <si>
    <t xml:space="preserve">Release-note completeness (fixes + known issues)</t>
  </si>
  <si>
    <t xml:space="preserve">9.c-D1-02</t>
  </si>
  <si>
    <t xml:space="preserve">Factual errors</t>
  </si>
  <si>
    <t xml:space="preserve">9.c-D1-03</t>
  </si>
  <si>
    <t xml:space="preserve">Rollback dry-run success</t>
  </si>
  <si>
    <t xml:space="preserve">9.c-D2-04</t>
  </si>
  <si>
    <t xml:space="preserve">Customer-specific templates and tone in config</t>
  </si>
  <si>
    <t xml:space="preserve">9.c-D2-05</t>
  </si>
  <si>
    <t xml:space="preserve">9.c-D2-06</t>
  </si>
  <si>
    <t xml:space="preserve">9.c-D3-07</t>
  </si>
  <si>
    <t xml:space="preserve">Draft time per release</t>
  </si>
  <si>
    <t xml:space="preserve">9.c-D3-08</t>
  </si>
  <si>
    <t xml:space="preserve">9.c-D4-09</t>
  </si>
  <si>
    <t xml:space="preserve">Confidential leak check pass (codenames, internal IDs)</t>
  </si>
  <si>
    <t xml:space="preserve">9.c-D4-10</t>
  </si>
  <si>
    <t xml:space="preserve">9.c-D5-11</t>
  </si>
  <si>
    <t xml:space="preserve">Comms prep effort reduction</t>
  </si>
  <si>
    <t xml:space="preserve">9.c-D6-12</t>
  </si>
  <si>
    <t xml:space="preserve">9.c-D6-13</t>
  </si>
  <si>
    <t xml:space="preserve">9.c-D6-14</t>
  </si>
  <si>
    <t xml:space="preserve">9.c-D6-15</t>
  </si>
  <si>
    <t xml:space="preserve">9.c-D6-16</t>
  </si>
  <si>
    <t xml:space="preserve">10.a-D1-01</t>
  </si>
  <si>
    <t xml:space="preserve">Anomaly precision</t>
  </si>
  <si>
    <t xml:space="preserve">10.a-D1-02</t>
  </si>
  <si>
    <t xml:space="preserve">Anomaly recall</t>
  </si>
  <si>
    <t xml:space="preserve">10.a-D1-03</t>
  </si>
  <si>
    <t xml:space="preserve">Lead time before failure</t>
  </si>
  <si>
    <t xml:space="preserve">10.a-D1-04</t>
  </si>
  <si>
    <t xml:space="preserve">False alerts per day</t>
  </si>
  <si>
    <t xml:space="preserve">alerts/day</t>
  </si>
  <si>
    <t xml:space="preserve">10.a-D2-05</t>
  </si>
  <si>
    <t xml:space="preserve">Generic stream schema; per-product thresholds</t>
  </si>
  <si>
    <t xml:space="preserve">10.a-D2-06</t>
  </si>
  <si>
    <t xml:space="preserve">10.a-D2-07</t>
  </si>
  <si>
    <t xml:space="preserve">10.a-D3-08</t>
  </si>
  <si>
    <t xml:space="preserve">Device streams monitored</t>
  </si>
  <si>
    <t xml:space="preserve">streams</t>
  </si>
  <si>
    <t xml:space="preserve">10.a-D3-09</t>
  </si>
  <si>
    <t xml:space="preserve">Detection latency</t>
  </si>
  <si>
    <t xml:space="preserve">10.a-D3-10</t>
  </si>
  <si>
    <t xml:space="preserve">10.a-D4-11</t>
  </si>
  <si>
    <t xml:space="preserve">Alerts explaining contributing signals</t>
  </si>
  <si>
    <t xml:space="preserve">10.a-D4-12</t>
  </si>
  <si>
    <t xml:space="preserve">10.a-D5-13</t>
  </si>
  <si>
    <t xml:space="preserve">Field failure MTTD reduction</t>
  </si>
  <si>
    <t xml:space="preserve">10.a-D6-14</t>
  </si>
  <si>
    <t xml:space="preserve">10.a-D6-15</t>
  </si>
  <si>
    <t xml:space="preserve">10.a-D6-16</t>
  </si>
  <si>
    <t xml:space="preserve">10.a-D6-17</t>
  </si>
  <si>
    <t xml:space="preserve">10.a-D6-18</t>
  </si>
  <si>
    <t xml:space="preserve">10.b-D1-01</t>
  </si>
  <si>
    <t xml:space="preserve">Sentiment F1</t>
  </si>
  <si>
    <t xml:space="preserve">10.b-D1-02</t>
  </si>
  <si>
    <t xml:space="preserve">Topic classification accuracy</t>
  </si>
  <si>
    <t xml:space="preserve">10.b-D1-03</t>
  </si>
  <si>
    <t xml:space="preserve">Defect-worthy issue recall</t>
  </si>
  <si>
    <t xml:space="preserve">10.b-D2-04</t>
  </si>
  <si>
    <t xml:space="preserve">Languages supported (EN / KO / ZH)</t>
  </si>
  <si>
    <t xml:space="preserve">10.b-D2-05</t>
  </si>
  <si>
    <t xml:space="preserve">10.b-D2-06</t>
  </si>
  <si>
    <t xml:space="preserve">10.b-D3-07</t>
  </si>
  <si>
    <t xml:space="preserve">Items processed per day</t>
  </si>
  <si>
    <t xml:space="preserve">items/day</t>
  </si>
  <si>
    <t xml:space="preserve">10.b-D3-08</t>
  </si>
  <si>
    <t xml:space="preserve">10.b-D4-09</t>
  </si>
  <si>
    <t xml:space="preserve">Customer data processed only via on-prem LLM</t>
  </si>
  <si>
    <t xml:space="preserve">10.b-D4-10</t>
  </si>
  <si>
    <t xml:space="preserve">10.b-D5-11</t>
  </si>
  <si>
    <t xml:space="preserve">Customer issue response time reduction</t>
  </si>
  <si>
    <t xml:space="preserve">10.b-D6-12</t>
  </si>
  <si>
    <t xml:space="preserve">10.b-D6-13</t>
  </si>
  <si>
    <t xml:space="preserve">10.b-D6-14</t>
  </si>
  <si>
    <t xml:space="preserve">10.b-D6-15</t>
  </si>
  <si>
    <t xml:space="preserve">10.b-D6-16</t>
  </si>
  <si>
    <t xml:space="preserve">10.c-D1-01</t>
  </si>
  <si>
    <t xml:space="preserve">Hotfix priority agreement</t>
  </si>
  <si>
    <t xml:space="preserve">10.c-D1-02</t>
  </si>
  <si>
    <t xml:space="preserve">Targeted regression catch vs full regression</t>
  </si>
  <si>
    <t xml:space="preserve">10.c-D1-03</t>
  </si>
  <si>
    <t xml:space="preserve">Retrained model non-regression gate</t>
  </si>
  <si>
    <t xml:space="preserve">10.c-D2-04</t>
  </si>
  <si>
    <t xml:space="preserve">ML components served by one pipeline</t>
  </si>
  <si>
    <t xml:space="preserve">10.c-D2-05</t>
  </si>
  <si>
    <t xml:space="preserve">10.c-D2-06</t>
  </si>
  <si>
    <t xml:space="preserve">10.c-D3-07</t>
  </si>
  <si>
    <t xml:space="preserve">Retrain cycle time</t>
  </si>
  <si>
    <t xml:space="preserve">10.c-D3-08</t>
  </si>
  <si>
    <t xml:space="preserve">Models managed</t>
  </si>
  <si>
    <t xml:space="preserve">10.c-D3-09</t>
  </si>
  <si>
    <t xml:space="preserve">10.c-D4-10</t>
  </si>
  <si>
    <t xml:space="preserve">Model rollback time</t>
  </si>
  <si>
    <t xml:space="preserve">10.c-D4-11</t>
  </si>
  <si>
    <t xml:space="preserve">10.c-D5-12</t>
  </si>
  <si>
    <t xml:space="preserve">Hotfix turnaround reduction</t>
  </si>
  <si>
    <t xml:space="preserve">10.c-D6-13</t>
  </si>
  <si>
    <t xml:space="preserve">10.c-D6-14</t>
  </si>
  <si>
    <t xml:space="preserve">10.c-D6-15</t>
  </si>
  <si>
    <t xml:space="preserve">10.c-D6-16</t>
  </si>
  <si>
    <t xml:space="preserve">10.c-D6-17</t>
  </si>
  <si>
    <t xml:space="preserve">Notes: percentages are stored as fractions (0.95 = 95%). Yes/No KPIs: Target 1 = Yes. Targets and floors are proposed benchmark v1.0 values (wf2c page) pending review-board approval; generic KPIs come from the A_Scoring_Model generic list.</t>
  </si>
  <si>
    <t xml:space="preserve">D · Shared building blocks — build once, reuse across components</t>
  </si>
  <si>
    <t xml:space="preserve">A component that re-implements a shared service scores 0 on the D2 'uses shared services' KPI</t>
  </si>
  <si>
    <t xml:space="preserve">Code</t>
  </si>
  <si>
    <t xml:space="preserve">Shared service</t>
  </si>
  <si>
    <t xml:space="preserve">What it provides</t>
  </si>
  <si>
    <t xml:space="preserve">Components using it</t>
  </si>
  <si>
    <t xml:space="preserve">LLM</t>
  </si>
  <si>
    <t xml:space="preserve">LLM gateway &amp; prompt registry</t>
  </si>
  <si>
    <t xml:space="preserve">On-prem model routing, token metering, versioned prompt packs, PII / confidentiality filter</t>
  </si>
  <si>
    <t xml:space="preserve">EMB</t>
  </si>
  <si>
    <t xml:space="preserve">Embedding &amp; semantic similarity service</t>
  </si>
  <si>
    <t xml:space="preserve">One embedding model and vector index for linking, dedup and retrieval</t>
  </si>
  <si>
    <t xml:space="preserve">SPEC</t>
  </si>
  <si>
    <t xml:space="preserve">Spec &amp; document ingestion</t>
  </si>
  <si>
    <t xml:space="preserve">PDF / DOCX / ReqIF parsing, clause-aware chunking, table extraction</t>
  </si>
  <si>
    <t xml:space="preserve">RULE</t>
  </si>
  <si>
    <t xml:space="preserve">Rule &amp; policy engine</t>
  </si>
  <si>
    <t xml:space="preserve">YAML / OPA rules for criteria, gates, access and compliance checks</t>
  </si>
  <si>
    <t xml:space="preserve">RISK</t>
  </si>
  <si>
    <t xml:space="preserve">Risk scoring library</t>
  </si>
  <si>
    <t xml:space="preserve">Likelihood × impact, FMEA RPN and test-impact risk in one calibrated library</t>
  </si>
  <si>
    <t xml:space="preserve">ANOM</t>
  </si>
  <si>
    <t xml:space="preserve">Time-series anomaly core</t>
  </si>
  <si>
    <t xml:space="preserve">SPC, change-point and isolation-forest detectors with a common alert schema</t>
  </si>
  <si>
    <t xml:space="preserve">LOG</t>
  </si>
  <si>
    <t xml:space="preserve">Log parser &amp; signature library</t>
  </si>
  <si>
    <t xml:space="preserve">FW trace, host dmesg, NVMe error log, UART parsers and failure signatures</t>
  </si>
  <si>
    <t xml:space="preserve">DOC</t>
  </si>
  <si>
    <t xml:space="preserve">Report &amp; document generator</t>
  </si>
  <si>
    <t xml:space="preserve">Audience templates rendered to DOCX, PPTX, Confluence and email</t>
  </si>
  <si>
    <t xml:space="preserve">MLOPS</t>
  </si>
  <si>
    <t xml:space="preserve">MLOps pipeline &amp; model registry</t>
  </si>
  <si>
    <t xml:space="preserve">Feature store, training, drift monitoring, champion / challenger, rollback</t>
  </si>
  <si>
    <t xml:space="preserve">GOLD</t>
  </si>
  <si>
    <t xml:space="preserve">Golden dataset &amp; benchmark harness</t>
  </si>
  <si>
    <t xml:space="preserve">Versioned golden sets, scripted runs, automatic KPI report for gate G2</t>
  </si>
  <si>
    <t xml:space="preserve">Component × service usage matrix (● = uses the service)</t>
  </si>
  <si>
    <t xml:space="preserve">●</t>
  </si>
  <si>
    <t xml:space="preserve">E · Measurements — enter benchmark results per group</t>
  </si>
  <si>
    <t xml:space="preserve">Yellow cells = input. Percent KPIs as %, Yes/No KPIs as 1 / 0. Scores calculate automatically (100 at Target, 60 at Min, 0 beyond Min).</t>
  </si>
  <si>
    <t xml:space="preserve">Target</t>
  </si>
  <si>
    <t xml:space="preserve">Min (effective)</t>
  </si>
  <si>
    <t xml:space="preserve">grp1 value</t>
  </si>
  <si>
    <t xml:space="preserve">grp2 value</t>
  </si>
  <si>
    <t xml:space="preserve">grp3 value</t>
  </si>
  <si>
    <t xml:space="preserve">Sol PE platform value</t>
  </si>
  <si>
    <t xml:space="preserve">grp1 score</t>
  </si>
  <si>
    <t xml:space="preserve">grp2 score</t>
  </si>
  <si>
    <t xml:space="preserve">grp3 score</t>
  </si>
  <si>
    <t xml:space="preserve">Sol PE platform score</t>
  </si>
  <si>
    <t xml:space="preserve">E · Ranking scorecard — grp1 vs grp2 vs grp3 per L3 component</t>
  </si>
  <si>
    <t xml:space="preserve">Dimension score = mean of measured KPI scores · Composite needs all six dimensions · Gates G1–G4, G6 are inputs (Y/N); G5 is computed</t>
  </si>
  <si>
    <t xml:space="preserve">Group</t>
  </si>
  <si>
    <t xml:space="preserve">KPIs measured</t>
  </si>
  <si>
    <t xml:space="preserve">Composite</t>
  </si>
  <si>
    <t xml:space="preserve">G5 (auto)</t>
  </si>
  <si>
    <t xml:space="preserve">All gates</t>
  </si>
  <si>
    <t xml:space="preserve">Rank</t>
  </si>
  <si>
    <t xml:space="preserve">Key</t>
  </si>
  <si>
    <t xml:space="preserve">grp1</t>
  </si>
  <si>
    <t xml:space="preserve">Y</t>
  </si>
  <si>
    <t xml:space="preserve">grp2</t>
  </si>
  <si>
    <t xml:space="preserve">grp3</t>
  </si>
  <si>
    <t xml:space="preserve">Sol PE platform</t>
  </si>
  <si>
    <t xml:space="preserve">N</t>
  </si>
  <si>
    <t xml:space="preserve">Rank counts only solutions that pass all gates; equal composites share a rank — apply the tie-break in A_Scoring_Model manually. L3-1.a rows use illustrative example data.</t>
  </si>
  <si>
    <t xml:space="preserve">E · Summary — leading eligible solution per L3 component</t>
  </si>
  <si>
    <t xml:space="preserve">Tier 1 = Sol PE standard; other groups adopt and contribute instead of maintaining their own</t>
  </si>
  <si>
    <t xml:space="preserve">Tier 1 components</t>
  </si>
  <si>
    <t xml:space="preserve">Tier 2 components</t>
  </si>
  <si>
    <t xml:space="preserve">Tier 3 / 4</t>
  </si>
  <si>
    <t xml:space="preserve">Not yet benchmarked</t>
  </si>
  <si>
    <t xml:space="preserve">Submissions scored</t>
  </si>
  <si>
    <t xml:space="preserve">Leading group</t>
  </si>
  <si>
    <t xml:space="preserve">Leading composite</t>
  </si>
  <si>
    <t xml:space="preserve">Action for all groups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</si>
</sst>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"/>
    <numFmt numFmtId="167" formatCode="0.0%"/>
    <numFmt numFmtId="168" formatCode="0.00"/>
    <numFmt numFmtId="169" formatCode="#,##0.##"/>
    <numFmt numFmtId="170" formatCode="0.0"/>
    <numFmt numFmtId="171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842"/>
      <name val="Arial"/>
      <family val="0"/>
      <charset val="1"/>
    </font>
    <font>
      <i val="true"/>
      <sz val="10"/>
      <color rgb="FF4B4868"/>
      <name val="Arial"/>
      <family val="0"/>
      <charset val="1"/>
    </font>
    <font>
      <b val="true"/>
      <sz val="10"/>
      <color rgb="FF1C1842"/>
      <name val="Arial"/>
      <family val="0"/>
      <charset val="1"/>
    </font>
    <font>
      <sz val="10"/>
      <color rgb="FF1C184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C1842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4B4868"/>
      <name val="Arial"/>
      <family val="0"/>
      <charset val="1"/>
    </font>
    <font>
      <b val="true"/>
      <sz val="18"/>
      <color rgb="FF6D4AE0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1C1842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CFCE7"/>
        <bgColor rgb="FFE0F2FE"/>
      </patternFill>
    </fill>
    <fill>
      <patternFill patternType="solid">
        <fgColor rgb="FFE0F2FE"/>
        <bgColor rgb="FFDCFCE7"/>
      </patternFill>
    </fill>
    <fill>
      <patternFill patternType="solid">
        <fgColor rgb="FFFEF3C7"/>
        <bgColor rgb="FFFFEDD5"/>
      </patternFill>
    </fill>
    <fill>
      <patternFill patternType="solid">
        <fgColor rgb="FFFFEDD5"/>
        <bgColor rgb="FFFEF3C7"/>
      </patternFill>
    </fill>
    <fill>
      <patternFill patternType="solid">
        <fgColor rgb="FFFEE2E2"/>
        <bgColor rgb="FFFFEDD5"/>
      </patternFill>
    </fill>
    <fill>
      <patternFill patternType="solid">
        <fgColor rgb="FF3B82F6"/>
        <bgColor rgb="FF0066CC"/>
      </patternFill>
    </fill>
    <fill>
      <patternFill patternType="solid">
        <fgColor rgb="FF8B5CF6"/>
        <bgColor rgb="FF6D4AE0"/>
      </patternFill>
    </fill>
    <fill>
      <patternFill patternType="solid">
        <fgColor rgb="FFEC4899"/>
        <bgColor rgb="FFEF4444"/>
      </patternFill>
    </fill>
    <fill>
      <patternFill patternType="solid">
        <fgColor rgb="FFF59E0B"/>
        <bgColor rgb="FFF97316"/>
      </patternFill>
    </fill>
    <fill>
      <patternFill patternType="solid">
        <fgColor rgb="FF10B981"/>
        <bgColor rgb="FF16A34A"/>
      </patternFill>
    </fill>
    <fill>
      <patternFill patternType="solid">
        <fgColor rgb="FFEF4444"/>
        <bgColor rgb="FFEC4899"/>
      </patternFill>
    </fill>
    <fill>
      <patternFill patternType="solid">
        <fgColor rgb="FF06B6D4"/>
        <bgColor rgb="FF10B981"/>
      </patternFill>
    </fill>
    <fill>
      <patternFill patternType="solid">
        <fgColor rgb="FF16A34A"/>
        <bgColor rgb="FF10B981"/>
      </patternFill>
    </fill>
    <fill>
      <patternFill patternType="solid">
        <fgColor rgb="FFF97316"/>
        <bgColor rgb="FFF59E0B"/>
      </patternFill>
    </fill>
    <fill>
      <patternFill patternType="solid">
        <fgColor rgb="FF7C3AED"/>
        <bgColor rgb="FF6D4AE0"/>
      </patternFill>
    </fill>
    <fill>
      <patternFill patternType="solid">
        <fgColor rgb="FFF5F4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E3"/>
      </left>
      <right style="thin">
        <color rgb="FFD0CCE3"/>
      </right>
      <top style="thin">
        <color rgb="FFD0CCE3"/>
      </top>
      <bottom style="thin">
        <color rgb="FFD0C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06B6D4"/>
          <bgColor rgb="FF000000"/>
        </patternFill>
      </fill>
    </dxf>
    <dxf>
      <fill>
        <patternFill patternType="solid">
          <fgColor rgb="FF10B981"/>
          <bgColor rgb="FF000000"/>
        </patternFill>
      </fill>
    </dxf>
    <dxf>
      <fill>
        <patternFill patternType="solid">
          <fgColor rgb="FF16A34A"/>
          <bgColor rgb="FF000000"/>
        </patternFill>
      </fill>
    </dxf>
    <dxf>
      <fill>
        <patternFill patternType="solid">
          <fgColor rgb="FF1C1842"/>
          <bgColor rgb="FF000000"/>
        </patternFill>
      </fill>
    </dxf>
    <dxf>
      <fill>
        <patternFill patternType="solid">
          <fgColor rgb="FF3B82F6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8B5CF6"/>
          <bgColor rgb="FF000000"/>
        </patternFill>
      </fill>
    </dxf>
    <dxf>
      <fill>
        <patternFill patternType="solid">
          <fgColor rgb="FFEC4899"/>
          <bgColor rgb="FF000000"/>
        </patternFill>
      </fill>
    </dxf>
    <dxf>
      <fill>
        <patternFill patternType="solid">
          <fgColor rgb="FFEF4444"/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F9731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5F4FA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>
          <bgColor rgb="FFFEE2E2"/>
        </patternFill>
      </fill>
    </dxf>
    <dxf>
      <fill>
        <patternFill>
          <bgColor rgb="FFDCFCE7"/>
        </patternFill>
      </fill>
    </dxf>
    <dxf>
      <fill>
        <patternFill patternType="solid">
          <fgColor rgb="FFA3262A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E0F2FE"/>
        </patternFill>
      </fill>
    </dxf>
    <dxf>
      <fill>
        <patternFill>
          <bgColor rgb="FFFEF3C7"/>
        </patternFill>
      </fill>
    </dxf>
    <dxf>
      <fill>
        <patternFill>
          <bgColor rgb="FFFFEDD5"/>
        </patternFill>
      </fill>
    </dxf>
    <dxf>
      <font>
        <name val="Arial"/>
        <charset val="1"/>
        <family val="0"/>
        <b val="1"/>
        <color rgb="FFA3262A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B5CF6"/>
      <rgbColor rgb="FF7C3AED"/>
      <rgbColor rgb="FFFEF3C7"/>
      <rgbColor rgb="FFDCFCE7"/>
      <rgbColor rgb="FF660066"/>
      <rgbColor rgb="FFEC4899"/>
      <rgbColor rgb="FF0066CC"/>
      <rgbColor rgb="FFD0CC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E0F2FE"/>
      <rgbColor rgb="FFF5F4FA"/>
      <rgbColor rgb="FFFFEDD5"/>
      <rgbColor rgb="FF99CCFF"/>
      <rgbColor rgb="FFFF99CC"/>
      <rgbColor rgb="FFCC99FF"/>
      <rgbColor rgb="FFFEE2E2"/>
      <rgbColor rgb="FF3B82F6"/>
      <rgbColor rgb="FF10B981"/>
      <rgbColor rgb="FF99CC00"/>
      <rgbColor rgb="FFFFCC00"/>
      <rgbColor rgb="FFF59E0B"/>
      <rgbColor rgb="FFF97316"/>
      <rgbColor rgb="FF6D4AE0"/>
      <rgbColor rgb="FF969696"/>
      <rgbColor rgb="FF003366"/>
      <rgbColor rgb="FF16A34A"/>
      <rgbColor rgb="FF003300"/>
      <rgbColor rgb="FF333300"/>
      <rgbColor rgb="FFA3262A"/>
      <rgbColor rgb="FFEF4444"/>
      <rgbColor rgb="FF4B4868"/>
      <rgbColor rgb="FF1C184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C1842"/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/>
      <c r="B5" s="4"/>
    </row>
    <row r="6" customFormat="false" ht="15" hidden="false" customHeight="false" outlineLevel="0" collapsed="false">
      <c r="A6" s="6" t="s">
        <v>4</v>
      </c>
      <c r="B6" s="7" t="s">
        <v>5</v>
      </c>
    </row>
    <row r="7" customFormat="false" ht="23.85" hidden="false" customHeight="false" outlineLevel="0" collapsed="false">
      <c r="A7" s="5" t="s">
        <v>6</v>
      </c>
      <c r="B7" s="4" t="s">
        <v>7</v>
      </c>
    </row>
    <row r="8" customFormat="false" ht="15" hidden="false" customHeight="false" outlineLevel="0" collapsed="false">
      <c r="A8" s="5" t="s">
        <v>8</v>
      </c>
      <c r="B8" s="4" t="s">
        <v>9</v>
      </c>
    </row>
    <row r="9" customFormat="false" ht="15" hidden="false" customHeight="false" outlineLevel="0" collapsed="false">
      <c r="A9" s="5" t="s">
        <v>10</v>
      </c>
      <c r="B9" s="4" t="s">
        <v>11</v>
      </c>
    </row>
    <row r="10" customFormat="false" ht="23.85" hidden="false" customHeight="false" outlineLevel="0" collapsed="false">
      <c r="A10" s="5" t="s">
        <v>12</v>
      </c>
      <c r="B10" s="4" t="s">
        <v>13</v>
      </c>
    </row>
    <row r="11" customFormat="false" ht="15" hidden="false" customHeight="false" outlineLevel="0" collapsed="false">
      <c r="A11" s="5" t="s">
        <v>14</v>
      </c>
      <c r="B11" s="4" t="s">
        <v>15</v>
      </c>
    </row>
    <row r="12" customFormat="false" ht="15" hidden="false" customHeight="false" outlineLevel="0" collapsed="false">
      <c r="A12" s="5" t="s">
        <v>16</v>
      </c>
      <c r="B12" s="4" t="s">
        <v>17</v>
      </c>
    </row>
    <row r="13" customFormat="false" ht="15" hidden="false" customHeight="false" outlineLevel="0" collapsed="false">
      <c r="A13" s="5" t="s">
        <v>18</v>
      </c>
      <c r="B13" s="4" t="s">
        <v>19</v>
      </c>
    </row>
    <row r="14" customFormat="false" ht="15" hidden="false" customHeight="false" outlineLevel="0" collapsed="false">
      <c r="A14" s="5" t="s">
        <v>20</v>
      </c>
      <c r="B14" s="4" t="s">
        <v>21</v>
      </c>
    </row>
    <row r="15" customFormat="false" ht="15" hidden="false" customHeight="false" outlineLevel="0" collapsed="false">
      <c r="A15" s="5"/>
      <c r="B15" s="4"/>
    </row>
    <row r="16" customFormat="false" ht="15" hidden="false" customHeight="false" outlineLevel="0" collapsed="false">
      <c r="A16" s="3" t="s">
        <v>22</v>
      </c>
      <c r="B16" s="4"/>
    </row>
    <row r="17" customFormat="false" ht="15" hidden="false" customHeight="false" outlineLevel="0" collapsed="false">
      <c r="A17" s="8" t="s">
        <v>23</v>
      </c>
      <c r="B17" s="4" t="s">
        <v>24</v>
      </c>
    </row>
    <row r="18" customFormat="false" ht="15" hidden="false" customHeight="false" outlineLevel="0" collapsed="false">
      <c r="A18" s="9" t="s">
        <v>25</v>
      </c>
      <c r="B18" s="4" t="s">
        <v>26</v>
      </c>
    </row>
    <row r="19" customFormat="false" ht="15" hidden="false" customHeight="false" outlineLevel="0" collapsed="false">
      <c r="A19" s="10" t="s">
        <v>27</v>
      </c>
      <c r="B19" s="4" t="s">
        <v>28</v>
      </c>
    </row>
    <row r="20" customFormat="false" ht="15" hidden="false" customHeight="false" outlineLevel="0" collapsed="false">
      <c r="A20" s="11" t="s">
        <v>29</v>
      </c>
      <c r="B20" s="4" t="s">
        <v>30</v>
      </c>
    </row>
    <row r="21" customFormat="false" ht="15" hidden="false" customHeight="false" outlineLevel="0" collapsed="false">
      <c r="A21" s="5"/>
      <c r="B21" s="4"/>
    </row>
    <row r="22" customFormat="false" ht="15" hidden="false" customHeight="false" outlineLevel="0" collapsed="false">
      <c r="A22" s="3" t="s">
        <v>31</v>
      </c>
      <c r="B22" s="4"/>
    </row>
    <row r="23" customFormat="false" ht="23.85" hidden="false" customHeight="false" outlineLevel="0" collapsed="false">
      <c r="A23" s="5" t="s">
        <v>32</v>
      </c>
      <c r="B23" s="4" t="s">
        <v>33</v>
      </c>
    </row>
    <row r="24" customFormat="false" ht="23.85" hidden="false" customHeight="false" outlineLevel="0" collapsed="false">
      <c r="A24" s="5" t="s">
        <v>34</v>
      </c>
      <c r="B24" s="4" t="s">
        <v>35</v>
      </c>
    </row>
    <row r="25" customFormat="false" ht="23.85" hidden="false" customHeight="false" outlineLevel="0" collapsed="false">
      <c r="A25" s="5" t="s">
        <v>36</v>
      </c>
      <c r="B25" s="4" t="s">
        <v>37</v>
      </c>
    </row>
    <row r="26" customFormat="false" ht="15" hidden="false" customHeight="false" outlineLevel="0" collapsed="false">
      <c r="A26" s="5" t="s">
        <v>38</v>
      </c>
      <c r="B26" s="4" t="s">
        <v>39</v>
      </c>
    </row>
    <row r="27" customFormat="false" ht="15" hidden="false" customHeight="false" outlineLevel="0" collapsed="false">
      <c r="A27" s="5"/>
      <c r="B27" s="4"/>
    </row>
    <row r="28" customFormat="false" ht="23.85" hidden="false" customHeight="false" outlineLevel="0" collapsed="false">
      <c r="A28" s="5" t="s">
        <v>40</v>
      </c>
      <c r="B28" s="4" t="s">
        <v>41</v>
      </c>
    </row>
    <row r="29" customFormat="false" ht="15" hidden="false" customHeight="false" outlineLevel="0" collapsed="false">
      <c r="A29" s="5" t="s">
        <v>42</v>
      </c>
      <c r="B29" s="4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AE0"/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10"/>
  </cols>
  <sheetData>
    <row r="1" customFormat="false" ht="19.7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15" hidden="false" customHeight="false" outlineLevel="0" collapsed="false">
      <c r="A4" s="12" t="s">
        <v>46</v>
      </c>
      <c r="B4" s="12" t="s">
        <v>47</v>
      </c>
      <c r="C4" s="12" t="s">
        <v>48</v>
      </c>
      <c r="D4" s="12" t="s">
        <v>49</v>
      </c>
    </row>
    <row r="5" customFormat="false" ht="23.85" hidden="false" customHeight="false" outlineLevel="0" collapsed="false">
      <c r="A5" s="13" t="s">
        <v>50</v>
      </c>
      <c r="B5" s="14" t="s">
        <v>51</v>
      </c>
      <c r="C5" s="15" t="n">
        <v>0.3</v>
      </c>
      <c r="D5" s="16" t="s">
        <v>52</v>
      </c>
    </row>
    <row r="6" customFormat="false" ht="23.85" hidden="false" customHeight="false" outlineLevel="0" collapsed="false">
      <c r="A6" s="13" t="s">
        <v>53</v>
      </c>
      <c r="B6" s="14" t="s">
        <v>54</v>
      </c>
      <c r="C6" s="15" t="n">
        <v>0.2</v>
      </c>
      <c r="D6" s="16" t="s">
        <v>55</v>
      </c>
    </row>
    <row r="7" customFormat="false" ht="23.85" hidden="false" customHeight="false" outlineLevel="0" collapsed="false">
      <c r="A7" s="13" t="s">
        <v>56</v>
      </c>
      <c r="B7" s="14" t="s">
        <v>57</v>
      </c>
      <c r="C7" s="15" t="n">
        <v>0.15</v>
      </c>
      <c r="D7" s="16" t="s">
        <v>58</v>
      </c>
    </row>
    <row r="8" customFormat="false" ht="23.85" hidden="false" customHeight="false" outlineLevel="0" collapsed="false">
      <c r="A8" s="13" t="s">
        <v>59</v>
      </c>
      <c r="B8" s="14" t="s">
        <v>60</v>
      </c>
      <c r="C8" s="15" t="n">
        <v>0.1</v>
      </c>
      <c r="D8" s="16" t="s">
        <v>61</v>
      </c>
    </row>
    <row r="9" customFormat="false" ht="23.85" hidden="false" customHeight="false" outlineLevel="0" collapsed="false">
      <c r="A9" s="13" t="s">
        <v>62</v>
      </c>
      <c r="B9" s="14" t="s">
        <v>63</v>
      </c>
      <c r="C9" s="15" t="n">
        <v>0.15</v>
      </c>
      <c r="D9" s="16" t="s">
        <v>64</v>
      </c>
    </row>
    <row r="10" customFormat="false" ht="23.85" hidden="false" customHeight="false" outlineLevel="0" collapsed="false">
      <c r="A10" s="13" t="s">
        <v>65</v>
      </c>
      <c r="B10" s="14" t="s">
        <v>66</v>
      </c>
      <c r="C10" s="15" t="n">
        <v>0.1</v>
      </c>
      <c r="D10" s="16" t="s">
        <v>67</v>
      </c>
    </row>
    <row r="11" customFormat="false" ht="15" hidden="false" customHeight="false" outlineLevel="0" collapsed="false">
      <c r="B11" s="14" t="s">
        <v>68</v>
      </c>
      <c r="C11" s="17" t="n">
        <f aca="false">SUM(C5:C10)</f>
        <v>1</v>
      </c>
      <c r="D11" s="16" t="str">
        <f aca="false">IF(ROUND(C11,4)=1,"OK — weights sum to 100%","CHECK — weights must sum to 100%")</f>
        <v>OK — weights sum to 100%</v>
      </c>
    </row>
    <row r="13" customFormat="false" ht="15" hidden="false" customHeight="false" outlineLevel="0" collapsed="false">
      <c r="A13" s="18" t="s">
        <v>69</v>
      </c>
    </row>
    <row r="14" customFormat="false" ht="15" hidden="false" customHeight="false" outlineLevel="0" collapsed="false">
      <c r="B14" s="16" t="s">
        <v>70</v>
      </c>
      <c r="C14" s="19" t="n">
        <v>100</v>
      </c>
      <c r="D14" s="2" t="s">
        <v>71</v>
      </c>
    </row>
    <row r="15" customFormat="false" ht="15" hidden="false" customHeight="false" outlineLevel="0" collapsed="false">
      <c r="B15" s="16" t="s">
        <v>72</v>
      </c>
      <c r="C15" s="19" t="n">
        <v>60</v>
      </c>
    </row>
    <row r="16" customFormat="false" ht="23.85" hidden="false" customHeight="false" outlineLevel="0" collapsed="false">
      <c r="B16" s="16" t="s">
        <v>73</v>
      </c>
      <c r="C16" s="15" t="n">
        <v>0.2</v>
      </c>
      <c r="D16" s="20" t="s">
        <v>74</v>
      </c>
    </row>
    <row r="17" customFormat="false" ht="23.85" hidden="false" customHeight="false" outlineLevel="0" collapsed="false">
      <c r="B17" s="16" t="s">
        <v>75</v>
      </c>
      <c r="C17" s="19" t="n">
        <v>5</v>
      </c>
      <c r="D17" s="2" t="s">
        <v>76</v>
      </c>
    </row>
    <row r="19" customFormat="false" ht="15" hidden="false" customHeight="false" outlineLevel="0" collapsed="false">
      <c r="A19" s="18" t="s">
        <v>77</v>
      </c>
    </row>
    <row r="20" customFormat="false" ht="15" hidden="false" customHeight="false" outlineLevel="0" collapsed="false">
      <c r="A20" s="12" t="s">
        <v>78</v>
      </c>
      <c r="B20" s="12" t="s">
        <v>79</v>
      </c>
      <c r="C20" s="12" t="s">
        <v>80</v>
      </c>
      <c r="D20" s="12" t="s">
        <v>81</v>
      </c>
    </row>
    <row r="21" customFormat="false" ht="15" hidden="false" customHeight="false" outlineLevel="0" collapsed="false">
      <c r="A21" s="13" t="s">
        <v>82</v>
      </c>
      <c r="B21" s="16" t="s">
        <v>83</v>
      </c>
      <c r="C21" s="21" t="s">
        <v>84</v>
      </c>
      <c r="D21" s="16" t="s">
        <v>85</v>
      </c>
    </row>
    <row r="22" customFormat="false" ht="15" hidden="false" customHeight="false" outlineLevel="0" collapsed="false">
      <c r="A22" s="13" t="s">
        <v>86</v>
      </c>
      <c r="B22" s="16" t="s">
        <v>87</v>
      </c>
      <c r="C22" s="21" t="s">
        <v>84</v>
      </c>
      <c r="D22" s="16" t="s">
        <v>88</v>
      </c>
    </row>
    <row r="23" customFormat="false" ht="15" hidden="false" customHeight="false" outlineLevel="0" collapsed="false">
      <c r="A23" s="13" t="s">
        <v>89</v>
      </c>
      <c r="B23" s="16" t="s">
        <v>90</v>
      </c>
      <c r="C23" s="21" t="s">
        <v>84</v>
      </c>
      <c r="D23" s="16" t="s">
        <v>91</v>
      </c>
    </row>
    <row r="24" customFormat="false" ht="15" hidden="false" customHeight="false" outlineLevel="0" collapsed="false">
      <c r="A24" s="13" t="s">
        <v>92</v>
      </c>
      <c r="B24" s="16" t="s">
        <v>93</v>
      </c>
      <c r="C24" s="21" t="s">
        <v>84</v>
      </c>
      <c r="D24" s="16" t="s">
        <v>94</v>
      </c>
    </row>
    <row r="25" customFormat="false" ht="15" hidden="false" customHeight="false" outlineLevel="0" collapsed="false">
      <c r="A25" s="13" t="s">
        <v>95</v>
      </c>
      <c r="B25" s="16" t="s">
        <v>96</v>
      </c>
      <c r="C25" s="21" t="s">
        <v>97</v>
      </c>
      <c r="D25" s="16" t="s">
        <v>98</v>
      </c>
    </row>
    <row r="26" customFormat="false" ht="15" hidden="false" customHeight="false" outlineLevel="0" collapsed="false">
      <c r="A26" s="13" t="s">
        <v>99</v>
      </c>
      <c r="B26" s="16" t="s">
        <v>100</v>
      </c>
      <c r="C26" s="21" t="s">
        <v>84</v>
      </c>
      <c r="D26" s="16" t="s">
        <v>101</v>
      </c>
    </row>
    <row r="28" customFormat="false" ht="15" hidden="false" customHeight="false" outlineLevel="0" collapsed="false">
      <c r="A28" s="18" t="s">
        <v>102</v>
      </c>
    </row>
    <row r="29" customFormat="false" ht="23.85" hidden="false" customHeight="false" outlineLevel="0" collapsed="false">
      <c r="A29" s="12" t="s">
        <v>103</v>
      </c>
      <c r="B29" s="12" t="s">
        <v>104</v>
      </c>
      <c r="C29" s="12" t="s">
        <v>105</v>
      </c>
      <c r="D29" s="12" t="s">
        <v>106</v>
      </c>
    </row>
    <row r="30" customFormat="false" ht="15" hidden="false" customHeight="false" outlineLevel="0" collapsed="false">
      <c r="A30" s="13" t="s">
        <v>107</v>
      </c>
      <c r="B30" s="22" t="s">
        <v>108</v>
      </c>
      <c r="C30" s="19" t="n">
        <v>85</v>
      </c>
      <c r="D30" s="16" t="s">
        <v>109</v>
      </c>
    </row>
    <row r="31" customFormat="false" ht="15" hidden="false" customHeight="false" outlineLevel="0" collapsed="false">
      <c r="A31" s="13" t="s">
        <v>110</v>
      </c>
      <c r="B31" s="23" t="s">
        <v>111</v>
      </c>
      <c r="C31" s="19" t="n">
        <v>75</v>
      </c>
      <c r="D31" s="16" t="s">
        <v>112</v>
      </c>
    </row>
    <row r="32" customFormat="false" ht="15" hidden="false" customHeight="false" outlineLevel="0" collapsed="false">
      <c r="A32" s="13" t="s">
        <v>113</v>
      </c>
      <c r="B32" s="24" t="s">
        <v>114</v>
      </c>
      <c r="C32" s="19" t="n">
        <v>60</v>
      </c>
      <c r="D32" s="16" t="s">
        <v>115</v>
      </c>
    </row>
    <row r="33" customFormat="false" ht="15" hidden="false" customHeight="false" outlineLevel="0" collapsed="false">
      <c r="A33" s="13" t="s">
        <v>116</v>
      </c>
      <c r="B33" s="25" t="s">
        <v>117</v>
      </c>
      <c r="C33" s="19" t="n">
        <v>45</v>
      </c>
      <c r="D33" s="16" t="s">
        <v>118</v>
      </c>
    </row>
    <row r="34" customFormat="false" ht="23.85" hidden="false" customHeight="false" outlineLevel="0" collapsed="false">
      <c r="A34" s="13" t="s">
        <v>119</v>
      </c>
      <c r="B34" s="26" t="s">
        <v>120</v>
      </c>
      <c r="C34" s="19" t="s">
        <v>121</v>
      </c>
      <c r="D34" s="16" t="s">
        <v>122</v>
      </c>
    </row>
    <row r="36" customFormat="false" ht="15" hidden="false" customHeight="false" outlineLevel="0" collapsed="false">
      <c r="A36" s="2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D4AE0"/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26"/>
    <col collapsed="false" customWidth="true" hidden="false" outlineLevel="0" max="6" min="5" style="0" width="30"/>
    <col collapsed="false" customWidth="true" hidden="false" outlineLevel="0" max="7" min="7" style="0" width="36"/>
  </cols>
  <sheetData>
    <row r="1" customFormat="false" ht="19.7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15" hidden="false" customHeight="false" outlineLevel="0" collapsed="false">
      <c r="A4" s="12" t="s">
        <v>126</v>
      </c>
      <c r="B4" s="12" t="s">
        <v>79</v>
      </c>
      <c r="C4" s="12" t="s">
        <v>127</v>
      </c>
      <c r="D4" s="12" t="s">
        <v>128</v>
      </c>
      <c r="E4" s="12" t="s">
        <v>84</v>
      </c>
      <c r="F4" s="12" t="s">
        <v>129</v>
      </c>
      <c r="G4" s="12" t="s">
        <v>130</v>
      </c>
    </row>
    <row r="5" customFormat="false" ht="23.85" hidden="false" customHeight="false" outlineLevel="0" collapsed="false">
      <c r="A5" s="13" t="n">
        <v>1</v>
      </c>
      <c r="B5" s="14" t="s">
        <v>131</v>
      </c>
      <c r="C5" s="16" t="s">
        <v>132</v>
      </c>
      <c r="D5" s="16" t="s">
        <v>133</v>
      </c>
      <c r="E5" s="16" t="s">
        <v>134</v>
      </c>
      <c r="F5" s="16" t="s">
        <v>135</v>
      </c>
      <c r="G5" s="16" t="s">
        <v>136</v>
      </c>
    </row>
    <row r="6" customFormat="false" ht="35.05" hidden="false" customHeight="false" outlineLevel="0" collapsed="false">
      <c r="A6" s="13" t="n">
        <v>2</v>
      </c>
      <c r="B6" s="14" t="s">
        <v>137</v>
      </c>
      <c r="C6" s="16" t="s">
        <v>138</v>
      </c>
      <c r="D6" s="16" t="s">
        <v>139</v>
      </c>
      <c r="E6" s="16" t="s">
        <v>135</v>
      </c>
      <c r="F6" s="16" t="s">
        <v>140</v>
      </c>
      <c r="G6" s="16" t="s">
        <v>141</v>
      </c>
    </row>
    <row r="7" customFormat="false" ht="23.85" hidden="false" customHeight="false" outlineLevel="0" collapsed="false">
      <c r="A7" s="13" t="n">
        <v>3</v>
      </c>
      <c r="B7" s="14" t="s">
        <v>142</v>
      </c>
      <c r="C7" s="16" t="s">
        <v>143</v>
      </c>
      <c r="D7" s="16" t="s">
        <v>144</v>
      </c>
      <c r="E7" s="16" t="s">
        <v>145</v>
      </c>
      <c r="F7" s="16" t="s">
        <v>146</v>
      </c>
      <c r="G7" s="16" t="s">
        <v>147</v>
      </c>
    </row>
    <row r="8" customFormat="false" ht="23.85" hidden="false" customHeight="false" outlineLevel="0" collapsed="false">
      <c r="A8" s="13" t="n">
        <v>4</v>
      </c>
      <c r="B8" s="14" t="s">
        <v>148</v>
      </c>
      <c r="C8" s="16" t="s">
        <v>149</v>
      </c>
      <c r="D8" s="16" t="s">
        <v>150</v>
      </c>
      <c r="E8" s="16" t="s">
        <v>151</v>
      </c>
      <c r="F8" s="16" t="s">
        <v>152</v>
      </c>
      <c r="G8" s="16" t="s">
        <v>153</v>
      </c>
    </row>
    <row r="9" customFormat="false" ht="23.85" hidden="false" customHeight="false" outlineLevel="0" collapsed="false">
      <c r="A9" s="13" t="n">
        <v>5</v>
      </c>
      <c r="B9" s="14" t="s">
        <v>154</v>
      </c>
      <c r="C9" s="16" t="s">
        <v>155</v>
      </c>
      <c r="D9" s="16" t="s">
        <v>144</v>
      </c>
      <c r="E9" s="16" t="s">
        <v>156</v>
      </c>
      <c r="F9" s="16" t="s">
        <v>157</v>
      </c>
      <c r="G9" s="16" t="s">
        <v>158</v>
      </c>
    </row>
    <row r="10" customFormat="false" ht="23.85" hidden="false" customHeight="false" outlineLevel="0" collapsed="false">
      <c r="A10" s="13" t="n">
        <v>6</v>
      </c>
      <c r="B10" s="14" t="s">
        <v>159</v>
      </c>
      <c r="C10" s="16" t="s">
        <v>160</v>
      </c>
      <c r="D10" s="16" t="s">
        <v>161</v>
      </c>
      <c r="E10" s="16" t="s">
        <v>162</v>
      </c>
      <c r="F10" s="16" t="s">
        <v>163</v>
      </c>
      <c r="G10" s="16" t="s">
        <v>164</v>
      </c>
    </row>
    <row r="11" customFormat="false" ht="23.85" hidden="false" customHeight="false" outlineLevel="0" collapsed="false">
      <c r="A11" s="13" t="n">
        <v>7</v>
      </c>
      <c r="B11" s="14" t="s">
        <v>165</v>
      </c>
      <c r="C11" s="16" t="s">
        <v>166</v>
      </c>
      <c r="D11" s="16" t="s">
        <v>161</v>
      </c>
      <c r="E11" s="16" t="s">
        <v>163</v>
      </c>
      <c r="F11" s="16" t="s">
        <v>167</v>
      </c>
      <c r="G11" s="16" t="s">
        <v>168</v>
      </c>
    </row>
    <row r="12" customFormat="false" ht="23.85" hidden="false" customHeight="false" outlineLevel="0" collapsed="false">
      <c r="A12" s="13" t="n">
        <v>8</v>
      </c>
      <c r="B12" s="14" t="s">
        <v>169</v>
      </c>
      <c r="C12" s="16" t="s">
        <v>170</v>
      </c>
      <c r="D12" s="16" t="s">
        <v>171</v>
      </c>
      <c r="E12" s="16" t="s">
        <v>172</v>
      </c>
      <c r="F12" s="16" t="s">
        <v>173</v>
      </c>
      <c r="G12" s="16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M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34"/>
    <col collapsed="false" customWidth="true" hidden="false" outlineLevel="0" max="8" min="8" style="0" width="40"/>
    <col collapsed="false" customWidth="true" hidden="false" outlineLevel="0" max="9" min="9" style="0" width="46"/>
    <col collapsed="false" customWidth="true" hidden="false" outlineLevel="0" max="10" min="10" style="0" width="30"/>
    <col collapsed="false" customWidth="true" hidden="false" outlineLevel="0" max="11" min="11" style="0" width="9"/>
    <col collapsed="false" customWidth="true" hidden="false" outlineLevel="0" max="12" min="12" style="0" width="8"/>
    <col collapsed="false" customWidth="true" hidden="false" outlineLevel="0" max="13" min="13" style="0" width="10"/>
  </cols>
  <sheetData>
    <row r="1" customFormat="false" ht="19.7" hidden="false" customHeight="false" outlineLevel="0" collapsed="false">
      <c r="A1" s="1" t="s">
        <v>175</v>
      </c>
    </row>
    <row r="2" customFormat="false" ht="15" hidden="false" customHeight="false" outlineLevel="0" collapsed="false">
      <c r="A2" s="2" t="s">
        <v>176</v>
      </c>
    </row>
    <row r="4" customFormat="false" ht="46.25" hidden="false" customHeight="false" outlineLevel="0" collapsed="false">
      <c r="A4" s="12" t="s">
        <v>177</v>
      </c>
      <c r="B4" s="12" t="s">
        <v>178</v>
      </c>
      <c r="C4" s="12" t="s">
        <v>179</v>
      </c>
      <c r="D4" s="12" t="s">
        <v>180</v>
      </c>
      <c r="E4" s="12" t="s">
        <v>181</v>
      </c>
      <c r="F4" s="12" t="s">
        <v>182</v>
      </c>
      <c r="G4" s="12" t="s">
        <v>183</v>
      </c>
      <c r="H4" s="12" t="s">
        <v>184</v>
      </c>
      <c r="I4" s="12" t="s">
        <v>185</v>
      </c>
      <c r="J4" s="12" t="s">
        <v>186</v>
      </c>
      <c r="K4" s="12" t="s">
        <v>187</v>
      </c>
      <c r="L4" s="12" t="s">
        <v>188</v>
      </c>
      <c r="M4" s="12" t="s">
        <v>189</v>
      </c>
    </row>
    <row r="5" customFormat="false" ht="23.85" hidden="false" customHeight="false" outlineLevel="0" collapsed="false">
      <c r="A5" s="27" t="n">
        <v>1</v>
      </c>
      <c r="B5" s="16" t="s">
        <v>190</v>
      </c>
      <c r="C5" s="21" t="s">
        <v>191</v>
      </c>
      <c r="D5" s="14" t="s">
        <v>192</v>
      </c>
      <c r="E5" s="21" t="s">
        <v>193</v>
      </c>
      <c r="F5" s="16" t="s">
        <v>194</v>
      </c>
      <c r="G5" s="16" t="s">
        <v>195</v>
      </c>
      <c r="H5" s="16" t="s">
        <v>196</v>
      </c>
      <c r="I5" s="16" t="s">
        <v>197</v>
      </c>
      <c r="J5" s="16" t="s">
        <v>198</v>
      </c>
      <c r="K5" s="21" t="n">
        <f aca="false">COUNTIF(C_KPI_Benchmark!$D$5:$D$546,C5)</f>
        <v>19</v>
      </c>
      <c r="L5" s="21" t="n">
        <f aca="false">COUNTIFS(C_KPI_Benchmark!$D$5:$D$546,C5,C_KPI_Benchmark!$F$5:$F$546,"D1")</f>
        <v>3</v>
      </c>
      <c r="M5" s="21" t="n">
        <f aca="false">COUNTIFS(C_KPI_Benchmark!$D$5:$D$546,C5,C_KPI_Benchmark!$F$5:$F$546,"D1",C_KPI_Benchmark!$P$5:$P$546,"Defined")</f>
        <v>3</v>
      </c>
    </row>
    <row r="6" customFormat="false" ht="23.85" hidden="false" customHeight="false" outlineLevel="0" collapsed="false">
      <c r="A6" s="27" t="n">
        <v>1</v>
      </c>
      <c r="B6" s="16" t="s">
        <v>190</v>
      </c>
      <c r="C6" s="21" t="s">
        <v>199</v>
      </c>
      <c r="D6" s="14" t="s">
        <v>200</v>
      </c>
      <c r="E6" s="21" t="s">
        <v>193</v>
      </c>
      <c r="F6" s="16" t="s">
        <v>201</v>
      </c>
      <c r="G6" s="16" t="s">
        <v>202</v>
      </c>
      <c r="H6" s="16" t="s">
        <v>203</v>
      </c>
      <c r="I6" s="16" t="s">
        <v>204</v>
      </c>
      <c r="J6" s="16" t="s">
        <v>205</v>
      </c>
      <c r="K6" s="21" t="n">
        <f aca="false">COUNTIF(C_KPI_Benchmark!$D$5:$D$546,C6)</f>
        <v>18</v>
      </c>
      <c r="L6" s="21" t="n">
        <f aca="false">COUNTIFS(C_KPI_Benchmark!$D$5:$D$546,C6,C_KPI_Benchmark!$F$5:$F$546,"D1")</f>
        <v>4</v>
      </c>
      <c r="M6" s="21" t="n">
        <f aca="false">COUNTIFS(C_KPI_Benchmark!$D$5:$D$546,C6,C_KPI_Benchmark!$F$5:$F$546,"D1",C_KPI_Benchmark!$P$5:$P$546,"Defined")</f>
        <v>4</v>
      </c>
    </row>
    <row r="7" customFormat="false" ht="23.85" hidden="false" customHeight="false" outlineLevel="0" collapsed="false">
      <c r="A7" s="27" t="n">
        <v>1</v>
      </c>
      <c r="B7" s="16" t="s">
        <v>190</v>
      </c>
      <c r="C7" s="21" t="s">
        <v>206</v>
      </c>
      <c r="D7" s="14" t="s">
        <v>207</v>
      </c>
      <c r="E7" s="21" t="s">
        <v>193</v>
      </c>
      <c r="F7" s="16" t="s">
        <v>208</v>
      </c>
      <c r="G7" s="16" t="s">
        <v>209</v>
      </c>
      <c r="H7" s="16" t="s">
        <v>210</v>
      </c>
      <c r="I7" s="16" t="s">
        <v>211</v>
      </c>
      <c r="J7" s="16" t="s">
        <v>212</v>
      </c>
      <c r="K7" s="21" t="n">
        <f aca="false">COUNTIF(C_KPI_Benchmark!$D$5:$D$546,C7)</f>
        <v>19</v>
      </c>
      <c r="L7" s="21" t="n">
        <f aca="false">COUNTIFS(C_KPI_Benchmark!$D$5:$D$546,C7,C_KPI_Benchmark!$F$5:$F$546,"D1")</f>
        <v>4</v>
      </c>
      <c r="M7" s="21" t="n">
        <f aca="false">COUNTIFS(C_KPI_Benchmark!$D$5:$D$546,C7,C_KPI_Benchmark!$F$5:$F$546,"D1",C_KPI_Benchmark!$P$5:$P$546,"Defined")</f>
        <v>4</v>
      </c>
    </row>
    <row r="8" customFormat="false" ht="23.85" hidden="false" customHeight="false" outlineLevel="0" collapsed="false">
      <c r="A8" s="28" t="n">
        <v>2</v>
      </c>
      <c r="B8" s="16" t="s">
        <v>213</v>
      </c>
      <c r="C8" s="21" t="s">
        <v>214</v>
      </c>
      <c r="D8" s="14" t="s">
        <v>215</v>
      </c>
      <c r="E8" s="21" t="s">
        <v>216</v>
      </c>
      <c r="F8" s="16" t="s">
        <v>217</v>
      </c>
      <c r="G8" s="16" t="s">
        <v>218</v>
      </c>
      <c r="H8" s="16" t="s">
        <v>219</v>
      </c>
      <c r="I8" s="16" t="s">
        <v>220</v>
      </c>
      <c r="J8" s="16" t="s">
        <v>221</v>
      </c>
      <c r="K8" s="21" t="n">
        <f aca="false">COUNTIF(C_KPI_Benchmark!$D$5:$D$546,C8)</f>
        <v>17</v>
      </c>
      <c r="L8" s="21" t="n">
        <f aca="false">COUNTIFS(C_KPI_Benchmark!$D$5:$D$546,C8,C_KPI_Benchmark!$F$5:$F$546,"D1")</f>
        <v>3</v>
      </c>
      <c r="M8" s="21" t="n">
        <f aca="false">COUNTIFS(C_KPI_Benchmark!$D$5:$D$546,C8,C_KPI_Benchmark!$F$5:$F$546,"D1",C_KPI_Benchmark!$P$5:$P$546,"Defined")</f>
        <v>3</v>
      </c>
    </row>
    <row r="9" customFormat="false" ht="23.85" hidden="false" customHeight="false" outlineLevel="0" collapsed="false">
      <c r="A9" s="28" t="n">
        <v>2</v>
      </c>
      <c r="B9" s="16" t="s">
        <v>213</v>
      </c>
      <c r="C9" s="21" t="s">
        <v>222</v>
      </c>
      <c r="D9" s="14" t="s">
        <v>223</v>
      </c>
      <c r="E9" s="21" t="s">
        <v>224</v>
      </c>
      <c r="F9" s="16" t="s">
        <v>225</v>
      </c>
      <c r="G9" s="16" t="s">
        <v>226</v>
      </c>
      <c r="H9" s="16" t="s">
        <v>227</v>
      </c>
      <c r="I9" s="16" t="s">
        <v>228</v>
      </c>
      <c r="J9" s="16" t="s">
        <v>229</v>
      </c>
      <c r="K9" s="21" t="n">
        <f aca="false">COUNTIF(C_KPI_Benchmark!$D$5:$D$546,C9)</f>
        <v>18</v>
      </c>
      <c r="L9" s="21" t="n">
        <f aca="false">COUNTIFS(C_KPI_Benchmark!$D$5:$D$546,C9,C_KPI_Benchmark!$F$5:$F$546,"D1")</f>
        <v>3</v>
      </c>
      <c r="M9" s="21" t="n">
        <f aca="false">COUNTIFS(C_KPI_Benchmark!$D$5:$D$546,C9,C_KPI_Benchmark!$F$5:$F$546,"D1",C_KPI_Benchmark!$P$5:$P$546,"Defined")</f>
        <v>3</v>
      </c>
    </row>
    <row r="10" customFormat="false" ht="23.85" hidden="false" customHeight="false" outlineLevel="0" collapsed="false">
      <c r="A10" s="28" t="n">
        <v>2</v>
      </c>
      <c r="B10" s="16" t="s">
        <v>213</v>
      </c>
      <c r="C10" s="21" t="s">
        <v>230</v>
      </c>
      <c r="D10" s="14" t="s">
        <v>231</v>
      </c>
      <c r="E10" s="21" t="s">
        <v>232</v>
      </c>
      <c r="F10" s="16" t="s">
        <v>233</v>
      </c>
      <c r="G10" s="16" t="s">
        <v>234</v>
      </c>
      <c r="H10" s="16" t="s">
        <v>235</v>
      </c>
      <c r="I10" s="16" t="s">
        <v>236</v>
      </c>
      <c r="J10" s="16" t="s">
        <v>237</v>
      </c>
      <c r="K10" s="21" t="n">
        <f aca="false">COUNTIF(C_KPI_Benchmark!$D$5:$D$546,C10)</f>
        <v>17</v>
      </c>
      <c r="L10" s="21" t="n">
        <f aca="false">COUNTIFS(C_KPI_Benchmark!$D$5:$D$546,C10,C_KPI_Benchmark!$F$5:$F$546,"D1")</f>
        <v>3</v>
      </c>
      <c r="M10" s="21" t="n">
        <f aca="false">COUNTIFS(C_KPI_Benchmark!$D$5:$D$546,C10,C_KPI_Benchmark!$F$5:$F$546,"D1",C_KPI_Benchmark!$P$5:$P$546,"Defined")</f>
        <v>3</v>
      </c>
    </row>
    <row r="11" customFormat="false" ht="23.85" hidden="false" customHeight="false" outlineLevel="0" collapsed="false">
      <c r="A11" s="29" t="n">
        <v>3</v>
      </c>
      <c r="B11" s="16" t="s">
        <v>238</v>
      </c>
      <c r="C11" s="21" t="s">
        <v>239</v>
      </c>
      <c r="D11" s="14" t="s">
        <v>240</v>
      </c>
      <c r="E11" s="21" t="s">
        <v>193</v>
      </c>
      <c r="F11" s="16" t="s">
        <v>241</v>
      </c>
      <c r="G11" s="16" t="s">
        <v>242</v>
      </c>
      <c r="H11" s="16" t="s">
        <v>243</v>
      </c>
      <c r="I11" s="16" t="s">
        <v>244</v>
      </c>
      <c r="J11" s="16" t="s">
        <v>245</v>
      </c>
      <c r="K11" s="21" t="n">
        <f aca="false">COUNTIF(C_KPI_Benchmark!$D$5:$D$546,C11)</f>
        <v>19</v>
      </c>
      <c r="L11" s="21" t="n">
        <f aca="false">COUNTIFS(C_KPI_Benchmark!$D$5:$D$546,C11,C_KPI_Benchmark!$F$5:$F$546,"D1")</f>
        <v>4</v>
      </c>
      <c r="M11" s="21" t="n">
        <f aca="false">COUNTIFS(C_KPI_Benchmark!$D$5:$D$546,C11,C_KPI_Benchmark!$F$5:$F$546,"D1",C_KPI_Benchmark!$P$5:$P$546,"Defined")</f>
        <v>4</v>
      </c>
    </row>
    <row r="12" customFormat="false" ht="23.85" hidden="false" customHeight="false" outlineLevel="0" collapsed="false">
      <c r="A12" s="29" t="n">
        <v>3</v>
      </c>
      <c r="B12" s="16" t="s">
        <v>238</v>
      </c>
      <c r="C12" s="21" t="s">
        <v>246</v>
      </c>
      <c r="D12" s="14" t="s">
        <v>247</v>
      </c>
      <c r="E12" s="21" t="s">
        <v>193</v>
      </c>
      <c r="F12" s="16" t="s">
        <v>248</v>
      </c>
      <c r="G12" s="16" t="s">
        <v>249</v>
      </c>
      <c r="H12" s="16" t="s">
        <v>250</v>
      </c>
      <c r="I12" s="16" t="s">
        <v>251</v>
      </c>
      <c r="J12" s="16" t="s">
        <v>252</v>
      </c>
      <c r="K12" s="21" t="n">
        <f aca="false">COUNTIF(C_KPI_Benchmark!$D$5:$D$546,C12)</f>
        <v>17</v>
      </c>
      <c r="L12" s="21" t="n">
        <f aca="false">COUNTIFS(C_KPI_Benchmark!$D$5:$D$546,C12,C_KPI_Benchmark!$F$5:$F$546,"D1")</f>
        <v>4</v>
      </c>
      <c r="M12" s="21" t="n">
        <f aca="false">COUNTIFS(C_KPI_Benchmark!$D$5:$D$546,C12,C_KPI_Benchmark!$F$5:$F$546,"D1",C_KPI_Benchmark!$P$5:$P$546,"Defined")</f>
        <v>4</v>
      </c>
    </row>
    <row r="13" customFormat="false" ht="23.85" hidden="false" customHeight="false" outlineLevel="0" collapsed="false">
      <c r="A13" s="29" t="n">
        <v>3</v>
      </c>
      <c r="B13" s="16" t="s">
        <v>238</v>
      </c>
      <c r="C13" s="21" t="s">
        <v>253</v>
      </c>
      <c r="D13" s="14" t="s">
        <v>254</v>
      </c>
      <c r="E13" s="21" t="s">
        <v>193</v>
      </c>
      <c r="F13" s="16" t="s">
        <v>255</v>
      </c>
      <c r="G13" s="16" t="s">
        <v>256</v>
      </c>
      <c r="H13" s="16" t="s">
        <v>257</v>
      </c>
      <c r="I13" s="16" t="s">
        <v>258</v>
      </c>
      <c r="J13" s="16" t="s">
        <v>259</v>
      </c>
      <c r="K13" s="21" t="n">
        <f aca="false">COUNTIF(C_KPI_Benchmark!$D$5:$D$546,C13)</f>
        <v>18</v>
      </c>
      <c r="L13" s="21" t="n">
        <f aca="false">COUNTIFS(C_KPI_Benchmark!$D$5:$D$546,C13,C_KPI_Benchmark!$F$5:$F$546,"D1")</f>
        <v>3</v>
      </c>
      <c r="M13" s="21" t="n">
        <f aca="false">COUNTIFS(C_KPI_Benchmark!$D$5:$D$546,C13,C_KPI_Benchmark!$F$5:$F$546,"D1",C_KPI_Benchmark!$P$5:$P$546,"Defined")</f>
        <v>3</v>
      </c>
    </row>
    <row r="14" customFormat="false" ht="35.05" hidden="false" customHeight="false" outlineLevel="0" collapsed="false">
      <c r="A14" s="29" t="n">
        <v>3</v>
      </c>
      <c r="B14" s="16" t="s">
        <v>238</v>
      </c>
      <c r="C14" s="21" t="s">
        <v>260</v>
      </c>
      <c r="D14" s="14" t="s">
        <v>261</v>
      </c>
      <c r="E14" s="21" t="s">
        <v>193</v>
      </c>
      <c r="F14" s="16" t="s">
        <v>262</v>
      </c>
      <c r="G14" s="16" t="s">
        <v>263</v>
      </c>
      <c r="H14" s="16" t="s">
        <v>264</v>
      </c>
      <c r="I14" s="16" t="s">
        <v>265</v>
      </c>
      <c r="J14" s="16" t="s">
        <v>266</v>
      </c>
      <c r="K14" s="21" t="n">
        <f aca="false">COUNTIF(C_KPI_Benchmark!$D$5:$D$546,C14)</f>
        <v>34</v>
      </c>
      <c r="L14" s="21" t="n">
        <f aca="false">COUNTIFS(C_KPI_Benchmark!$D$5:$D$546,C14,C_KPI_Benchmark!$F$5:$F$546,"D1")</f>
        <v>7</v>
      </c>
      <c r="M14" s="21" t="n">
        <f aca="false">COUNTIFS(C_KPI_Benchmark!$D$5:$D$546,C14,C_KPI_Benchmark!$F$5:$F$546,"D1",C_KPI_Benchmark!$P$5:$P$546,"Defined")</f>
        <v>7</v>
      </c>
    </row>
    <row r="15" customFormat="false" ht="23.85" hidden="false" customHeight="false" outlineLevel="0" collapsed="false">
      <c r="A15" s="30" t="n">
        <v>4</v>
      </c>
      <c r="B15" s="16" t="s">
        <v>267</v>
      </c>
      <c r="C15" s="21" t="s">
        <v>268</v>
      </c>
      <c r="D15" s="14" t="s">
        <v>269</v>
      </c>
      <c r="E15" s="21" t="s">
        <v>270</v>
      </c>
      <c r="F15" s="16" t="s">
        <v>271</v>
      </c>
      <c r="G15" s="16" t="s">
        <v>272</v>
      </c>
      <c r="H15" s="16" t="s">
        <v>273</v>
      </c>
      <c r="I15" s="16" t="s">
        <v>274</v>
      </c>
      <c r="J15" s="16" t="s">
        <v>275</v>
      </c>
      <c r="K15" s="21" t="n">
        <f aca="false">COUNTIF(C_KPI_Benchmark!$D$5:$D$546,C15)</f>
        <v>18</v>
      </c>
      <c r="L15" s="21" t="n">
        <f aca="false">COUNTIFS(C_KPI_Benchmark!$D$5:$D$546,C15,C_KPI_Benchmark!$F$5:$F$546,"D1")</f>
        <v>3</v>
      </c>
      <c r="M15" s="21" t="n">
        <f aca="false">COUNTIFS(C_KPI_Benchmark!$D$5:$D$546,C15,C_KPI_Benchmark!$F$5:$F$546,"D1",C_KPI_Benchmark!$P$5:$P$546,"Defined")</f>
        <v>3</v>
      </c>
    </row>
    <row r="16" customFormat="false" ht="23.85" hidden="false" customHeight="false" outlineLevel="0" collapsed="false">
      <c r="A16" s="30" t="n">
        <v>4</v>
      </c>
      <c r="B16" s="16" t="s">
        <v>267</v>
      </c>
      <c r="C16" s="21" t="s">
        <v>276</v>
      </c>
      <c r="D16" s="14" t="s">
        <v>277</v>
      </c>
      <c r="E16" s="21" t="s">
        <v>278</v>
      </c>
      <c r="F16" s="16" t="s">
        <v>279</v>
      </c>
      <c r="G16" s="16" t="s">
        <v>280</v>
      </c>
      <c r="H16" s="16" t="s">
        <v>281</v>
      </c>
      <c r="I16" s="16" t="s">
        <v>282</v>
      </c>
      <c r="J16" s="16" t="s">
        <v>283</v>
      </c>
      <c r="K16" s="21" t="n">
        <f aca="false">COUNTIF(C_KPI_Benchmark!$D$5:$D$546,C16)</f>
        <v>16</v>
      </c>
      <c r="L16" s="21" t="n">
        <f aca="false">COUNTIFS(C_KPI_Benchmark!$D$5:$D$546,C16,C_KPI_Benchmark!$F$5:$F$546,"D1")</f>
        <v>3</v>
      </c>
      <c r="M16" s="21" t="n">
        <f aca="false">COUNTIFS(C_KPI_Benchmark!$D$5:$D$546,C16,C_KPI_Benchmark!$F$5:$F$546,"D1",C_KPI_Benchmark!$P$5:$P$546,"Defined")</f>
        <v>3</v>
      </c>
    </row>
    <row r="17" customFormat="false" ht="23.85" hidden="false" customHeight="false" outlineLevel="0" collapsed="false">
      <c r="A17" s="30" t="n">
        <v>4</v>
      </c>
      <c r="B17" s="16" t="s">
        <v>267</v>
      </c>
      <c r="C17" s="21" t="s">
        <v>284</v>
      </c>
      <c r="D17" s="14" t="s">
        <v>285</v>
      </c>
      <c r="E17" s="21" t="s">
        <v>286</v>
      </c>
      <c r="F17" s="16" t="s">
        <v>287</v>
      </c>
      <c r="G17" s="16" t="s">
        <v>288</v>
      </c>
      <c r="H17" s="16" t="s">
        <v>289</v>
      </c>
      <c r="I17" s="16" t="s">
        <v>290</v>
      </c>
      <c r="J17" s="16" t="s">
        <v>275</v>
      </c>
      <c r="K17" s="21" t="n">
        <f aca="false">COUNTIF(C_KPI_Benchmark!$D$5:$D$546,C17)</f>
        <v>16</v>
      </c>
      <c r="L17" s="21" t="n">
        <f aca="false">COUNTIFS(C_KPI_Benchmark!$D$5:$D$546,C17,C_KPI_Benchmark!$F$5:$F$546,"D1")</f>
        <v>3</v>
      </c>
      <c r="M17" s="21" t="n">
        <f aca="false">COUNTIFS(C_KPI_Benchmark!$D$5:$D$546,C17,C_KPI_Benchmark!$F$5:$F$546,"D1",C_KPI_Benchmark!$P$5:$P$546,"Defined")</f>
        <v>3</v>
      </c>
    </row>
    <row r="18" customFormat="false" ht="23.85" hidden="false" customHeight="false" outlineLevel="0" collapsed="false">
      <c r="A18" s="31" t="n">
        <v>5</v>
      </c>
      <c r="B18" s="16" t="s">
        <v>291</v>
      </c>
      <c r="C18" s="21" t="s">
        <v>292</v>
      </c>
      <c r="D18" s="14" t="s">
        <v>293</v>
      </c>
      <c r="E18" s="21" t="s">
        <v>193</v>
      </c>
      <c r="F18" s="16" t="s">
        <v>294</v>
      </c>
      <c r="G18" s="16" t="s">
        <v>295</v>
      </c>
      <c r="H18" s="16" t="s">
        <v>296</v>
      </c>
      <c r="I18" s="16" t="s">
        <v>297</v>
      </c>
      <c r="J18" s="16" t="s">
        <v>298</v>
      </c>
      <c r="K18" s="21" t="n">
        <f aca="false">COUNTIF(C_KPI_Benchmark!$D$5:$D$546,C18)</f>
        <v>17</v>
      </c>
      <c r="L18" s="21" t="n">
        <f aca="false">COUNTIFS(C_KPI_Benchmark!$D$5:$D$546,C18,C_KPI_Benchmark!$F$5:$F$546,"D1")</f>
        <v>3</v>
      </c>
      <c r="M18" s="21" t="n">
        <f aca="false">COUNTIFS(C_KPI_Benchmark!$D$5:$D$546,C18,C_KPI_Benchmark!$F$5:$F$546,"D1",C_KPI_Benchmark!$P$5:$P$546,"Defined")</f>
        <v>3</v>
      </c>
    </row>
    <row r="19" customFormat="false" ht="23.85" hidden="false" customHeight="false" outlineLevel="0" collapsed="false">
      <c r="A19" s="31" t="n">
        <v>5</v>
      </c>
      <c r="B19" s="16" t="s">
        <v>291</v>
      </c>
      <c r="C19" s="21" t="s">
        <v>299</v>
      </c>
      <c r="D19" s="14" t="s">
        <v>300</v>
      </c>
      <c r="E19" s="21" t="s">
        <v>193</v>
      </c>
      <c r="F19" s="16" t="s">
        <v>301</v>
      </c>
      <c r="G19" s="16" t="s">
        <v>302</v>
      </c>
      <c r="H19" s="16" t="s">
        <v>303</v>
      </c>
      <c r="I19" s="16" t="s">
        <v>304</v>
      </c>
      <c r="J19" s="16" t="s">
        <v>259</v>
      </c>
      <c r="K19" s="21" t="n">
        <f aca="false">COUNTIF(C_KPI_Benchmark!$D$5:$D$546,C19)</f>
        <v>16</v>
      </c>
      <c r="L19" s="21" t="n">
        <f aca="false">COUNTIFS(C_KPI_Benchmark!$D$5:$D$546,C19,C_KPI_Benchmark!$F$5:$F$546,"D1")</f>
        <v>3</v>
      </c>
      <c r="M19" s="21" t="n">
        <f aca="false">COUNTIFS(C_KPI_Benchmark!$D$5:$D$546,C19,C_KPI_Benchmark!$F$5:$F$546,"D1",C_KPI_Benchmark!$P$5:$P$546,"Defined")</f>
        <v>3</v>
      </c>
    </row>
    <row r="20" customFormat="false" ht="23.85" hidden="false" customHeight="false" outlineLevel="0" collapsed="false">
      <c r="A20" s="31" t="n">
        <v>5</v>
      </c>
      <c r="B20" s="16" t="s">
        <v>291</v>
      </c>
      <c r="C20" s="21" t="s">
        <v>305</v>
      </c>
      <c r="D20" s="14" t="s">
        <v>306</v>
      </c>
      <c r="E20" s="21" t="s">
        <v>307</v>
      </c>
      <c r="F20" s="16" t="s">
        <v>308</v>
      </c>
      <c r="G20" s="16" t="s">
        <v>309</v>
      </c>
      <c r="H20" s="16" t="s">
        <v>310</v>
      </c>
      <c r="I20" s="16" t="s">
        <v>311</v>
      </c>
      <c r="J20" s="16" t="s">
        <v>283</v>
      </c>
      <c r="K20" s="21" t="n">
        <f aca="false">COUNTIF(C_KPI_Benchmark!$D$5:$D$546,C20)</f>
        <v>17</v>
      </c>
      <c r="L20" s="21" t="n">
        <f aca="false">COUNTIFS(C_KPI_Benchmark!$D$5:$D$546,C20,C_KPI_Benchmark!$F$5:$F$546,"D1")</f>
        <v>4</v>
      </c>
      <c r="M20" s="21" t="n">
        <f aca="false">COUNTIFS(C_KPI_Benchmark!$D$5:$D$546,C20,C_KPI_Benchmark!$F$5:$F$546,"D1",C_KPI_Benchmark!$P$5:$P$546,"Defined")</f>
        <v>4</v>
      </c>
    </row>
    <row r="21" customFormat="false" ht="23.85" hidden="false" customHeight="false" outlineLevel="0" collapsed="false">
      <c r="A21" s="32" t="n">
        <v>6</v>
      </c>
      <c r="B21" s="16" t="s">
        <v>312</v>
      </c>
      <c r="C21" s="21" t="s">
        <v>313</v>
      </c>
      <c r="D21" s="14" t="s">
        <v>314</v>
      </c>
      <c r="E21" s="21" t="s">
        <v>315</v>
      </c>
      <c r="F21" s="16" t="s">
        <v>316</v>
      </c>
      <c r="G21" s="16" t="s">
        <v>317</v>
      </c>
      <c r="H21" s="16" t="s">
        <v>318</v>
      </c>
      <c r="I21" s="16" t="s">
        <v>319</v>
      </c>
      <c r="J21" s="16" t="s">
        <v>320</v>
      </c>
      <c r="K21" s="21" t="n">
        <f aca="false">COUNTIF(C_KPI_Benchmark!$D$5:$D$546,C21)</f>
        <v>19</v>
      </c>
      <c r="L21" s="21" t="n">
        <f aca="false">COUNTIFS(C_KPI_Benchmark!$D$5:$D$546,C21,C_KPI_Benchmark!$F$5:$F$546,"D1")</f>
        <v>4</v>
      </c>
      <c r="M21" s="21" t="n">
        <f aca="false">COUNTIFS(C_KPI_Benchmark!$D$5:$D$546,C21,C_KPI_Benchmark!$F$5:$F$546,"D1",C_KPI_Benchmark!$P$5:$P$546,"Defined")</f>
        <v>4</v>
      </c>
    </row>
    <row r="22" customFormat="false" ht="23.85" hidden="false" customHeight="false" outlineLevel="0" collapsed="false">
      <c r="A22" s="32" t="n">
        <v>6</v>
      </c>
      <c r="B22" s="16" t="s">
        <v>312</v>
      </c>
      <c r="C22" s="21" t="s">
        <v>321</v>
      </c>
      <c r="D22" s="14" t="s">
        <v>322</v>
      </c>
      <c r="E22" s="21" t="s">
        <v>224</v>
      </c>
      <c r="F22" s="16" t="s">
        <v>323</v>
      </c>
      <c r="G22" s="16" t="s">
        <v>324</v>
      </c>
      <c r="H22" s="16" t="s">
        <v>325</v>
      </c>
      <c r="I22" s="16" t="s">
        <v>326</v>
      </c>
      <c r="J22" s="16" t="s">
        <v>327</v>
      </c>
      <c r="K22" s="21" t="n">
        <f aca="false">COUNTIF(C_KPI_Benchmark!$D$5:$D$546,C22)</f>
        <v>16</v>
      </c>
      <c r="L22" s="21" t="n">
        <f aca="false">COUNTIFS(C_KPI_Benchmark!$D$5:$D$546,C22,C_KPI_Benchmark!$F$5:$F$546,"D1")</f>
        <v>3</v>
      </c>
      <c r="M22" s="21" t="n">
        <f aca="false">COUNTIFS(C_KPI_Benchmark!$D$5:$D$546,C22,C_KPI_Benchmark!$F$5:$F$546,"D1",C_KPI_Benchmark!$P$5:$P$546,"Defined")</f>
        <v>3</v>
      </c>
    </row>
    <row r="23" customFormat="false" ht="23.85" hidden="false" customHeight="false" outlineLevel="0" collapsed="false">
      <c r="A23" s="32" t="n">
        <v>6</v>
      </c>
      <c r="B23" s="16" t="s">
        <v>312</v>
      </c>
      <c r="C23" s="21" t="s">
        <v>328</v>
      </c>
      <c r="D23" s="14" t="s">
        <v>329</v>
      </c>
      <c r="E23" s="21" t="s">
        <v>193</v>
      </c>
      <c r="F23" s="16" t="s">
        <v>330</v>
      </c>
      <c r="G23" s="16" t="s">
        <v>331</v>
      </c>
      <c r="H23" s="16" t="s">
        <v>332</v>
      </c>
      <c r="I23" s="16" t="s">
        <v>333</v>
      </c>
      <c r="J23" s="16" t="s">
        <v>334</v>
      </c>
      <c r="K23" s="21" t="n">
        <f aca="false">COUNTIF(C_KPI_Benchmark!$D$5:$D$546,C23)</f>
        <v>16</v>
      </c>
      <c r="L23" s="21" t="n">
        <f aca="false">COUNTIFS(C_KPI_Benchmark!$D$5:$D$546,C23,C_KPI_Benchmark!$F$5:$F$546,"D1")</f>
        <v>3</v>
      </c>
      <c r="M23" s="21" t="n">
        <f aca="false">COUNTIFS(C_KPI_Benchmark!$D$5:$D$546,C23,C_KPI_Benchmark!$F$5:$F$546,"D1",C_KPI_Benchmark!$P$5:$P$546,"Defined")</f>
        <v>3</v>
      </c>
    </row>
    <row r="24" customFormat="false" ht="23.85" hidden="false" customHeight="false" outlineLevel="0" collapsed="false">
      <c r="A24" s="33" t="n">
        <v>7</v>
      </c>
      <c r="B24" s="16" t="s">
        <v>335</v>
      </c>
      <c r="C24" s="21" t="s">
        <v>336</v>
      </c>
      <c r="D24" s="14" t="s">
        <v>337</v>
      </c>
      <c r="E24" s="21" t="s">
        <v>270</v>
      </c>
      <c r="F24" s="16" t="s">
        <v>338</v>
      </c>
      <c r="G24" s="16" t="s">
        <v>339</v>
      </c>
      <c r="H24" s="16" t="s">
        <v>340</v>
      </c>
      <c r="I24" s="16" t="s">
        <v>341</v>
      </c>
      <c r="J24" s="16" t="s">
        <v>252</v>
      </c>
      <c r="K24" s="21" t="n">
        <f aca="false">COUNTIF(C_KPI_Benchmark!$D$5:$D$546,C24)</f>
        <v>16</v>
      </c>
      <c r="L24" s="21" t="n">
        <f aca="false">COUNTIFS(C_KPI_Benchmark!$D$5:$D$546,C24,C_KPI_Benchmark!$F$5:$F$546,"D1")</f>
        <v>3</v>
      </c>
      <c r="M24" s="21" t="n">
        <f aca="false">COUNTIFS(C_KPI_Benchmark!$D$5:$D$546,C24,C_KPI_Benchmark!$F$5:$F$546,"D1",C_KPI_Benchmark!$P$5:$P$546,"Defined")</f>
        <v>3</v>
      </c>
    </row>
    <row r="25" customFormat="false" ht="23.85" hidden="false" customHeight="false" outlineLevel="0" collapsed="false">
      <c r="A25" s="33" t="n">
        <v>7</v>
      </c>
      <c r="B25" s="16" t="s">
        <v>335</v>
      </c>
      <c r="C25" s="21" t="s">
        <v>342</v>
      </c>
      <c r="D25" s="14" t="s">
        <v>343</v>
      </c>
      <c r="E25" s="21" t="s">
        <v>224</v>
      </c>
      <c r="F25" s="16" t="s">
        <v>344</v>
      </c>
      <c r="G25" s="16" t="s">
        <v>345</v>
      </c>
      <c r="H25" s="16" t="s">
        <v>346</v>
      </c>
      <c r="I25" s="16" t="s">
        <v>347</v>
      </c>
      <c r="J25" s="16" t="s">
        <v>229</v>
      </c>
      <c r="K25" s="21" t="n">
        <f aca="false">COUNTIF(C_KPI_Benchmark!$D$5:$D$546,C25)</f>
        <v>16</v>
      </c>
      <c r="L25" s="21" t="n">
        <f aca="false">COUNTIFS(C_KPI_Benchmark!$D$5:$D$546,C25,C_KPI_Benchmark!$F$5:$F$546,"D1")</f>
        <v>3</v>
      </c>
      <c r="M25" s="21" t="n">
        <f aca="false">COUNTIFS(C_KPI_Benchmark!$D$5:$D$546,C25,C_KPI_Benchmark!$F$5:$F$546,"D1",C_KPI_Benchmark!$P$5:$P$546,"Defined")</f>
        <v>3</v>
      </c>
    </row>
    <row r="26" customFormat="false" ht="23.85" hidden="false" customHeight="false" outlineLevel="0" collapsed="false">
      <c r="A26" s="33" t="n">
        <v>7</v>
      </c>
      <c r="B26" s="16" t="s">
        <v>335</v>
      </c>
      <c r="C26" s="21" t="s">
        <v>348</v>
      </c>
      <c r="D26" s="14" t="s">
        <v>349</v>
      </c>
      <c r="E26" s="21" t="s">
        <v>270</v>
      </c>
      <c r="F26" s="16" t="s">
        <v>350</v>
      </c>
      <c r="G26" s="16" t="s">
        <v>351</v>
      </c>
      <c r="H26" s="16" t="s">
        <v>352</v>
      </c>
      <c r="I26" s="16" t="s">
        <v>353</v>
      </c>
      <c r="J26" s="16" t="s">
        <v>354</v>
      </c>
      <c r="K26" s="21" t="n">
        <f aca="false">COUNTIF(C_KPI_Benchmark!$D$5:$D$546,C26)</f>
        <v>16</v>
      </c>
      <c r="L26" s="21" t="n">
        <f aca="false">COUNTIFS(C_KPI_Benchmark!$D$5:$D$546,C26,C_KPI_Benchmark!$F$5:$F$546,"D1")</f>
        <v>3</v>
      </c>
      <c r="M26" s="21" t="n">
        <f aca="false">COUNTIFS(C_KPI_Benchmark!$D$5:$D$546,C26,C_KPI_Benchmark!$F$5:$F$546,"D1",C_KPI_Benchmark!$P$5:$P$546,"Defined")</f>
        <v>3</v>
      </c>
    </row>
    <row r="27" customFormat="false" ht="23.85" hidden="false" customHeight="false" outlineLevel="0" collapsed="false">
      <c r="A27" s="34" t="n">
        <v>8</v>
      </c>
      <c r="B27" s="16" t="s">
        <v>355</v>
      </c>
      <c r="C27" s="21" t="s">
        <v>356</v>
      </c>
      <c r="D27" s="14" t="s">
        <v>357</v>
      </c>
      <c r="E27" s="21" t="s">
        <v>286</v>
      </c>
      <c r="F27" s="16" t="s">
        <v>358</v>
      </c>
      <c r="G27" s="16" t="s">
        <v>359</v>
      </c>
      <c r="H27" s="16" t="s">
        <v>360</v>
      </c>
      <c r="I27" s="16" t="s">
        <v>361</v>
      </c>
      <c r="J27" s="16" t="s">
        <v>275</v>
      </c>
      <c r="K27" s="21" t="n">
        <f aca="false">COUNTIF(C_KPI_Benchmark!$D$5:$D$546,C27)</f>
        <v>15</v>
      </c>
      <c r="L27" s="21" t="n">
        <f aca="false">COUNTIFS(C_KPI_Benchmark!$D$5:$D$546,C27,C_KPI_Benchmark!$F$5:$F$546,"D1")</f>
        <v>2</v>
      </c>
      <c r="M27" s="21" t="n">
        <f aca="false">COUNTIFS(C_KPI_Benchmark!$D$5:$D$546,C27,C_KPI_Benchmark!$F$5:$F$546,"D1",C_KPI_Benchmark!$P$5:$P$546,"Defined")</f>
        <v>2</v>
      </c>
    </row>
    <row r="28" customFormat="false" ht="23.85" hidden="false" customHeight="false" outlineLevel="0" collapsed="false">
      <c r="A28" s="34" t="n">
        <v>8</v>
      </c>
      <c r="B28" s="16" t="s">
        <v>355</v>
      </c>
      <c r="C28" s="21" t="s">
        <v>362</v>
      </c>
      <c r="D28" s="14" t="s">
        <v>363</v>
      </c>
      <c r="E28" s="21" t="s">
        <v>216</v>
      </c>
      <c r="F28" s="16" t="s">
        <v>364</v>
      </c>
      <c r="G28" s="16" t="s">
        <v>365</v>
      </c>
      <c r="H28" s="16" t="s">
        <v>366</v>
      </c>
      <c r="I28" s="16" t="s">
        <v>367</v>
      </c>
      <c r="J28" s="16" t="s">
        <v>368</v>
      </c>
      <c r="K28" s="21" t="n">
        <f aca="false">COUNTIF(C_KPI_Benchmark!$D$5:$D$546,C28)</f>
        <v>17</v>
      </c>
      <c r="L28" s="21" t="n">
        <f aca="false">COUNTIFS(C_KPI_Benchmark!$D$5:$D$546,C28,C_KPI_Benchmark!$F$5:$F$546,"D1")</f>
        <v>4</v>
      </c>
      <c r="M28" s="21" t="n">
        <f aca="false">COUNTIFS(C_KPI_Benchmark!$D$5:$D$546,C28,C_KPI_Benchmark!$F$5:$F$546,"D1",C_KPI_Benchmark!$P$5:$P$546,"Defined")</f>
        <v>4</v>
      </c>
    </row>
    <row r="29" customFormat="false" ht="15" hidden="false" customHeight="false" outlineLevel="0" collapsed="false">
      <c r="A29" s="34" t="n">
        <v>8</v>
      </c>
      <c r="B29" s="16" t="s">
        <v>355</v>
      </c>
      <c r="C29" s="21" t="s">
        <v>369</v>
      </c>
      <c r="D29" s="14" t="s">
        <v>370</v>
      </c>
      <c r="E29" s="21" t="s">
        <v>307</v>
      </c>
      <c r="F29" s="16" t="s">
        <v>371</v>
      </c>
      <c r="G29" s="16" t="s">
        <v>372</v>
      </c>
      <c r="H29" s="16" t="s">
        <v>373</v>
      </c>
      <c r="I29" s="16" t="s">
        <v>374</v>
      </c>
      <c r="J29" s="16" t="s">
        <v>229</v>
      </c>
      <c r="K29" s="21" t="n">
        <f aca="false">COUNTIF(C_KPI_Benchmark!$D$5:$D$546,C29)</f>
        <v>16</v>
      </c>
      <c r="L29" s="21" t="n">
        <f aca="false">COUNTIFS(C_KPI_Benchmark!$D$5:$D$546,C29,C_KPI_Benchmark!$F$5:$F$546,"D1")</f>
        <v>3</v>
      </c>
      <c r="M29" s="21" t="n">
        <f aca="false">COUNTIFS(C_KPI_Benchmark!$D$5:$D$546,C29,C_KPI_Benchmark!$F$5:$F$546,"D1",C_KPI_Benchmark!$P$5:$P$546,"Defined")</f>
        <v>3</v>
      </c>
    </row>
    <row r="30" customFormat="false" ht="23.85" hidden="false" customHeight="false" outlineLevel="0" collapsed="false">
      <c r="A30" s="35" t="n">
        <v>9</v>
      </c>
      <c r="B30" s="16" t="s">
        <v>375</v>
      </c>
      <c r="C30" s="21" t="s">
        <v>376</v>
      </c>
      <c r="D30" s="14" t="s">
        <v>377</v>
      </c>
      <c r="E30" s="21" t="s">
        <v>286</v>
      </c>
      <c r="F30" s="16" t="s">
        <v>378</v>
      </c>
      <c r="G30" s="16" t="s">
        <v>379</v>
      </c>
      <c r="H30" s="16" t="s">
        <v>380</v>
      </c>
      <c r="I30" s="16" t="s">
        <v>381</v>
      </c>
      <c r="J30" s="16" t="s">
        <v>382</v>
      </c>
      <c r="K30" s="21" t="n">
        <f aca="false">COUNTIF(C_KPI_Benchmark!$D$5:$D$546,C30)</f>
        <v>16</v>
      </c>
      <c r="L30" s="21" t="n">
        <f aca="false">COUNTIFS(C_KPI_Benchmark!$D$5:$D$546,C30,C_KPI_Benchmark!$F$5:$F$546,"D1")</f>
        <v>3</v>
      </c>
      <c r="M30" s="21" t="n">
        <f aca="false">COUNTIFS(C_KPI_Benchmark!$D$5:$D$546,C30,C_KPI_Benchmark!$F$5:$F$546,"D1",C_KPI_Benchmark!$P$5:$P$546,"Defined")</f>
        <v>3</v>
      </c>
    </row>
    <row r="31" customFormat="false" ht="23.85" hidden="false" customHeight="false" outlineLevel="0" collapsed="false">
      <c r="A31" s="35" t="n">
        <v>9</v>
      </c>
      <c r="B31" s="16" t="s">
        <v>375</v>
      </c>
      <c r="C31" s="21" t="s">
        <v>383</v>
      </c>
      <c r="D31" s="14" t="s">
        <v>384</v>
      </c>
      <c r="E31" s="21" t="s">
        <v>270</v>
      </c>
      <c r="F31" s="16" t="s">
        <v>385</v>
      </c>
      <c r="G31" s="16" t="s">
        <v>386</v>
      </c>
      <c r="H31" s="16" t="s">
        <v>387</v>
      </c>
      <c r="I31" s="16" t="s">
        <v>388</v>
      </c>
      <c r="J31" s="16" t="s">
        <v>275</v>
      </c>
      <c r="K31" s="21" t="n">
        <f aca="false">COUNTIF(C_KPI_Benchmark!$D$5:$D$546,C31)</f>
        <v>16</v>
      </c>
      <c r="L31" s="21" t="n">
        <f aca="false">COUNTIFS(C_KPI_Benchmark!$D$5:$D$546,C31,C_KPI_Benchmark!$F$5:$F$546,"D1")</f>
        <v>2</v>
      </c>
      <c r="M31" s="21" t="n">
        <f aca="false">COUNTIFS(C_KPI_Benchmark!$D$5:$D$546,C31,C_KPI_Benchmark!$F$5:$F$546,"D1",C_KPI_Benchmark!$P$5:$P$546,"Defined")</f>
        <v>2</v>
      </c>
    </row>
    <row r="32" customFormat="false" ht="23.85" hidden="false" customHeight="false" outlineLevel="0" collapsed="false">
      <c r="A32" s="35" t="n">
        <v>9</v>
      </c>
      <c r="B32" s="16" t="s">
        <v>375</v>
      </c>
      <c r="C32" s="21" t="s">
        <v>389</v>
      </c>
      <c r="D32" s="14" t="s">
        <v>390</v>
      </c>
      <c r="E32" s="21" t="s">
        <v>270</v>
      </c>
      <c r="F32" s="16" t="s">
        <v>391</v>
      </c>
      <c r="G32" s="16" t="s">
        <v>392</v>
      </c>
      <c r="H32" s="16" t="s">
        <v>393</v>
      </c>
      <c r="I32" s="16" t="s">
        <v>394</v>
      </c>
      <c r="J32" s="16" t="s">
        <v>354</v>
      </c>
      <c r="K32" s="21" t="n">
        <f aca="false">COUNTIF(C_KPI_Benchmark!$D$5:$D$546,C32)</f>
        <v>16</v>
      </c>
      <c r="L32" s="21" t="n">
        <f aca="false">COUNTIFS(C_KPI_Benchmark!$D$5:$D$546,C32,C_KPI_Benchmark!$F$5:$F$546,"D1")</f>
        <v>3</v>
      </c>
      <c r="M32" s="21" t="n">
        <f aca="false">COUNTIFS(C_KPI_Benchmark!$D$5:$D$546,C32,C_KPI_Benchmark!$F$5:$F$546,"D1",C_KPI_Benchmark!$P$5:$P$546,"Defined")</f>
        <v>3</v>
      </c>
    </row>
    <row r="33" customFormat="false" ht="23.85" hidden="false" customHeight="false" outlineLevel="0" collapsed="false">
      <c r="A33" s="36" t="n">
        <v>10</v>
      </c>
      <c r="B33" s="16" t="s">
        <v>395</v>
      </c>
      <c r="C33" s="21" t="s">
        <v>396</v>
      </c>
      <c r="D33" s="14" t="s">
        <v>397</v>
      </c>
      <c r="E33" s="21" t="s">
        <v>224</v>
      </c>
      <c r="F33" s="16" t="s">
        <v>398</v>
      </c>
      <c r="G33" s="16" t="s">
        <v>399</v>
      </c>
      <c r="H33" s="16" t="s">
        <v>400</v>
      </c>
      <c r="I33" s="16" t="s">
        <v>401</v>
      </c>
      <c r="J33" s="16" t="s">
        <v>283</v>
      </c>
      <c r="K33" s="21" t="n">
        <f aca="false">COUNTIF(C_KPI_Benchmark!$D$5:$D$546,C33)</f>
        <v>18</v>
      </c>
      <c r="L33" s="21" t="n">
        <f aca="false">COUNTIFS(C_KPI_Benchmark!$D$5:$D$546,C33,C_KPI_Benchmark!$F$5:$F$546,"D1")</f>
        <v>4</v>
      </c>
      <c r="M33" s="21" t="n">
        <f aca="false">COUNTIFS(C_KPI_Benchmark!$D$5:$D$546,C33,C_KPI_Benchmark!$F$5:$F$546,"D1",C_KPI_Benchmark!$P$5:$P$546,"Defined")</f>
        <v>4</v>
      </c>
    </row>
    <row r="34" customFormat="false" ht="23.85" hidden="false" customHeight="false" outlineLevel="0" collapsed="false">
      <c r="A34" s="36" t="n">
        <v>10</v>
      </c>
      <c r="B34" s="16" t="s">
        <v>395</v>
      </c>
      <c r="C34" s="21" t="s">
        <v>402</v>
      </c>
      <c r="D34" s="14" t="s">
        <v>403</v>
      </c>
      <c r="E34" s="21" t="s">
        <v>216</v>
      </c>
      <c r="F34" s="16" t="s">
        <v>404</v>
      </c>
      <c r="G34" s="16" t="s">
        <v>405</v>
      </c>
      <c r="H34" s="16" t="s">
        <v>406</v>
      </c>
      <c r="I34" s="16" t="s">
        <v>407</v>
      </c>
      <c r="J34" s="16" t="s">
        <v>259</v>
      </c>
      <c r="K34" s="21" t="n">
        <f aca="false">COUNTIF(C_KPI_Benchmark!$D$5:$D$546,C34)</f>
        <v>16</v>
      </c>
      <c r="L34" s="21" t="n">
        <f aca="false">COUNTIFS(C_KPI_Benchmark!$D$5:$D$546,C34,C_KPI_Benchmark!$F$5:$F$546,"D1")</f>
        <v>3</v>
      </c>
      <c r="M34" s="21" t="n">
        <f aca="false">COUNTIFS(C_KPI_Benchmark!$D$5:$D$546,C34,C_KPI_Benchmark!$F$5:$F$546,"D1",C_KPI_Benchmark!$P$5:$P$546,"Defined")</f>
        <v>3</v>
      </c>
    </row>
    <row r="35" customFormat="false" ht="23.85" hidden="false" customHeight="false" outlineLevel="0" collapsed="false">
      <c r="A35" s="36" t="n">
        <v>10</v>
      </c>
      <c r="B35" s="16" t="s">
        <v>395</v>
      </c>
      <c r="C35" s="21" t="s">
        <v>408</v>
      </c>
      <c r="D35" s="14" t="s">
        <v>409</v>
      </c>
      <c r="E35" s="21" t="s">
        <v>410</v>
      </c>
      <c r="F35" s="16" t="s">
        <v>411</v>
      </c>
      <c r="G35" s="16" t="s">
        <v>412</v>
      </c>
      <c r="H35" s="16" t="s">
        <v>413</v>
      </c>
      <c r="I35" s="16" t="s">
        <v>414</v>
      </c>
      <c r="J35" s="16" t="s">
        <v>415</v>
      </c>
      <c r="K35" s="21" t="n">
        <f aca="false">COUNTIF(C_KPI_Benchmark!$D$5:$D$546,C35)</f>
        <v>17</v>
      </c>
      <c r="L35" s="21" t="n">
        <f aca="false">COUNTIFS(C_KPI_Benchmark!$D$5:$D$546,C35,C_KPI_Benchmark!$F$5:$F$546,"D1")</f>
        <v>3</v>
      </c>
      <c r="M35" s="21" t="n">
        <f aca="false">COUNTIFS(C_KPI_Benchmark!$D$5:$D$546,C35,C_KPI_Benchmark!$F$5:$F$546,"D1",C_KPI_Benchmark!$P$5:$P$546,"Defined")</f>
        <v>3</v>
      </c>
    </row>
    <row r="38" customFormat="false" ht="15" hidden="false" customHeight="false" outlineLevel="0" collapsed="false">
      <c r="J38" s="3" t="s">
        <v>416</v>
      </c>
      <c r="K38" s="3" t="n">
        <f aca="false">SUM(K5:K35)</f>
        <v>542</v>
      </c>
    </row>
  </sheetData>
  <autoFilter ref="A4:M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82F6"/>
    <pageSetUpPr fitToPage="false"/>
  </sheetPr>
  <dimension ref="A1:R5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6" min="6" style="0" width="6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3"/>
    <col collapsed="false" customWidth="true" hidden="false" outlineLevel="0" max="10" min="10" style="0" width="52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40"/>
    <col collapsed="false" customWidth="true" hidden="false" outlineLevel="0" max="18" min="18" style="0" width="46"/>
  </cols>
  <sheetData>
    <row r="1" customFormat="false" ht="19.7" hidden="false" customHeight="false" outlineLevel="0" collapsed="false">
      <c r="A1" s="1" t="s">
        <v>417</v>
      </c>
    </row>
    <row r="2" customFormat="false" ht="15" hidden="false" customHeight="false" outlineLevel="0" collapsed="false">
      <c r="A2" s="2" t="s">
        <v>418</v>
      </c>
    </row>
    <row r="4" customFormat="false" ht="35.05" hidden="false" customHeight="false" outlineLevel="0" collapsed="false">
      <c r="A4" s="12" t="s">
        <v>419</v>
      </c>
      <c r="B4" s="12" t="s">
        <v>177</v>
      </c>
      <c r="C4" s="12" t="s">
        <v>178</v>
      </c>
      <c r="D4" s="12" t="s">
        <v>179</v>
      </c>
      <c r="E4" s="12" t="s">
        <v>180</v>
      </c>
      <c r="F4" s="12" t="s">
        <v>46</v>
      </c>
      <c r="G4" s="12" t="s">
        <v>47</v>
      </c>
      <c r="H4" s="12" t="s">
        <v>420</v>
      </c>
      <c r="I4" s="12" t="s">
        <v>421</v>
      </c>
      <c r="J4" s="12" t="s">
        <v>422</v>
      </c>
      <c r="K4" s="12" t="s">
        <v>423</v>
      </c>
      <c r="L4" s="12" t="s">
        <v>424</v>
      </c>
      <c r="M4" s="12" t="s">
        <v>425</v>
      </c>
      <c r="N4" s="12" t="s">
        <v>426</v>
      </c>
      <c r="O4" s="12" t="s">
        <v>427</v>
      </c>
      <c r="P4" s="12" t="s">
        <v>428</v>
      </c>
      <c r="Q4" s="12" t="s">
        <v>429</v>
      </c>
      <c r="R4" s="12" t="s">
        <v>185</v>
      </c>
    </row>
    <row r="5" customFormat="false" ht="23.85" hidden="false" customHeight="false" outlineLevel="0" collapsed="false">
      <c r="A5" s="37" t="s">
        <v>430</v>
      </c>
      <c r="B5" s="38" t="n">
        <v>1</v>
      </c>
      <c r="C5" s="39" t="s">
        <v>190</v>
      </c>
      <c r="D5" s="38" t="s">
        <v>191</v>
      </c>
      <c r="E5" s="39" t="s">
        <v>192</v>
      </c>
      <c r="F5" s="38" t="s">
        <v>50</v>
      </c>
      <c r="G5" s="39" t="s">
        <v>51</v>
      </c>
      <c r="H5" s="40" t="n">
        <f aca="false">INDEX(A_Scoring_Model!$C$5:$C$10,MATCH(F5,A_Scoring_Model!$A$5:$A$10,0))</f>
        <v>0.3</v>
      </c>
      <c r="I5" s="39" t="s">
        <v>431</v>
      </c>
      <c r="J5" s="39" t="s">
        <v>432</v>
      </c>
      <c r="K5" s="38" t="s">
        <v>433</v>
      </c>
      <c r="L5" s="39" t="s">
        <v>434</v>
      </c>
      <c r="M5" s="38" t="s">
        <v>435</v>
      </c>
      <c r="N5" s="41" t="n">
        <v>0.95</v>
      </c>
      <c r="O5" s="41" t="n">
        <v>0.88</v>
      </c>
      <c r="P5" s="39" t="s">
        <v>436</v>
      </c>
      <c r="Q5" s="39" t="s">
        <v>437</v>
      </c>
      <c r="R5" s="39" t="s">
        <v>197</v>
      </c>
    </row>
    <row r="6" customFormat="false" ht="23.85" hidden="false" customHeight="false" outlineLevel="0" collapsed="false">
      <c r="A6" s="37" t="s">
        <v>438</v>
      </c>
      <c r="B6" s="38" t="n">
        <v>1</v>
      </c>
      <c r="C6" s="39" t="s">
        <v>190</v>
      </c>
      <c r="D6" s="38" t="s">
        <v>191</v>
      </c>
      <c r="E6" s="39" t="s">
        <v>192</v>
      </c>
      <c r="F6" s="38" t="s">
        <v>50</v>
      </c>
      <c r="G6" s="39" t="s">
        <v>51</v>
      </c>
      <c r="H6" s="40" t="n">
        <f aca="false">INDEX(A_Scoring_Model!$C$5:$C$10,MATCH(F6,A_Scoring_Model!$A$5:$A$10,0))</f>
        <v>0.3</v>
      </c>
      <c r="I6" s="39" t="s">
        <v>431</v>
      </c>
      <c r="J6" s="39" t="s">
        <v>439</v>
      </c>
      <c r="K6" s="38" t="s">
        <v>440</v>
      </c>
      <c r="L6" s="39" t="s">
        <v>434</v>
      </c>
      <c r="M6" s="38" t="s">
        <v>435</v>
      </c>
      <c r="N6" s="42" t="n">
        <v>0.9</v>
      </c>
      <c r="O6" s="42" t="n">
        <v>0.82</v>
      </c>
      <c r="P6" s="39" t="s">
        <v>436</v>
      </c>
      <c r="Q6" s="39" t="s">
        <v>437</v>
      </c>
      <c r="R6" s="39" t="s">
        <v>197</v>
      </c>
    </row>
    <row r="7" customFormat="false" ht="23.85" hidden="false" customHeight="false" outlineLevel="0" collapsed="false">
      <c r="A7" s="37" t="s">
        <v>441</v>
      </c>
      <c r="B7" s="38" t="n">
        <v>1</v>
      </c>
      <c r="C7" s="39" t="s">
        <v>190</v>
      </c>
      <c r="D7" s="38" t="s">
        <v>191</v>
      </c>
      <c r="E7" s="39" t="s">
        <v>192</v>
      </c>
      <c r="F7" s="38" t="s">
        <v>50</v>
      </c>
      <c r="G7" s="39" t="s">
        <v>51</v>
      </c>
      <c r="H7" s="40" t="n">
        <f aca="false">INDEX(A_Scoring_Model!$C$5:$C$10,MATCH(F7,A_Scoring_Model!$A$5:$A$10,0))</f>
        <v>0.3</v>
      </c>
      <c r="I7" s="39" t="s">
        <v>431</v>
      </c>
      <c r="J7" s="39" t="s">
        <v>442</v>
      </c>
      <c r="K7" s="38" t="s">
        <v>433</v>
      </c>
      <c r="L7" s="39" t="s">
        <v>434</v>
      </c>
      <c r="M7" s="38" t="s">
        <v>435</v>
      </c>
      <c r="N7" s="41" t="n">
        <v>1</v>
      </c>
      <c r="O7" s="41" t="n">
        <v>0.98</v>
      </c>
      <c r="P7" s="39" t="s">
        <v>436</v>
      </c>
      <c r="Q7" s="39" t="s">
        <v>437</v>
      </c>
      <c r="R7" s="39" t="s">
        <v>197</v>
      </c>
    </row>
    <row r="8" customFormat="false" ht="23.85" hidden="false" customHeight="false" outlineLevel="0" collapsed="false">
      <c r="A8" s="37" t="s">
        <v>443</v>
      </c>
      <c r="B8" s="38" t="n">
        <v>1</v>
      </c>
      <c r="C8" s="39" t="s">
        <v>190</v>
      </c>
      <c r="D8" s="38" t="s">
        <v>191</v>
      </c>
      <c r="E8" s="39" t="s">
        <v>192</v>
      </c>
      <c r="F8" s="38" t="s">
        <v>53</v>
      </c>
      <c r="G8" s="39" t="s">
        <v>54</v>
      </c>
      <c r="H8" s="40" t="n">
        <f aca="false">INDEX(A_Scoring_Model!$C$5:$C$10,MATCH(F8,A_Scoring_Model!$A$5:$A$10,0))</f>
        <v>0.2</v>
      </c>
      <c r="I8" s="39" t="s">
        <v>431</v>
      </c>
      <c r="J8" s="39" t="s">
        <v>444</v>
      </c>
      <c r="K8" s="38" t="s">
        <v>445</v>
      </c>
      <c r="L8" s="39" t="s">
        <v>434</v>
      </c>
      <c r="M8" s="38" t="s">
        <v>435</v>
      </c>
      <c r="N8" s="43" t="n">
        <v>1</v>
      </c>
      <c r="O8" s="43"/>
      <c r="P8" s="39" t="s">
        <v>446</v>
      </c>
      <c r="Q8" s="39" t="s">
        <v>447</v>
      </c>
      <c r="R8" s="39"/>
    </row>
    <row r="9" customFormat="false" ht="23.85" hidden="false" customHeight="false" outlineLevel="0" collapsed="false">
      <c r="A9" s="37" t="s">
        <v>448</v>
      </c>
      <c r="B9" s="38" t="n">
        <v>1</v>
      </c>
      <c r="C9" s="39" t="s">
        <v>190</v>
      </c>
      <c r="D9" s="38" t="s">
        <v>191</v>
      </c>
      <c r="E9" s="39" t="s">
        <v>192</v>
      </c>
      <c r="F9" s="38" t="s">
        <v>53</v>
      </c>
      <c r="G9" s="39" t="s">
        <v>54</v>
      </c>
      <c r="H9" s="40" t="n">
        <f aca="false">INDEX(A_Scoring_Model!$C$5:$C$10,MATCH(F9,A_Scoring_Model!$A$5:$A$10,0))</f>
        <v>0.2</v>
      </c>
      <c r="I9" s="39" t="s">
        <v>449</v>
      </c>
      <c r="J9" s="39" t="s">
        <v>450</v>
      </c>
      <c r="K9" s="38" t="s">
        <v>451</v>
      </c>
      <c r="L9" s="39" t="s">
        <v>434</v>
      </c>
      <c r="M9" s="38" t="s">
        <v>435</v>
      </c>
      <c r="N9" s="44" t="n">
        <v>3</v>
      </c>
      <c r="O9" s="44" t="n">
        <v>2</v>
      </c>
      <c r="P9" s="39" t="s">
        <v>436</v>
      </c>
      <c r="Q9" s="39" t="s">
        <v>447</v>
      </c>
      <c r="R9" s="39"/>
    </row>
    <row r="10" customFormat="false" ht="23.85" hidden="false" customHeight="false" outlineLevel="0" collapsed="false">
      <c r="A10" s="37" t="s">
        <v>452</v>
      </c>
      <c r="B10" s="38" t="n">
        <v>1</v>
      </c>
      <c r="C10" s="39" t="s">
        <v>190</v>
      </c>
      <c r="D10" s="38" t="s">
        <v>191</v>
      </c>
      <c r="E10" s="39" t="s">
        <v>192</v>
      </c>
      <c r="F10" s="38" t="s">
        <v>53</v>
      </c>
      <c r="G10" s="39" t="s">
        <v>54</v>
      </c>
      <c r="H10" s="40" t="n">
        <f aca="false">INDEX(A_Scoring_Model!$C$5:$C$10,MATCH(F10,A_Scoring_Model!$A$5:$A$10,0))</f>
        <v>0.2</v>
      </c>
      <c r="I10" s="39" t="s">
        <v>449</v>
      </c>
      <c r="J10" s="39" t="s">
        <v>453</v>
      </c>
      <c r="K10" s="38" t="s">
        <v>445</v>
      </c>
      <c r="L10" s="39" t="s">
        <v>434</v>
      </c>
      <c r="M10" s="38" t="s">
        <v>435</v>
      </c>
      <c r="N10" s="43" t="n">
        <v>1</v>
      </c>
      <c r="O10" s="43"/>
      <c r="P10" s="39" t="s">
        <v>446</v>
      </c>
      <c r="Q10" s="39" t="s">
        <v>447</v>
      </c>
      <c r="R10" s="39"/>
    </row>
    <row r="11" customFormat="false" ht="23.85" hidden="false" customHeight="false" outlineLevel="0" collapsed="false">
      <c r="A11" s="37" t="s">
        <v>454</v>
      </c>
      <c r="B11" s="38" t="n">
        <v>1</v>
      </c>
      <c r="C11" s="39" t="s">
        <v>190</v>
      </c>
      <c r="D11" s="38" t="s">
        <v>191</v>
      </c>
      <c r="E11" s="39" t="s">
        <v>192</v>
      </c>
      <c r="F11" s="38" t="s">
        <v>56</v>
      </c>
      <c r="G11" s="39" t="s">
        <v>57</v>
      </c>
      <c r="H11" s="40" t="n">
        <f aca="false">INDEX(A_Scoring_Model!$C$5:$C$10,MATCH(F11,A_Scoring_Model!$A$5:$A$10,0))</f>
        <v>0.15</v>
      </c>
      <c r="I11" s="39" t="s">
        <v>431</v>
      </c>
      <c r="J11" s="39" t="s">
        <v>455</v>
      </c>
      <c r="K11" s="38" t="s">
        <v>456</v>
      </c>
      <c r="L11" s="39" t="s">
        <v>434</v>
      </c>
      <c r="M11" s="38" t="s">
        <v>435</v>
      </c>
      <c r="N11" s="44" t="n">
        <v>300</v>
      </c>
      <c r="O11" s="44"/>
      <c r="P11" s="39" t="s">
        <v>446</v>
      </c>
      <c r="Q11" s="39" t="s">
        <v>457</v>
      </c>
      <c r="R11" s="39"/>
    </row>
    <row r="12" customFormat="false" ht="23.85" hidden="false" customHeight="false" outlineLevel="0" collapsed="false">
      <c r="A12" s="37" t="s">
        <v>458</v>
      </c>
      <c r="B12" s="38" t="n">
        <v>1</v>
      </c>
      <c r="C12" s="39" t="s">
        <v>190</v>
      </c>
      <c r="D12" s="38" t="s">
        <v>191</v>
      </c>
      <c r="E12" s="39" t="s">
        <v>192</v>
      </c>
      <c r="F12" s="38" t="s">
        <v>56</v>
      </c>
      <c r="G12" s="39" t="s">
        <v>57</v>
      </c>
      <c r="H12" s="40" t="n">
        <f aca="false">INDEX(A_Scoring_Model!$C$5:$C$10,MATCH(F12,A_Scoring_Model!$A$5:$A$10,0))</f>
        <v>0.15</v>
      </c>
      <c r="I12" s="39" t="s">
        <v>431</v>
      </c>
      <c r="J12" s="39" t="s">
        <v>459</v>
      </c>
      <c r="K12" s="38" t="s">
        <v>460</v>
      </c>
      <c r="L12" s="39" t="s">
        <v>461</v>
      </c>
      <c r="M12" s="38" t="s">
        <v>462</v>
      </c>
      <c r="N12" s="44" t="n">
        <v>8</v>
      </c>
      <c r="O12" s="44"/>
      <c r="P12" s="39" t="s">
        <v>446</v>
      </c>
      <c r="Q12" s="39" t="s">
        <v>457</v>
      </c>
      <c r="R12" s="39"/>
    </row>
    <row r="13" customFormat="false" ht="23.85" hidden="false" customHeight="false" outlineLevel="0" collapsed="false">
      <c r="A13" s="37" t="s">
        <v>463</v>
      </c>
      <c r="B13" s="38" t="n">
        <v>1</v>
      </c>
      <c r="C13" s="39" t="s">
        <v>190</v>
      </c>
      <c r="D13" s="38" t="s">
        <v>191</v>
      </c>
      <c r="E13" s="39" t="s">
        <v>192</v>
      </c>
      <c r="F13" s="38" t="s">
        <v>56</v>
      </c>
      <c r="G13" s="39" t="s">
        <v>57</v>
      </c>
      <c r="H13" s="40" t="n">
        <f aca="false">INDEX(A_Scoring_Model!$C$5:$C$10,MATCH(F13,A_Scoring_Model!$A$5:$A$10,0))</f>
        <v>0.15</v>
      </c>
      <c r="I13" s="39" t="s">
        <v>449</v>
      </c>
      <c r="J13" s="39" t="s">
        <v>464</v>
      </c>
      <c r="K13" s="38" t="s">
        <v>433</v>
      </c>
      <c r="L13" s="39" t="s">
        <v>461</v>
      </c>
      <c r="M13" s="38" t="s">
        <v>462</v>
      </c>
      <c r="N13" s="41" t="n">
        <v>0.2</v>
      </c>
      <c r="O13" s="41" t="n">
        <v>0.4</v>
      </c>
      <c r="P13" s="39" t="s">
        <v>436</v>
      </c>
      <c r="Q13" s="39" t="s">
        <v>457</v>
      </c>
      <c r="R13" s="39"/>
    </row>
    <row r="14" customFormat="false" ht="23.85" hidden="false" customHeight="false" outlineLevel="0" collapsed="false">
      <c r="A14" s="37" t="s">
        <v>465</v>
      </c>
      <c r="B14" s="38" t="n">
        <v>1</v>
      </c>
      <c r="C14" s="39" t="s">
        <v>190</v>
      </c>
      <c r="D14" s="38" t="s">
        <v>191</v>
      </c>
      <c r="E14" s="39" t="s">
        <v>192</v>
      </c>
      <c r="F14" s="38" t="s">
        <v>59</v>
      </c>
      <c r="G14" s="39" t="s">
        <v>60</v>
      </c>
      <c r="H14" s="40" t="n">
        <f aca="false">INDEX(A_Scoring_Model!$C$5:$C$10,MATCH(F14,A_Scoring_Model!$A$5:$A$10,0))</f>
        <v>0.1</v>
      </c>
      <c r="I14" s="39" t="s">
        <v>431</v>
      </c>
      <c r="J14" s="39" t="s">
        <v>466</v>
      </c>
      <c r="K14" s="38" t="s">
        <v>433</v>
      </c>
      <c r="L14" s="39" t="s">
        <v>461</v>
      </c>
      <c r="M14" s="38" t="s">
        <v>462</v>
      </c>
      <c r="N14" s="41" t="n">
        <v>0.01</v>
      </c>
      <c r="O14" s="41"/>
      <c r="P14" s="39" t="s">
        <v>446</v>
      </c>
      <c r="Q14" s="39" t="s">
        <v>467</v>
      </c>
      <c r="R14" s="39"/>
    </row>
    <row r="15" customFormat="false" ht="23.85" hidden="false" customHeight="false" outlineLevel="0" collapsed="false">
      <c r="A15" s="37" t="s">
        <v>468</v>
      </c>
      <c r="B15" s="38" t="n">
        <v>1</v>
      </c>
      <c r="C15" s="39" t="s">
        <v>190</v>
      </c>
      <c r="D15" s="38" t="s">
        <v>191</v>
      </c>
      <c r="E15" s="39" t="s">
        <v>192</v>
      </c>
      <c r="F15" s="38" t="s">
        <v>59</v>
      </c>
      <c r="G15" s="39" t="s">
        <v>60</v>
      </c>
      <c r="H15" s="40" t="n">
        <f aca="false">INDEX(A_Scoring_Model!$C$5:$C$10,MATCH(F15,A_Scoring_Model!$A$5:$A$10,0))</f>
        <v>0.1</v>
      </c>
      <c r="I15" s="39" t="s">
        <v>431</v>
      </c>
      <c r="J15" s="39" t="s">
        <v>469</v>
      </c>
      <c r="K15" s="38" t="s">
        <v>433</v>
      </c>
      <c r="L15" s="39" t="s">
        <v>434</v>
      </c>
      <c r="M15" s="38" t="s">
        <v>435</v>
      </c>
      <c r="N15" s="41" t="n">
        <v>0.97</v>
      </c>
      <c r="O15" s="41"/>
      <c r="P15" s="39" t="s">
        <v>446</v>
      </c>
      <c r="Q15" s="39" t="s">
        <v>467</v>
      </c>
      <c r="R15" s="39"/>
    </row>
    <row r="16" customFormat="false" ht="23.85" hidden="false" customHeight="false" outlineLevel="0" collapsed="false">
      <c r="A16" s="37" t="s">
        <v>470</v>
      </c>
      <c r="B16" s="38" t="n">
        <v>1</v>
      </c>
      <c r="C16" s="39" t="s">
        <v>190</v>
      </c>
      <c r="D16" s="38" t="s">
        <v>191</v>
      </c>
      <c r="E16" s="39" t="s">
        <v>192</v>
      </c>
      <c r="F16" s="38" t="s">
        <v>59</v>
      </c>
      <c r="G16" s="39" t="s">
        <v>60</v>
      </c>
      <c r="H16" s="40" t="n">
        <f aca="false">INDEX(A_Scoring_Model!$C$5:$C$10,MATCH(F16,A_Scoring_Model!$A$5:$A$10,0))</f>
        <v>0.1</v>
      </c>
      <c r="I16" s="39" t="s">
        <v>449</v>
      </c>
      <c r="J16" s="39" t="s">
        <v>471</v>
      </c>
      <c r="K16" s="38" t="s">
        <v>433</v>
      </c>
      <c r="L16" s="39" t="s">
        <v>434</v>
      </c>
      <c r="M16" s="38" t="s">
        <v>435</v>
      </c>
      <c r="N16" s="41" t="n">
        <v>0.995</v>
      </c>
      <c r="O16" s="41" t="n">
        <v>0.99</v>
      </c>
      <c r="P16" s="39" t="s">
        <v>436</v>
      </c>
      <c r="Q16" s="39" t="s">
        <v>467</v>
      </c>
      <c r="R16" s="39"/>
    </row>
    <row r="17" customFormat="false" ht="23.85" hidden="false" customHeight="false" outlineLevel="0" collapsed="false">
      <c r="A17" s="37" t="s">
        <v>472</v>
      </c>
      <c r="B17" s="38" t="n">
        <v>1</v>
      </c>
      <c r="C17" s="39" t="s">
        <v>190</v>
      </c>
      <c r="D17" s="38" t="s">
        <v>191</v>
      </c>
      <c r="E17" s="39" t="s">
        <v>192</v>
      </c>
      <c r="F17" s="38" t="s">
        <v>62</v>
      </c>
      <c r="G17" s="39" t="s">
        <v>63</v>
      </c>
      <c r="H17" s="40" t="n">
        <f aca="false">INDEX(A_Scoring_Model!$C$5:$C$10,MATCH(F17,A_Scoring_Model!$A$5:$A$10,0))</f>
        <v>0.15</v>
      </c>
      <c r="I17" s="39" t="s">
        <v>431</v>
      </c>
      <c r="J17" s="39" t="s">
        <v>473</v>
      </c>
      <c r="K17" s="38" t="s">
        <v>433</v>
      </c>
      <c r="L17" s="39" t="s">
        <v>434</v>
      </c>
      <c r="M17" s="38" t="s">
        <v>435</v>
      </c>
      <c r="N17" s="41" t="n">
        <v>0.6</v>
      </c>
      <c r="O17" s="41"/>
      <c r="P17" s="39" t="s">
        <v>446</v>
      </c>
      <c r="Q17" s="39" t="s">
        <v>474</v>
      </c>
      <c r="R17" s="39"/>
    </row>
    <row r="18" customFormat="false" ht="23.85" hidden="false" customHeight="false" outlineLevel="0" collapsed="false">
      <c r="A18" s="37" t="s">
        <v>475</v>
      </c>
      <c r="B18" s="38" t="n">
        <v>1</v>
      </c>
      <c r="C18" s="39" t="s">
        <v>190</v>
      </c>
      <c r="D18" s="38" t="s">
        <v>191</v>
      </c>
      <c r="E18" s="39" t="s">
        <v>192</v>
      </c>
      <c r="F18" s="38" t="s">
        <v>62</v>
      </c>
      <c r="G18" s="39" t="s">
        <v>63</v>
      </c>
      <c r="H18" s="40" t="n">
        <f aca="false">INDEX(A_Scoring_Model!$C$5:$C$10,MATCH(F18,A_Scoring_Model!$A$5:$A$10,0))</f>
        <v>0.15</v>
      </c>
      <c r="I18" s="39" t="s">
        <v>431</v>
      </c>
      <c r="J18" s="39" t="s">
        <v>476</v>
      </c>
      <c r="K18" s="38" t="s">
        <v>433</v>
      </c>
      <c r="L18" s="39" t="s">
        <v>434</v>
      </c>
      <c r="M18" s="38" t="s">
        <v>435</v>
      </c>
      <c r="N18" s="41" t="n">
        <v>0.85</v>
      </c>
      <c r="O18" s="41"/>
      <c r="P18" s="39" t="s">
        <v>446</v>
      </c>
      <c r="Q18" s="39" t="s">
        <v>474</v>
      </c>
      <c r="R18" s="39"/>
    </row>
    <row r="19" customFormat="false" ht="23.85" hidden="false" customHeight="false" outlineLevel="0" collapsed="false">
      <c r="A19" s="37" t="s">
        <v>477</v>
      </c>
      <c r="B19" s="38" t="n">
        <v>1</v>
      </c>
      <c r="C19" s="39" t="s">
        <v>190</v>
      </c>
      <c r="D19" s="38" t="s">
        <v>191</v>
      </c>
      <c r="E19" s="39" t="s">
        <v>192</v>
      </c>
      <c r="F19" s="38" t="s">
        <v>65</v>
      </c>
      <c r="G19" s="39" t="s">
        <v>66</v>
      </c>
      <c r="H19" s="40" t="n">
        <f aca="false">INDEX(A_Scoring_Model!$C$5:$C$10,MATCH(F19,A_Scoring_Model!$A$5:$A$10,0))</f>
        <v>0.1</v>
      </c>
      <c r="I19" s="39" t="s">
        <v>449</v>
      </c>
      <c r="J19" s="39" t="s">
        <v>478</v>
      </c>
      <c r="K19" s="38" t="s">
        <v>433</v>
      </c>
      <c r="L19" s="39" t="s">
        <v>434</v>
      </c>
      <c r="M19" s="38" t="s">
        <v>435</v>
      </c>
      <c r="N19" s="41" t="n">
        <v>0.8</v>
      </c>
      <c r="O19" s="41" t="n">
        <v>0.6</v>
      </c>
      <c r="P19" s="39" t="s">
        <v>436</v>
      </c>
      <c r="Q19" s="39" t="s">
        <v>479</v>
      </c>
      <c r="R19" s="39"/>
    </row>
    <row r="20" customFormat="false" ht="23.85" hidden="false" customHeight="false" outlineLevel="0" collapsed="false">
      <c r="A20" s="37" t="s">
        <v>480</v>
      </c>
      <c r="B20" s="38" t="n">
        <v>1</v>
      </c>
      <c r="C20" s="39" t="s">
        <v>190</v>
      </c>
      <c r="D20" s="38" t="s">
        <v>191</v>
      </c>
      <c r="E20" s="39" t="s">
        <v>192</v>
      </c>
      <c r="F20" s="38" t="s">
        <v>65</v>
      </c>
      <c r="G20" s="39" t="s">
        <v>66</v>
      </c>
      <c r="H20" s="40" t="n">
        <f aca="false">INDEX(A_Scoring_Model!$C$5:$C$10,MATCH(F20,A_Scoring_Model!$A$5:$A$10,0))</f>
        <v>0.1</v>
      </c>
      <c r="I20" s="39" t="s">
        <v>449</v>
      </c>
      <c r="J20" s="39" t="s">
        <v>481</v>
      </c>
      <c r="K20" s="38" t="s">
        <v>451</v>
      </c>
      <c r="L20" s="39" t="s">
        <v>461</v>
      </c>
      <c r="M20" s="38" t="s">
        <v>462</v>
      </c>
      <c r="N20" s="44" t="n">
        <v>0</v>
      </c>
      <c r="O20" s="44"/>
      <c r="P20" s="39" t="s">
        <v>446</v>
      </c>
      <c r="Q20" s="39" t="s">
        <v>479</v>
      </c>
      <c r="R20" s="39"/>
    </row>
    <row r="21" customFormat="false" ht="23.85" hidden="false" customHeight="false" outlineLevel="0" collapsed="false">
      <c r="A21" s="37" t="s">
        <v>482</v>
      </c>
      <c r="B21" s="38" t="n">
        <v>1</v>
      </c>
      <c r="C21" s="39" t="s">
        <v>190</v>
      </c>
      <c r="D21" s="38" t="s">
        <v>191</v>
      </c>
      <c r="E21" s="39" t="s">
        <v>192</v>
      </c>
      <c r="F21" s="38" t="s">
        <v>65</v>
      </c>
      <c r="G21" s="39" t="s">
        <v>66</v>
      </c>
      <c r="H21" s="40" t="n">
        <f aca="false">INDEX(A_Scoring_Model!$C$5:$C$10,MATCH(F21,A_Scoring_Model!$A$5:$A$10,0))</f>
        <v>0.1</v>
      </c>
      <c r="I21" s="39" t="s">
        <v>449</v>
      </c>
      <c r="J21" s="39" t="s">
        <v>483</v>
      </c>
      <c r="K21" s="38" t="s">
        <v>451</v>
      </c>
      <c r="L21" s="39" t="s">
        <v>461</v>
      </c>
      <c r="M21" s="38" t="s">
        <v>462</v>
      </c>
      <c r="N21" s="44" t="n">
        <v>0</v>
      </c>
      <c r="O21" s="44"/>
      <c r="P21" s="39" t="s">
        <v>446</v>
      </c>
      <c r="Q21" s="39" t="s">
        <v>479</v>
      </c>
      <c r="R21" s="39"/>
    </row>
    <row r="22" customFormat="false" ht="23.85" hidden="false" customHeight="false" outlineLevel="0" collapsed="false">
      <c r="A22" s="37" t="s">
        <v>484</v>
      </c>
      <c r="B22" s="38" t="n">
        <v>1</v>
      </c>
      <c r="C22" s="39" t="s">
        <v>190</v>
      </c>
      <c r="D22" s="38" t="s">
        <v>191</v>
      </c>
      <c r="E22" s="39" t="s">
        <v>192</v>
      </c>
      <c r="F22" s="38" t="s">
        <v>65</v>
      </c>
      <c r="G22" s="39" t="s">
        <v>66</v>
      </c>
      <c r="H22" s="40" t="n">
        <f aca="false">INDEX(A_Scoring_Model!$C$5:$C$10,MATCH(F22,A_Scoring_Model!$A$5:$A$10,0))</f>
        <v>0.1</v>
      </c>
      <c r="I22" s="39" t="s">
        <v>449</v>
      </c>
      <c r="J22" s="39" t="s">
        <v>485</v>
      </c>
      <c r="K22" s="38" t="s">
        <v>445</v>
      </c>
      <c r="L22" s="39" t="s">
        <v>434</v>
      </c>
      <c r="M22" s="38" t="s">
        <v>435</v>
      </c>
      <c r="N22" s="43" t="n">
        <v>1</v>
      </c>
      <c r="O22" s="43"/>
      <c r="P22" s="39" t="s">
        <v>446</v>
      </c>
      <c r="Q22" s="39" t="s">
        <v>479</v>
      </c>
      <c r="R22" s="39"/>
    </row>
    <row r="23" customFormat="false" ht="23.85" hidden="false" customHeight="false" outlineLevel="0" collapsed="false">
      <c r="A23" s="37" t="s">
        <v>486</v>
      </c>
      <c r="B23" s="38" t="n">
        <v>1</v>
      </c>
      <c r="C23" s="39" t="s">
        <v>190</v>
      </c>
      <c r="D23" s="38" t="s">
        <v>191</v>
      </c>
      <c r="E23" s="39" t="s">
        <v>192</v>
      </c>
      <c r="F23" s="38" t="s">
        <v>65</v>
      </c>
      <c r="G23" s="39" t="s">
        <v>66</v>
      </c>
      <c r="H23" s="40" t="n">
        <f aca="false">INDEX(A_Scoring_Model!$C$5:$C$10,MATCH(F23,A_Scoring_Model!$A$5:$A$10,0))</f>
        <v>0.1</v>
      </c>
      <c r="I23" s="39" t="s">
        <v>449</v>
      </c>
      <c r="J23" s="39" t="s">
        <v>487</v>
      </c>
      <c r="K23" s="38" t="s">
        <v>445</v>
      </c>
      <c r="L23" s="39" t="s">
        <v>434</v>
      </c>
      <c r="M23" s="38" t="s">
        <v>435</v>
      </c>
      <c r="N23" s="43" t="n">
        <v>1</v>
      </c>
      <c r="O23" s="43"/>
      <c r="P23" s="39" t="s">
        <v>446</v>
      </c>
      <c r="Q23" s="39" t="s">
        <v>479</v>
      </c>
      <c r="R23" s="39"/>
    </row>
    <row r="24" customFormat="false" ht="23.85" hidden="false" customHeight="false" outlineLevel="0" collapsed="false">
      <c r="A24" s="45" t="s">
        <v>488</v>
      </c>
      <c r="B24" s="21" t="n">
        <v>1</v>
      </c>
      <c r="C24" s="16" t="s">
        <v>190</v>
      </c>
      <c r="D24" s="21" t="s">
        <v>199</v>
      </c>
      <c r="E24" s="16" t="s">
        <v>200</v>
      </c>
      <c r="F24" s="21" t="s">
        <v>50</v>
      </c>
      <c r="G24" s="16" t="s">
        <v>51</v>
      </c>
      <c r="H24" s="46" t="n">
        <f aca="false">INDEX(A_Scoring_Model!$C$5:$C$10,MATCH(F24,A_Scoring_Model!$A$5:$A$10,0))</f>
        <v>0.3</v>
      </c>
      <c r="I24" s="16" t="s">
        <v>431</v>
      </c>
      <c r="J24" s="16" t="s">
        <v>489</v>
      </c>
      <c r="K24" s="21" t="s">
        <v>490</v>
      </c>
      <c r="L24" s="16" t="s">
        <v>434</v>
      </c>
      <c r="M24" s="21" t="s">
        <v>435</v>
      </c>
      <c r="N24" s="47" t="n">
        <v>0.85</v>
      </c>
      <c r="O24" s="47" t="n">
        <v>0.75</v>
      </c>
      <c r="P24" s="16" t="s">
        <v>436</v>
      </c>
      <c r="Q24" s="16" t="s">
        <v>437</v>
      </c>
      <c r="R24" s="16" t="s">
        <v>204</v>
      </c>
    </row>
    <row r="25" customFormat="false" ht="23.85" hidden="false" customHeight="false" outlineLevel="0" collapsed="false">
      <c r="A25" s="45" t="s">
        <v>491</v>
      </c>
      <c r="B25" s="21" t="n">
        <v>1</v>
      </c>
      <c r="C25" s="16" t="s">
        <v>190</v>
      </c>
      <c r="D25" s="21" t="s">
        <v>199</v>
      </c>
      <c r="E25" s="16" t="s">
        <v>200</v>
      </c>
      <c r="F25" s="21" t="s">
        <v>50</v>
      </c>
      <c r="G25" s="16" t="s">
        <v>51</v>
      </c>
      <c r="H25" s="46" t="n">
        <f aca="false">INDEX(A_Scoring_Model!$C$5:$C$10,MATCH(F25,A_Scoring_Model!$A$5:$A$10,0))</f>
        <v>0.3</v>
      </c>
      <c r="I25" s="16" t="s">
        <v>431</v>
      </c>
      <c r="J25" s="16" t="s">
        <v>492</v>
      </c>
      <c r="K25" s="21" t="s">
        <v>490</v>
      </c>
      <c r="L25" s="16" t="s">
        <v>434</v>
      </c>
      <c r="M25" s="21" t="s">
        <v>435</v>
      </c>
      <c r="N25" s="47" t="n">
        <v>0.8</v>
      </c>
      <c r="O25" s="47" t="n">
        <v>0.7</v>
      </c>
      <c r="P25" s="16" t="s">
        <v>436</v>
      </c>
      <c r="Q25" s="16" t="s">
        <v>437</v>
      </c>
      <c r="R25" s="16" t="s">
        <v>204</v>
      </c>
    </row>
    <row r="26" customFormat="false" ht="23.85" hidden="false" customHeight="false" outlineLevel="0" collapsed="false">
      <c r="A26" s="45" t="s">
        <v>493</v>
      </c>
      <c r="B26" s="21" t="n">
        <v>1</v>
      </c>
      <c r="C26" s="16" t="s">
        <v>190</v>
      </c>
      <c r="D26" s="21" t="s">
        <v>199</v>
      </c>
      <c r="E26" s="16" t="s">
        <v>200</v>
      </c>
      <c r="F26" s="21" t="s">
        <v>50</v>
      </c>
      <c r="G26" s="16" t="s">
        <v>51</v>
      </c>
      <c r="H26" s="46" t="n">
        <f aca="false">INDEX(A_Scoring_Model!$C$5:$C$10,MATCH(F26,A_Scoring_Model!$A$5:$A$10,0))</f>
        <v>0.3</v>
      </c>
      <c r="I26" s="16" t="s">
        <v>431</v>
      </c>
      <c r="J26" s="16" t="s">
        <v>494</v>
      </c>
      <c r="K26" s="21" t="s">
        <v>490</v>
      </c>
      <c r="L26" s="16" t="s">
        <v>434</v>
      </c>
      <c r="M26" s="21" t="s">
        <v>435</v>
      </c>
      <c r="N26" s="47" t="n">
        <v>0.75</v>
      </c>
      <c r="O26" s="47" t="n">
        <v>0.6</v>
      </c>
      <c r="P26" s="16" t="s">
        <v>436</v>
      </c>
      <c r="Q26" s="16" t="s">
        <v>437</v>
      </c>
      <c r="R26" s="16" t="s">
        <v>204</v>
      </c>
    </row>
    <row r="27" customFormat="false" ht="23.85" hidden="false" customHeight="false" outlineLevel="0" collapsed="false">
      <c r="A27" s="45" t="s">
        <v>495</v>
      </c>
      <c r="B27" s="21" t="n">
        <v>1</v>
      </c>
      <c r="C27" s="16" t="s">
        <v>190</v>
      </c>
      <c r="D27" s="21" t="s">
        <v>199</v>
      </c>
      <c r="E27" s="16" t="s">
        <v>200</v>
      </c>
      <c r="F27" s="21" t="s">
        <v>50</v>
      </c>
      <c r="G27" s="16" t="s">
        <v>51</v>
      </c>
      <c r="H27" s="46" t="n">
        <f aca="false">INDEX(A_Scoring_Model!$C$5:$C$10,MATCH(F27,A_Scoring_Model!$A$5:$A$10,0))</f>
        <v>0.3</v>
      </c>
      <c r="I27" s="16" t="s">
        <v>431</v>
      </c>
      <c r="J27" s="16" t="s">
        <v>496</v>
      </c>
      <c r="K27" s="21" t="s">
        <v>433</v>
      </c>
      <c r="L27" s="16" t="s">
        <v>434</v>
      </c>
      <c r="M27" s="21" t="s">
        <v>435</v>
      </c>
      <c r="N27" s="48" t="n">
        <v>0.7</v>
      </c>
      <c r="O27" s="48" t="n">
        <v>0.55</v>
      </c>
      <c r="P27" s="16" t="s">
        <v>436</v>
      </c>
      <c r="Q27" s="16" t="s">
        <v>437</v>
      </c>
      <c r="R27" s="16" t="s">
        <v>204</v>
      </c>
    </row>
    <row r="28" customFormat="false" ht="23.85" hidden="false" customHeight="false" outlineLevel="0" collapsed="false">
      <c r="A28" s="45" t="s">
        <v>497</v>
      </c>
      <c r="B28" s="21" t="n">
        <v>1</v>
      </c>
      <c r="C28" s="16" t="s">
        <v>190</v>
      </c>
      <c r="D28" s="21" t="s">
        <v>199</v>
      </c>
      <c r="E28" s="16" t="s">
        <v>200</v>
      </c>
      <c r="F28" s="21" t="s">
        <v>53</v>
      </c>
      <c r="G28" s="16" t="s">
        <v>54</v>
      </c>
      <c r="H28" s="46" t="n">
        <f aca="false">INDEX(A_Scoring_Model!$C$5:$C$10,MATCH(F28,A_Scoring_Model!$A$5:$A$10,0))</f>
        <v>0.2</v>
      </c>
      <c r="I28" s="16" t="s">
        <v>431</v>
      </c>
      <c r="J28" s="16" t="s">
        <v>498</v>
      </c>
      <c r="K28" s="21" t="s">
        <v>445</v>
      </c>
      <c r="L28" s="16" t="s">
        <v>434</v>
      </c>
      <c r="M28" s="21" t="s">
        <v>435</v>
      </c>
      <c r="N28" s="19" t="n">
        <v>1</v>
      </c>
      <c r="O28" s="19"/>
      <c r="P28" s="16" t="s">
        <v>446</v>
      </c>
      <c r="Q28" s="16" t="s">
        <v>447</v>
      </c>
      <c r="R28" s="16"/>
    </row>
    <row r="29" customFormat="false" ht="23.85" hidden="false" customHeight="false" outlineLevel="0" collapsed="false">
      <c r="A29" s="45" t="s">
        <v>499</v>
      </c>
      <c r="B29" s="21" t="n">
        <v>1</v>
      </c>
      <c r="C29" s="16" t="s">
        <v>190</v>
      </c>
      <c r="D29" s="21" t="s">
        <v>199</v>
      </c>
      <c r="E29" s="16" t="s">
        <v>200</v>
      </c>
      <c r="F29" s="21" t="s">
        <v>53</v>
      </c>
      <c r="G29" s="16" t="s">
        <v>54</v>
      </c>
      <c r="H29" s="46" t="n">
        <f aca="false">INDEX(A_Scoring_Model!$C$5:$C$10,MATCH(F29,A_Scoring_Model!$A$5:$A$10,0))</f>
        <v>0.2</v>
      </c>
      <c r="I29" s="16" t="s">
        <v>449</v>
      </c>
      <c r="J29" s="16" t="s">
        <v>450</v>
      </c>
      <c r="K29" s="21" t="s">
        <v>451</v>
      </c>
      <c r="L29" s="16" t="s">
        <v>434</v>
      </c>
      <c r="M29" s="21" t="s">
        <v>435</v>
      </c>
      <c r="N29" s="49" t="n">
        <v>3</v>
      </c>
      <c r="O29" s="49" t="n">
        <v>2</v>
      </c>
      <c r="P29" s="16" t="s">
        <v>436</v>
      </c>
      <c r="Q29" s="16" t="s">
        <v>447</v>
      </c>
      <c r="R29" s="16"/>
    </row>
    <row r="30" customFormat="false" ht="23.85" hidden="false" customHeight="false" outlineLevel="0" collapsed="false">
      <c r="A30" s="45" t="s">
        <v>500</v>
      </c>
      <c r="B30" s="21" t="n">
        <v>1</v>
      </c>
      <c r="C30" s="16" t="s">
        <v>190</v>
      </c>
      <c r="D30" s="21" t="s">
        <v>199</v>
      </c>
      <c r="E30" s="16" t="s">
        <v>200</v>
      </c>
      <c r="F30" s="21" t="s">
        <v>53</v>
      </c>
      <c r="G30" s="16" t="s">
        <v>54</v>
      </c>
      <c r="H30" s="46" t="n">
        <f aca="false">INDEX(A_Scoring_Model!$C$5:$C$10,MATCH(F30,A_Scoring_Model!$A$5:$A$10,0))</f>
        <v>0.2</v>
      </c>
      <c r="I30" s="16" t="s">
        <v>449</v>
      </c>
      <c r="J30" s="16" t="s">
        <v>453</v>
      </c>
      <c r="K30" s="21" t="s">
        <v>445</v>
      </c>
      <c r="L30" s="16" t="s">
        <v>434</v>
      </c>
      <c r="M30" s="21" t="s">
        <v>435</v>
      </c>
      <c r="N30" s="19" t="n">
        <v>1</v>
      </c>
      <c r="O30" s="19"/>
      <c r="P30" s="16" t="s">
        <v>446</v>
      </c>
      <c r="Q30" s="16" t="s">
        <v>447</v>
      </c>
      <c r="R30" s="16"/>
    </row>
    <row r="31" customFormat="false" ht="23.85" hidden="false" customHeight="false" outlineLevel="0" collapsed="false">
      <c r="A31" s="45" t="s">
        <v>501</v>
      </c>
      <c r="B31" s="21" t="n">
        <v>1</v>
      </c>
      <c r="C31" s="16" t="s">
        <v>190</v>
      </c>
      <c r="D31" s="21" t="s">
        <v>199</v>
      </c>
      <c r="E31" s="16" t="s">
        <v>200</v>
      </c>
      <c r="F31" s="21" t="s">
        <v>56</v>
      </c>
      <c r="G31" s="16" t="s">
        <v>57</v>
      </c>
      <c r="H31" s="46" t="n">
        <f aca="false">INDEX(A_Scoring_Model!$C$5:$C$10,MATCH(F31,A_Scoring_Model!$A$5:$A$10,0))</f>
        <v>0.15</v>
      </c>
      <c r="I31" s="16" t="s">
        <v>431</v>
      </c>
      <c r="J31" s="16" t="s">
        <v>502</v>
      </c>
      <c r="K31" s="21" t="s">
        <v>503</v>
      </c>
      <c r="L31" s="16" t="s">
        <v>461</v>
      </c>
      <c r="M31" s="21" t="s">
        <v>462</v>
      </c>
      <c r="N31" s="49" t="n">
        <v>10</v>
      </c>
      <c r="O31" s="49"/>
      <c r="P31" s="16" t="s">
        <v>446</v>
      </c>
      <c r="Q31" s="16" t="s">
        <v>457</v>
      </c>
      <c r="R31" s="16"/>
    </row>
    <row r="32" customFormat="false" ht="23.85" hidden="false" customHeight="false" outlineLevel="0" collapsed="false">
      <c r="A32" s="45" t="s">
        <v>504</v>
      </c>
      <c r="B32" s="21" t="n">
        <v>1</v>
      </c>
      <c r="C32" s="16" t="s">
        <v>190</v>
      </c>
      <c r="D32" s="21" t="s">
        <v>199</v>
      </c>
      <c r="E32" s="16" t="s">
        <v>200</v>
      </c>
      <c r="F32" s="21" t="s">
        <v>56</v>
      </c>
      <c r="G32" s="16" t="s">
        <v>57</v>
      </c>
      <c r="H32" s="46" t="n">
        <f aca="false">INDEX(A_Scoring_Model!$C$5:$C$10,MATCH(F32,A_Scoring_Model!$A$5:$A$10,0))</f>
        <v>0.15</v>
      </c>
      <c r="I32" s="16" t="s">
        <v>449</v>
      </c>
      <c r="J32" s="16" t="s">
        <v>464</v>
      </c>
      <c r="K32" s="21" t="s">
        <v>433</v>
      </c>
      <c r="L32" s="16" t="s">
        <v>461</v>
      </c>
      <c r="M32" s="21" t="s">
        <v>462</v>
      </c>
      <c r="N32" s="48" t="n">
        <v>0.2</v>
      </c>
      <c r="O32" s="48" t="n">
        <v>0.4</v>
      </c>
      <c r="P32" s="16" t="s">
        <v>436</v>
      </c>
      <c r="Q32" s="16" t="s">
        <v>457</v>
      </c>
      <c r="R32" s="16"/>
    </row>
    <row r="33" customFormat="false" ht="23.85" hidden="false" customHeight="false" outlineLevel="0" collapsed="false">
      <c r="A33" s="45" t="s">
        <v>505</v>
      </c>
      <c r="B33" s="21" t="n">
        <v>1</v>
      </c>
      <c r="C33" s="16" t="s">
        <v>190</v>
      </c>
      <c r="D33" s="21" t="s">
        <v>199</v>
      </c>
      <c r="E33" s="16" t="s">
        <v>200</v>
      </c>
      <c r="F33" s="21" t="s">
        <v>59</v>
      </c>
      <c r="G33" s="16" t="s">
        <v>60</v>
      </c>
      <c r="H33" s="46" t="n">
        <f aca="false">INDEX(A_Scoring_Model!$C$5:$C$10,MATCH(F33,A_Scoring_Model!$A$5:$A$10,0))</f>
        <v>0.1</v>
      </c>
      <c r="I33" s="16" t="s">
        <v>431</v>
      </c>
      <c r="J33" s="16" t="s">
        <v>506</v>
      </c>
      <c r="K33" s="21" t="s">
        <v>433</v>
      </c>
      <c r="L33" s="16" t="s">
        <v>461</v>
      </c>
      <c r="M33" s="21" t="s">
        <v>462</v>
      </c>
      <c r="N33" s="48" t="n">
        <v>0.15</v>
      </c>
      <c r="O33" s="48"/>
      <c r="P33" s="16" t="s">
        <v>446</v>
      </c>
      <c r="Q33" s="16" t="s">
        <v>467</v>
      </c>
      <c r="R33" s="16"/>
    </row>
    <row r="34" customFormat="false" ht="23.85" hidden="false" customHeight="false" outlineLevel="0" collapsed="false">
      <c r="A34" s="45" t="s">
        <v>507</v>
      </c>
      <c r="B34" s="21" t="n">
        <v>1</v>
      </c>
      <c r="C34" s="16" t="s">
        <v>190</v>
      </c>
      <c r="D34" s="21" t="s">
        <v>199</v>
      </c>
      <c r="E34" s="16" t="s">
        <v>200</v>
      </c>
      <c r="F34" s="21" t="s">
        <v>59</v>
      </c>
      <c r="G34" s="16" t="s">
        <v>60</v>
      </c>
      <c r="H34" s="46" t="n">
        <f aca="false">INDEX(A_Scoring_Model!$C$5:$C$10,MATCH(F34,A_Scoring_Model!$A$5:$A$10,0))</f>
        <v>0.1</v>
      </c>
      <c r="I34" s="16" t="s">
        <v>431</v>
      </c>
      <c r="J34" s="16" t="s">
        <v>508</v>
      </c>
      <c r="K34" s="21" t="s">
        <v>433</v>
      </c>
      <c r="L34" s="16" t="s">
        <v>434</v>
      </c>
      <c r="M34" s="21" t="s">
        <v>435</v>
      </c>
      <c r="N34" s="48" t="n">
        <v>1</v>
      </c>
      <c r="O34" s="48"/>
      <c r="P34" s="16" t="s">
        <v>446</v>
      </c>
      <c r="Q34" s="16" t="s">
        <v>467</v>
      </c>
      <c r="R34" s="16"/>
    </row>
    <row r="35" customFormat="false" ht="23.85" hidden="false" customHeight="false" outlineLevel="0" collapsed="false">
      <c r="A35" s="45" t="s">
        <v>509</v>
      </c>
      <c r="B35" s="21" t="n">
        <v>1</v>
      </c>
      <c r="C35" s="16" t="s">
        <v>190</v>
      </c>
      <c r="D35" s="21" t="s">
        <v>199</v>
      </c>
      <c r="E35" s="16" t="s">
        <v>200</v>
      </c>
      <c r="F35" s="21" t="s">
        <v>59</v>
      </c>
      <c r="G35" s="16" t="s">
        <v>60</v>
      </c>
      <c r="H35" s="46" t="n">
        <f aca="false">INDEX(A_Scoring_Model!$C$5:$C$10,MATCH(F35,A_Scoring_Model!$A$5:$A$10,0))</f>
        <v>0.1</v>
      </c>
      <c r="I35" s="16" t="s">
        <v>449</v>
      </c>
      <c r="J35" s="16" t="s">
        <v>471</v>
      </c>
      <c r="K35" s="21" t="s">
        <v>433</v>
      </c>
      <c r="L35" s="16" t="s">
        <v>434</v>
      </c>
      <c r="M35" s="21" t="s">
        <v>435</v>
      </c>
      <c r="N35" s="48" t="n">
        <v>0.995</v>
      </c>
      <c r="O35" s="48" t="n">
        <v>0.99</v>
      </c>
      <c r="P35" s="16" t="s">
        <v>436</v>
      </c>
      <c r="Q35" s="16" t="s">
        <v>467</v>
      </c>
      <c r="R35" s="16"/>
    </row>
    <row r="36" customFormat="false" ht="23.85" hidden="false" customHeight="false" outlineLevel="0" collapsed="false">
      <c r="A36" s="45" t="s">
        <v>510</v>
      </c>
      <c r="B36" s="21" t="n">
        <v>1</v>
      </c>
      <c r="C36" s="16" t="s">
        <v>190</v>
      </c>
      <c r="D36" s="21" t="s">
        <v>199</v>
      </c>
      <c r="E36" s="16" t="s">
        <v>200</v>
      </c>
      <c r="F36" s="21" t="s">
        <v>62</v>
      </c>
      <c r="G36" s="16" t="s">
        <v>63</v>
      </c>
      <c r="H36" s="46" t="n">
        <f aca="false">INDEX(A_Scoring_Model!$C$5:$C$10,MATCH(F36,A_Scoring_Model!$A$5:$A$10,0))</f>
        <v>0.15</v>
      </c>
      <c r="I36" s="16" t="s">
        <v>431</v>
      </c>
      <c r="J36" s="16" t="s">
        <v>511</v>
      </c>
      <c r="K36" s="21" t="s">
        <v>433</v>
      </c>
      <c r="L36" s="16" t="s">
        <v>434</v>
      </c>
      <c r="M36" s="21" t="s">
        <v>435</v>
      </c>
      <c r="N36" s="48" t="n">
        <v>0.4</v>
      </c>
      <c r="O36" s="48"/>
      <c r="P36" s="16" t="s">
        <v>446</v>
      </c>
      <c r="Q36" s="16" t="s">
        <v>474</v>
      </c>
      <c r="R36" s="16"/>
    </row>
    <row r="37" customFormat="false" ht="23.85" hidden="false" customHeight="false" outlineLevel="0" collapsed="false">
      <c r="A37" s="45" t="s">
        <v>512</v>
      </c>
      <c r="B37" s="21" t="n">
        <v>1</v>
      </c>
      <c r="C37" s="16" t="s">
        <v>190</v>
      </c>
      <c r="D37" s="21" t="s">
        <v>199</v>
      </c>
      <c r="E37" s="16" t="s">
        <v>200</v>
      </c>
      <c r="F37" s="21" t="s">
        <v>65</v>
      </c>
      <c r="G37" s="16" t="s">
        <v>66</v>
      </c>
      <c r="H37" s="46" t="n">
        <f aca="false">INDEX(A_Scoring_Model!$C$5:$C$10,MATCH(F37,A_Scoring_Model!$A$5:$A$10,0))</f>
        <v>0.1</v>
      </c>
      <c r="I37" s="16" t="s">
        <v>449</v>
      </c>
      <c r="J37" s="16" t="s">
        <v>478</v>
      </c>
      <c r="K37" s="21" t="s">
        <v>433</v>
      </c>
      <c r="L37" s="16" t="s">
        <v>434</v>
      </c>
      <c r="M37" s="21" t="s">
        <v>435</v>
      </c>
      <c r="N37" s="48" t="n">
        <v>0.8</v>
      </c>
      <c r="O37" s="48" t="n">
        <v>0.6</v>
      </c>
      <c r="P37" s="16" t="s">
        <v>436</v>
      </c>
      <c r="Q37" s="16" t="s">
        <v>479</v>
      </c>
      <c r="R37" s="16"/>
    </row>
    <row r="38" customFormat="false" ht="23.85" hidden="false" customHeight="false" outlineLevel="0" collapsed="false">
      <c r="A38" s="45" t="s">
        <v>513</v>
      </c>
      <c r="B38" s="21" t="n">
        <v>1</v>
      </c>
      <c r="C38" s="16" t="s">
        <v>190</v>
      </c>
      <c r="D38" s="21" t="s">
        <v>199</v>
      </c>
      <c r="E38" s="16" t="s">
        <v>200</v>
      </c>
      <c r="F38" s="21" t="s">
        <v>65</v>
      </c>
      <c r="G38" s="16" t="s">
        <v>66</v>
      </c>
      <c r="H38" s="46" t="n">
        <f aca="false">INDEX(A_Scoring_Model!$C$5:$C$10,MATCH(F38,A_Scoring_Model!$A$5:$A$10,0))</f>
        <v>0.1</v>
      </c>
      <c r="I38" s="16" t="s">
        <v>449</v>
      </c>
      <c r="J38" s="16" t="s">
        <v>481</v>
      </c>
      <c r="K38" s="21" t="s">
        <v>451</v>
      </c>
      <c r="L38" s="16" t="s">
        <v>461</v>
      </c>
      <c r="M38" s="21" t="s">
        <v>462</v>
      </c>
      <c r="N38" s="49" t="n">
        <v>0</v>
      </c>
      <c r="O38" s="49"/>
      <c r="P38" s="16" t="s">
        <v>446</v>
      </c>
      <c r="Q38" s="16" t="s">
        <v>479</v>
      </c>
      <c r="R38" s="16"/>
    </row>
    <row r="39" customFormat="false" ht="23.85" hidden="false" customHeight="false" outlineLevel="0" collapsed="false">
      <c r="A39" s="45" t="s">
        <v>514</v>
      </c>
      <c r="B39" s="21" t="n">
        <v>1</v>
      </c>
      <c r="C39" s="16" t="s">
        <v>190</v>
      </c>
      <c r="D39" s="21" t="s">
        <v>199</v>
      </c>
      <c r="E39" s="16" t="s">
        <v>200</v>
      </c>
      <c r="F39" s="21" t="s">
        <v>65</v>
      </c>
      <c r="G39" s="16" t="s">
        <v>66</v>
      </c>
      <c r="H39" s="46" t="n">
        <f aca="false">INDEX(A_Scoring_Model!$C$5:$C$10,MATCH(F39,A_Scoring_Model!$A$5:$A$10,0))</f>
        <v>0.1</v>
      </c>
      <c r="I39" s="16" t="s">
        <v>449</v>
      </c>
      <c r="J39" s="16" t="s">
        <v>483</v>
      </c>
      <c r="K39" s="21" t="s">
        <v>451</v>
      </c>
      <c r="L39" s="16" t="s">
        <v>461</v>
      </c>
      <c r="M39" s="21" t="s">
        <v>462</v>
      </c>
      <c r="N39" s="49" t="n">
        <v>0</v>
      </c>
      <c r="O39" s="49"/>
      <c r="P39" s="16" t="s">
        <v>446</v>
      </c>
      <c r="Q39" s="16" t="s">
        <v>479</v>
      </c>
      <c r="R39" s="16"/>
    </row>
    <row r="40" customFormat="false" ht="23.85" hidden="false" customHeight="false" outlineLevel="0" collapsed="false">
      <c r="A40" s="45" t="s">
        <v>515</v>
      </c>
      <c r="B40" s="21" t="n">
        <v>1</v>
      </c>
      <c r="C40" s="16" t="s">
        <v>190</v>
      </c>
      <c r="D40" s="21" t="s">
        <v>199</v>
      </c>
      <c r="E40" s="16" t="s">
        <v>200</v>
      </c>
      <c r="F40" s="21" t="s">
        <v>65</v>
      </c>
      <c r="G40" s="16" t="s">
        <v>66</v>
      </c>
      <c r="H40" s="46" t="n">
        <f aca="false">INDEX(A_Scoring_Model!$C$5:$C$10,MATCH(F40,A_Scoring_Model!$A$5:$A$10,0))</f>
        <v>0.1</v>
      </c>
      <c r="I40" s="16" t="s">
        <v>449</v>
      </c>
      <c r="J40" s="16" t="s">
        <v>485</v>
      </c>
      <c r="K40" s="21" t="s">
        <v>445</v>
      </c>
      <c r="L40" s="16" t="s">
        <v>434</v>
      </c>
      <c r="M40" s="21" t="s">
        <v>435</v>
      </c>
      <c r="N40" s="19" t="n">
        <v>1</v>
      </c>
      <c r="O40" s="19"/>
      <c r="P40" s="16" t="s">
        <v>446</v>
      </c>
      <c r="Q40" s="16" t="s">
        <v>479</v>
      </c>
      <c r="R40" s="16"/>
    </row>
    <row r="41" customFormat="false" ht="23.85" hidden="false" customHeight="false" outlineLevel="0" collapsed="false">
      <c r="A41" s="45" t="s">
        <v>516</v>
      </c>
      <c r="B41" s="21" t="n">
        <v>1</v>
      </c>
      <c r="C41" s="16" t="s">
        <v>190</v>
      </c>
      <c r="D41" s="21" t="s">
        <v>199</v>
      </c>
      <c r="E41" s="16" t="s">
        <v>200</v>
      </c>
      <c r="F41" s="21" t="s">
        <v>65</v>
      </c>
      <c r="G41" s="16" t="s">
        <v>66</v>
      </c>
      <c r="H41" s="46" t="n">
        <f aca="false">INDEX(A_Scoring_Model!$C$5:$C$10,MATCH(F41,A_Scoring_Model!$A$5:$A$10,0))</f>
        <v>0.1</v>
      </c>
      <c r="I41" s="16" t="s">
        <v>449</v>
      </c>
      <c r="J41" s="16" t="s">
        <v>487</v>
      </c>
      <c r="K41" s="21" t="s">
        <v>445</v>
      </c>
      <c r="L41" s="16" t="s">
        <v>434</v>
      </c>
      <c r="M41" s="21" t="s">
        <v>435</v>
      </c>
      <c r="N41" s="19" t="n">
        <v>1</v>
      </c>
      <c r="O41" s="19"/>
      <c r="P41" s="16" t="s">
        <v>446</v>
      </c>
      <c r="Q41" s="16" t="s">
        <v>479</v>
      </c>
      <c r="R41" s="16"/>
    </row>
    <row r="42" customFormat="false" ht="23.85" hidden="false" customHeight="false" outlineLevel="0" collapsed="false">
      <c r="A42" s="37" t="s">
        <v>517</v>
      </c>
      <c r="B42" s="38" t="n">
        <v>1</v>
      </c>
      <c r="C42" s="39" t="s">
        <v>190</v>
      </c>
      <c r="D42" s="38" t="s">
        <v>206</v>
      </c>
      <c r="E42" s="39" t="s">
        <v>207</v>
      </c>
      <c r="F42" s="38" t="s">
        <v>50</v>
      </c>
      <c r="G42" s="39" t="s">
        <v>51</v>
      </c>
      <c r="H42" s="40" t="n">
        <f aca="false">INDEX(A_Scoring_Model!$C$5:$C$10,MATCH(F42,A_Scoring_Model!$A$5:$A$10,0))</f>
        <v>0.3</v>
      </c>
      <c r="I42" s="39" t="s">
        <v>431</v>
      </c>
      <c r="J42" s="39" t="s">
        <v>518</v>
      </c>
      <c r="K42" s="38" t="s">
        <v>490</v>
      </c>
      <c r="L42" s="39" t="s">
        <v>434</v>
      </c>
      <c r="M42" s="38" t="s">
        <v>435</v>
      </c>
      <c r="N42" s="42" t="n">
        <v>0.9</v>
      </c>
      <c r="O42" s="42" t="n">
        <v>0.8</v>
      </c>
      <c r="P42" s="39" t="s">
        <v>436</v>
      </c>
      <c r="Q42" s="39" t="s">
        <v>437</v>
      </c>
      <c r="R42" s="39" t="s">
        <v>211</v>
      </c>
    </row>
    <row r="43" customFormat="false" ht="23.85" hidden="false" customHeight="false" outlineLevel="0" collapsed="false">
      <c r="A43" s="37" t="s">
        <v>519</v>
      </c>
      <c r="B43" s="38" t="n">
        <v>1</v>
      </c>
      <c r="C43" s="39" t="s">
        <v>190</v>
      </c>
      <c r="D43" s="38" t="s">
        <v>206</v>
      </c>
      <c r="E43" s="39" t="s">
        <v>207</v>
      </c>
      <c r="F43" s="38" t="s">
        <v>50</v>
      </c>
      <c r="G43" s="39" t="s">
        <v>51</v>
      </c>
      <c r="H43" s="40" t="n">
        <f aca="false">INDEX(A_Scoring_Model!$C$5:$C$10,MATCH(F43,A_Scoring_Model!$A$5:$A$10,0))</f>
        <v>0.3</v>
      </c>
      <c r="I43" s="39" t="s">
        <v>431</v>
      </c>
      <c r="J43" s="39" t="s">
        <v>520</v>
      </c>
      <c r="K43" s="38" t="s">
        <v>490</v>
      </c>
      <c r="L43" s="39" t="s">
        <v>434</v>
      </c>
      <c r="M43" s="38" t="s">
        <v>435</v>
      </c>
      <c r="N43" s="42" t="n">
        <v>0.85</v>
      </c>
      <c r="O43" s="42" t="n">
        <v>0.75</v>
      </c>
      <c r="P43" s="39" t="s">
        <v>436</v>
      </c>
      <c r="Q43" s="39" t="s">
        <v>437</v>
      </c>
      <c r="R43" s="39" t="s">
        <v>211</v>
      </c>
    </row>
    <row r="44" customFormat="false" ht="23.85" hidden="false" customHeight="false" outlineLevel="0" collapsed="false">
      <c r="A44" s="37" t="s">
        <v>521</v>
      </c>
      <c r="B44" s="38" t="n">
        <v>1</v>
      </c>
      <c r="C44" s="39" t="s">
        <v>190</v>
      </c>
      <c r="D44" s="38" t="s">
        <v>206</v>
      </c>
      <c r="E44" s="39" t="s">
        <v>207</v>
      </c>
      <c r="F44" s="38" t="s">
        <v>50</v>
      </c>
      <c r="G44" s="39" t="s">
        <v>51</v>
      </c>
      <c r="H44" s="40" t="n">
        <f aca="false">INDEX(A_Scoring_Model!$C$5:$C$10,MATCH(F44,A_Scoring_Model!$A$5:$A$10,0))</f>
        <v>0.3</v>
      </c>
      <c r="I44" s="39" t="s">
        <v>431</v>
      </c>
      <c r="J44" s="39" t="s">
        <v>522</v>
      </c>
      <c r="K44" s="38" t="s">
        <v>523</v>
      </c>
      <c r="L44" s="39" t="s">
        <v>434</v>
      </c>
      <c r="M44" s="38" t="s">
        <v>435</v>
      </c>
      <c r="N44" s="42" t="n">
        <v>0.75</v>
      </c>
      <c r="O44" s="42" t="n">
        <v>0.6</v>
      </c>
      <c r="P44" s="39" t="s">
        <v>436</v>
      </c>
      <c r="Q44" s="39" t="s">
        <v>437</v>
      </c>
      <c r="R44" s="39" t="s">
        <v>211</v>
      </c>
    </row>
    <row r="45" customFormat="false" ht="23.85" hidden="false" customHeight="false" outlineLevel="0" collapsed="false">
      <c r="A45" s="37" t="s">
        <v>524</v>
      </c>
      <c r="B45" s="38" t="n">
        <v>1</v>
      </c>
      <c r="C45" s="39" t="s">
        <v>190</v>
      </c>
      <c r="D45" s="38" t="s">
        <v>206</v>
      </c>
      <c r="E45" s="39" t="s">
        <v>207</v>
      </c>
      <c r="F45" s="38" t="s">
        <v>50</v>
      </c>
      <c r="G45" s="39" t="s">
        <v>51</v>
      </c>
      <c r="H45" s="40" t="n">
        <f aca="false">INDEX(A_Scoring_Model!$C$5:$C$10,MATCH(F45,A_Scoring_Model!$A$5:$A$10,0))</f>
        <v>0.3</v>
      </c>
      <c r="I45" s="39" t="s">
        <v>431</v>
      </c>
      <c r="J45" s="39" t="s">
        <v>525</v>
      </c>
      <c r="K45" s="38" t="s">
        <v>433</v>
      </c>
      <c r="L45" s="39" t="s">
        <v>434</v>
      </c>
      <c r="M45" s="38" t="s">
        <v>435</v>
      </c>
      <c r="N45" s="41" t="n">
        <v>1</v>
      </c>
      <c r="O45" s="41" t="n">
        <v>0.98</v>
      </c>
      <c r="P45" s="39" t="s">
        <v>436</v>
      </c>
      <c r="Q45" s="39" t="s">
        <v>437</v>
      </c>
      <c r="R45" s="39" t="s">
        <v>211</v>
      </c>
    </row>
    <row r="46" customFormat="false" ht="23.85" hidden="false" customHeight="false" outlineLevel="0" collapsed="false">
      <c r="A46" s="37" t="s">
        <v>526</v>
      </c>
      <c r="B46" s="38" t="n">
        <v>1</v>
      </c>
      <c r="C46" s="39" t="s">
        <v>190</v>
      </c>
      <c r="D46" s="38" t="s">
        <v>206</v>
      </c>
      <c r="E46" s="39" t="s">
        <v>207</v>
      </c>
      <c r="F46" s="38" t="s">
        <v>53</v>
      </c>
      <c r="G46" s="39" t="s">
        <v>54</v>
      </c>
      <c r="H46" s="40" t="n">
        <f aca="false">INDEX(A_Scoring_Model!$C$5:$C$10,MATCH(F46,A_Scoring_Model!$A$5:$A$10,0))</f>
        <v>0.2</v>
      </c>
      <c r="I46" s="39" t="s">
        <v>431</v>
      </c>
      <c r="J46" s="39" t="s">
        <v>527</v>
      </c>
      <c r="K46" s="38" t="s">
        <v>451</v>
      </c>
      <c r="L46" s="39" t="s">
        <v>434</v>
      </c>
      <c r="M46" s="38" t="s">
        <v>435</v>
      </c>
      <c r="N46" s="44" t="n">
        <v>3</v>
      </c>
      <c r="O46" s="44"/>
      <c r="P46" s="39" t="s">
        <v>446</v>
      </c>
      <c r="Q46" s="39" t="s">
        <v>447</v>
      </c>
      <c r="R46" s="39"/>
    </row>
    <row r="47" customFormat="false" ht="23.85" hidden="false" customHeight="false" outlineLevel="0" collapsed="false">
      <c r="A47" s="37" t="s">
        <v>528</v>
      </c>
      <c r="B47" s="38" t="n">
        <v>1</v>
      </c>
      <c r="C47" s="39" t="s">
        <v>190</v>
      </c>
      <c r="D47" s="38" t="s">
        <v>206</v>
      </c>
      <c r="E47" s="39" t="s">
        <v>207</v>
      </c>
      <c r="F47" s="38" t="s">
        <v>53</v>
      </c>
      <c r="G47" s="39" t="s">
        <v>54</v>
      </c>
      <c r="H47" s="40" t="n">
        <f aca="false">INDEX(A_Scoring_Model!$C$5:$C$10,MATCH(F47,A_Scoring_Model!$A$5:$A$10,0))</f>
        <v>0.2</v>
      </c>
      <c r="I47" s="39" t="s">
        <v>449</v>
      </c>
      <c r="J47" s="39" t="s">
        <v>450</v>
      </c>
      <c r="K47" s="38" t="s">
        <v>451</v>
      </c>
      <c r="L47" s="39" t="s">
        <v>434</v>
      </c>
      <c r="M47" s="38" t="s">
        <v>435</v>
      </c>
      <c r="N47" s="44" t="n">
        <v>3</v>
      </c>
      <c r="O47" s="44" t="n">
        <v>2</v>
      </c>
      <c r="P47" s="39" t="s">
        <v>436</v>
      </c>
      <c r="Q47" s="39" t="s">
        <v>447</v>
      </c>
      <c r="R47" s="39"/>
    </row>
    <row r="48" customFormat="false" ht="23.85" hidden="false" customHeight="false" outlineLevel="0" collapsed="false">
      <c r="A48" s="37" t="s">
        <v>529</v>
      </c>
      <c r="B48" s="38" t="n">
        <v>1</v>
      </c>
      <c r="C48" s="39" t="s">
        <v>190</v>
      </c>
      <c r="D48" s="38" t="s">
        <v>206</v>
      </c>
      <c r="E48" s="39" t="s">
        <v>207</v>
      </c>
      <c r="F48" s="38" t="s">
        <v>53</v>
      </c>
      <c r="G48" s="39" t="s">
        <v>54</v>
      </c>
      <c r="H48" s="40" t="n">
        <f aca="false">INDEX(A_Scoring_Model!$C$5:$C$10,MATCH(F48,A_Scoring_Model!$A$5:$A$10,0))</f>
        <v>0.2</v>
      </c>
      <c r="I48" s="39" t="s">
        <v>449</v>
      </c>
      <c r="J48" s="39" t="s">
        <v>453</v>
      </c>
      <c r="K48" s="38" t="s">
        <v>445</v>
      </c>
      <c r="L48" s="39" t="s">
        <v>434</v>
      </c>
      <c r="M48" s="38" t="s">
        <v>435</v>
      </c>
      <c r="N48" s="43" t="n">
        <v>1</v>
      </c>
      <c r="O48" s="43"/>
      <c r="P48" s="39" t="s">
        <v>446</v>
      </c>
      <c r="Q48" s="39" t="s">
        <v>447</v>
      </c>
      <c r="R48" s="39"/>
    </row>
    <row r="49" customFormat="false" ht="23.85" hidden="false" customHeight="false" outlineLevel="0" collapsed="false">
      <c r="A49" s="37" t="s">
        <v>530</v>
      </c>
      <c r="B49" s="38" t="n">
        <v>1</v>
      </c>
      <c r="C49" s="39" t="s">
        <v>190</v>
      </c>
      <c r="D49" s="38" t="s">
        <v>206</v>
      </c>
      <c r="E49" s="39" t="s">
        <v>207</v>
      </c>
      <c r="F49" s="38" t="s">
        <v>56</v>
      </c>
      <c r="G49" s="39" t="s">
        <v>57</v>
      </c>
      <c r="H49" s="40" t="n">
        <f aca="false">INDEX(A_Scoring_Model!$C$5:$C$10,MATCH(F49,A_Scoring_Model!$A$5:$A$10,0))</f>
        <v>0.15</v>
      </c>
      <c r="I49" s="39" t="s">
        <v>431</v>
      </c>
      <c r="J49" s="39" t="s">
        <v>531</v>
      </c>
      <c r="K49" s="38" t="s">
        <v>503</v>
      </c>
      <c r="L49" s="39" t="s">
        <v>461</v>
      </c>
      <c r="M49" s="38" t="s">
        <v>462</v>
      </c>
      <c r="N49" s="44" t="n">
        <v>30</v>
      </c>
      <c r="O49" s="44"/>
      <c r="P49" s="39" t="s">
        <v>446</v>
      </c>
      <c r="Q49" s="39" t="s">
        <v>457</v>
      </c>
      <c r="R49" s="39"/>
    </row>
    <row r="50" customFormat="false" ht="23.85" hidden="false" customHeight="false" outlineLevel="0" collapsed="false">
      <c r="A50" s="37" t="s">
        <v>532</v>
      </c>
      <c r="B50" s="38" t="n">
        <v>1</v>
      </c>
      <c r="C50" s="39" t="s">
        <v>190</v>
      </c>
      <c r="D50" s="38" t="s">
        <v>206</v>
      </c>
      <c r="E50" s="39" t="s">
        <v>207</v>
      </c>
      <c r="F50" s="38" t="s">
        <v>56</v>
      </c>
      <c r="G50" s="39" t="s">
        <v>57</v>
      </c>
      <c r="H50" s="40" t="n">
        <f aca="false">INDEX(A_Scoring_Model!$C$5:$C$10,MATCH(F50,A_Scoring_Model!$A$5:$A$10,0))</f>
        <v>0.15</v>
      </c>
      <c r="I50" s="39" t="s">
        <v>431</v>
      </c>
      <c r="J50" s="39" t="s">
        <v>533</v>
      </c>
      <c r="K50" s="38" t="s">
        <v>503</v>
      </c>
      <c r="L50" s="39" t="s">
        <v>461</v>
      </c>
      <c r="M50" s="38" t="s">
        <v>462</v>
      </c>
      <c r="N50" s="44" t="n">
        <v>2</v>
      </c>
      <c r="O50" s="44"/>
      <c r="P50" s="39" t="s">
        <v>446</v>
      </c>
      <c r="Q50" s="39" t="s">
        <v>457</v>
      </c>
      <c r="R50" s="39"/>
    </row>
    <row r="51" customFormat="false" ht="23.85" hidden="false" customHeight="false" outlineLevel="0" collapsed="false">
      <c r="A51" s="37" t="s">
        <v>534</v>
      </c>
      <c r="B51" s="38" t="n">
        <v>1</v>
      </c>
      <c r="C51" s="39" t="s">
        <v>190</v>
      </c>
      <c r="D51" s="38" t="s">
        <v>206</v>
      </c>
      <c r="E51" s="39" t="s">
        <v>207</v>
      </c>
      <c r="F51" s="38" t="s">
        <v>56</v>
      </c>
      <c r="G51" s="39" t="s">
        <v>57</v>
      </c>
      <c r="H51" s="40" t="n">
        <f aca="false">INDEX(A_Scoring_Model!$C$5:$C$10,MATCH(F51,A_Scoring_Model!$A$5:$A$10,0))</f>
        <v>0.15</v>
      </c>
      <c r="I51" s="39" t="s">
        <v>449</v>
      </c>
      <c r="J51" s="39" t="s">
        <v>464</v>
      </c>
      <c r="K51" s="38" t="s">
        <v>433</v>
      </c>
      <c r="L51" s="39" t="s">
        <v>461</v>
      </c>
      <c r="M51" s="38" t="s">
        <v>462</v>
      </c>
      <c r="N51" s="41" t="n">
        <v>0.2</v>
      </c>
      <c r="O51" s="41" t="n">
        <v>0.4</v>
      </c>
      <c r="P51" s="39" t="s">
        <v>436</v>
      </c>
      <c r="Q51" s="39" t="s">
        <v>457</v>
      </c>
      <c r="R51" s="39"/>
    </row>
    <row r="52" customFormat="false" ht="23.85" hidden="false" customHeight="false" outlineLevel="0" collapsed="false">
      <c r="A52" s="37" t="s">
        <v>535</v>
      </c>
      <c r="B52" s="38" t="n">
        <v>1</v>
      </c>
      <c r="C52" s="39" t="s">
        <v>190</v>
      </c>
      <c r="D52" s="38" t="s">
        <v>206</v>
      </c>
      <c r="E52" s="39" t="s">
        <v>207</v>
      </c>
      <c r="F52" s="38" t="s">
        <v>59</v>
      </c>
      <c r="G52" s="39" t="s">
        <v>60</v>
      </c>
      <c r="H52" s="40" t="n">
        <f aca="false">INDEX(A_Scoring_Model!$C$5:$C$10,MATCH(F52,A_Scoring_Model!$A$5:$A$10,0))</f>
        <v>0.1</v>
      </c>
      <c r="I52" s="39" t="s">
        <v>431</v>
      </c>
      <c r="J52" s="39" t="s">
        <v>536</v>
      </c>
      <c r="K52" s="38" t="s">
        <v>433</v>
      </c>
      <c r="L52" s="39" t="s">
        <v>434</v>
      </c>
      <c r="M52" s="38" t="s">
        <v>435</v>
      </c>
      <c r="N52" s="41" t="n">
        <v>1</v>
      </c>
      <c r="O52" s="41"/>
      <c r="P52" s="39" t="s">
        <v>446</v>
      </c>
      <c r="Q52" s="39" t="s">
        <v>467</v>
      </c>
      <c r="R52" s="39"/>
    </row>
    <row r="53" customFormat="false" ht="23.85" hidden="false" customHeight="false" outlineLevel="0" collapsed="false">
      <c r="A53" s="37" t="s">
        <v>537</v>
      </c>
      <c r="B53" s="38" t="n">
        <v>1</v>
      </c>
      <c r="C53" s="39" t="s">
        <v>190</v>
      </c>
      <c r="D53" s="38" t="s">
        <v>206</v>
      </c>
      <c r="E53" s="39" t="s">
        <v>207</v>
      </c>
      <c r="F53" s="38" t="s">
        <v>59</v>
      </c>
      <c r="G53" s="39" t="s">
        <v>60</v>
      </c>
      <c r="H53" s="40" t="n">
        <f aca="false">INDEX(A_Scoring_Model!$C$5:$C$10,MATCH(F53,A_Scoring_Model!$A$5:$A$10,0))</f>
        <v>0.1</v>
      </c>
      <c r="I53" s="39" t="s">
        <v>449</v>
      </c>
      <c r="J53" s="39" t="s">
        <v>471</v>
      </c>
      <c r="K53" s="38" t="s">
        <v>433</v>
      </c>
      <c r="L53" s="39" t="s">
        <v>434</v>
      </c>
      <c r="M53" s="38" t="s">
        <v>435</v>
      </c>
      <c r="N53" s="41" t="n">
        <v>0.995</v>
      </c>
      <c r="O53" s="41" t="n">
        <v>0.99</v>
      </c>
      <c r="P53" s="39" t="s">
        <v>436</v>
      </c>
      <c r="Q53" s="39" t="s">
        <v>467</v>
      </c>
      <c r="R53" s="39"/>
    </row>
    <row r="54" customFormat="false" ht="23.85" hidden="false" customHeight="false" outlineLevel="0" collapsed="false">
      <c r="A54" s="37" t="s">
        <v>538</v>
      </c>
      <c r="B54" s="38" t="n">
        <v>1</v>
      </c>
      <c r="C54" s="39" t="s">
        <v>190</v>
      </c>
      <c r="D54" s="38" t="s">
        <v>206</v>
      </c>
      <c r="E54" s="39" t="s">
        <v>207</v>
      </c>
      <c r="F54" s="38" t="s">
        <v>62</v>
      </c>
      <c r="G54" s="39" t="s">
        <v>63</v>
      </c>
      <c r="H54" s="40" t="n">
        <f aca="false">INDEX(A_Scoring_Model!$C$5:$C$10,MATCH(F54,A_Scoring_Model!$A$5:$A$10,0))</f>
        <v>0.15</v>
      </c>
      <c r="I54" s="39" t="s">
        <v>431</v>
      </c>
      <c r="J54" s="39" t="s">
        <v>539</v>
      </c>
      <c r="K54" s="38" t="s">
        <v>433</v>
      </c>
      <c r="L54" s="39" t="s">
        <v>434</v>
      </c>
      <c r="M54" s="38" t="s">
        <v>435</v>
      </c>
      <c r="N54" s="41" t="n">
        <v>0.7</v>
      </c>
      <c r="O54" s="41"/>
      <c r="P54" s="39" t="s">
        <v>446</v>
      </c>
      <c r="Q54" s="39" t="s">
        <v>474</v>
      </c>
      <c r="R54" s="39"/>
    </row>
    <row r="55" customFormat="false" ht="23.85" hidden="false" customHeight="false" outlineLevel="0" collapsed="false">
      <c r="A55" s="37" t="s">
        <v>540</v>
      </c>
      <c r="B55" s="38" t="n">
        <v>1</v>
      </c>
      <c r="C55" s="39" t="s">
        <v>190</v>
      </c>
      <c r="D55" s="38" t="s">
        <v>206</v>
      </c>
      <c r="E55" s="39" t="s">
        <v>207</v>
      </c>
      <c r="F55" s="38" t="s">
        <v>62</v>
      </c>
      <c r="G55" s="39" t="s">
        <v>63</v>
      </c>
      <c r="H55" s="40" t="n">
        <f aca="false">INDEX(A_Scoring_Model!$C$5:$C$10,MATCH(F55,A_Scoring_Model!$A$5:$A$10,0))</f>
        <v>0.15</v>
      </c>
      <c r="I55" s="39" t="s">
        <v>431</v>
      </c>
      <c r="J55" s="39" t="s">
        <v>541</v>
      </c>
      <c r="K55" s="38" t="s">
        <v>433</v>
      </c>
      <c r="L55" s="39" t="s">
        <v>434</v>
      </c>
      <c r="M55" s="38" t="s">
        <v>435</v>
      </c>
      <c r="N55" s="41" t="n">
        <v>0.9</v>
      </c>
      <c r="O55" s="41"/>
      <c r="P55" s="39" t="s">
        <v>446</v>
      </c>
      <c r="Q55" s="39" t="s">
        <v>474</v>
      </c>
      <c r="R55" s="39"/>
    </row>
    <row r="56" customFormat="false" ht="23.85" hidden="false" customHeight="false" outlineLevel="0" collapsed="false">
      <c r="A56" s="37" t="s">
        <v>542</v>
      </c>
      <c r="B56" s="38" t="n">
        <v>1</v>
      </c>
      <c r="C56" s="39" t="s">
        <v>190</v>
      </c>
      <c r="D56" s="38" t="s">
        <v>206</v>
      </c>
      <c r="E56" s="39" t="s">
        <v>207</v>
      </c>
      <c r="F56" s="38" t="s">
        <v>65</v>
      </c>
      <c r="G56" s="39" t="s">
        <v>66</v>
      </c>
      <c r="H56" s="40" t="n">
        <f aca="false">INDEX(A_Scoring_Model!$C$5:$C$10,MATCH(F56,A_Scoring_Model!$A$5:$A$10,0))</f>
        <v>0.1</v>
      </c>
      <c r="I56" s="39" t="s">
        <v>449</v>
      </c>
      <c r="J56" s="39" t="s">
        <v>478</v>
      </c>
      <c r="K56" s="38" t="s">
        <v>433</v>
      </c>
      <c r="L56" s="39" t="s">
        <v>434</v>
      </c>
      <c r="M56" s="38" t="s">
        <v>435</v>
      </c>
      <c r="N56" s="41" t="n">
        <v>0.8</v>
      </c>
      <c r="O56" s="41" t="n">
        <v>0.6</v>
      </c>
      <c r="P56" s="39" t="s">
        <v>436</v>
      </c>
      <c r="Q56" s="39" t="s">
        <v>479</v>
      </c>
      <c r="R56" s="39"/>
    </row>
    <row r="57" customFormat="false" ht="23.85" hidden="false" customHeight="false" outlineLevel="0" collapsed="false">
      <c r="A57" s="37" t="s">
        <v>543</v>
      </c>
      <c r="B57" s="38" t="n">
        <v>1</v>
      </c>
      <c r="C57" s="39" t="s">
        <v>190</v>
      </c>
      <c r="D57" s="38" t="s">
        <v>206</v>
      </c>
      <c r="E57" s="39" t="s">
        <v>207</v>
      </c>
      <c r="F57" s="38" t="s">
        <v>65</v>
      </c>
      <c r="G57" s="39" t="s">
        <v>66</v>
      </c>
      <c r="H57" s="40" t="n">
        <f aca="false">INDEX(A_Scoring_Model!$C$5:$C$10,MATCH(F57,A_Scoring_Model!$A$5:$A$10,0))</f>
        <v>0.1</v>
      </c>
      <c r="I57" s="39" t="s">
        <v>449</v>
      </c>
      <c r="J57" s="39" t="s">
        <v>481</v>
      </c>
      <c r="K57" s="38" t="s">
        <v>451</v>
      </c>
      <c r="L57" s="39" t="s">
        <v>461</v>
      </c>
      <c r="M57" s="38" t="s">
        <v>462</v>
      </c>
      <c r="N57" s="44" t="n">
        <v>0</v>
      </c>
      <c r="O57" s="44"/>
      <c r="P57" s="39" t="s">
        <v>446</v>
      </c>
      <c r="Q57" s="39" t="s">
        <v>479</v>
      </c>
      <c r="R57" s="39"/>
    </row>
    <row r="58" customFormat="false" ht="23.85" hidden="false" customHeight="false" outlineLevel="0" collapsed="false">
      <c r="A58" s="37" t="s">
        <v>544</v>
      </c>
      <c r="B58" s="38" t="n">
        <v>1</v>
      </c>
      <c r="C58" s="39" t="s">
        <v>190</v>
      </c>
      <c r="D58" s="38" t="s">
        <v>206</v>
      </c>
      <c r="E58" s="39" t="s">
        <v>207</v>
      </c>
      <c r="F58" s="38" t="s">
        <v>65</v>
      </c>
      <c r="G58" s="39" t="s">
        <v>66</v>
      </c>
      <c r="H58" s="40" t="n">
        <f aca="false">INDEX(A_Scoring_Model!$C$5:$C$10,MATCH(F58,A_Scoring_Model!$A$5:$A$10,0))</f>
        <v>0.1</v>
      </c>
      <c r="I58" s="39" t="s">
        <v>449</v>
      </c>
      <c r="J58" s="39" t="s">
        <v>483</v>
      </c>
      <c r="K58" s="38" t="s">
        <v>451</v>
      </c>
      <c r="L58" s="39" t="s">
        <v>461</v>
      </c>
      <c r="M58" s="38" t="s">
        <v>462</v>
      </c>
      <c r="N58" s="44" t="n">
        <v>0</v>
      </c>
      <c r="O58" s="44"/>
      <c r="P58" s="39" t="s">
        <v>446</v>
      </c>
      <c r="Q58" s="39" t="s">
        <v>479</v>
      </c>
      <c r="R58" s="39"/>
    </row>
    <row r="59" customFormat="false" ht="23.85" hidden="false" customHeight="false" outlineLevel="0" collapsed="false">
      <c r="A59" s="37" t="s">
        <v>545</v>
      </c>
      <c r="B59" s="38" t="n">
        <v>1</v>
      </c>
      <c r="C59" s="39" t="s">
        <v>190</v>
      </c>
      <c r="D59" s="38" t="s">
        <v>206</v>
      </c>
      <c r="E59" s="39" t="s">
        <v>207</v>
      </c>
      <c r="F59" s="38" t="s">
        <v>65</v>
      </c>
      <c r="G59" s="39" t="s">
        <v>66</v>
      </c>
      <c r="H59" s="40" t="n">
        <f aca="false">INDEX(A_Scoring_Model!$C$5:$C$10,MATCH(F59,A_Scoring_Model!$A$5:$A$10,0))</f>
        <v>0.1</v>
      </c>
      <c r="I59" s="39" t="s">
        <v>449</v>
      </c>
      <c r="J59" s="39" t="s">
        <v>485</v>
      </c>
      <c r="K59" s="38" t="s">
        <v>445</v>
      </c>
      <c r="L59" s="39" t="s">
        <v>434</v>
      </c>
      <c r="M59" s="38" t="s">
        <v>435</v>
      </c>
      <c r="N59" s="43" t="n">
        <v>1</v>
      </c>
      <c r="O59" s="43"/>
      <c r="P59" s="39" t="s">
        <v>446</v>
      </c>
      <c r="Q59" s="39" t="s">
        <v>479</v>
      </c>
      <c r="R59" s="39"/>
    </row>
    <row r="60" customFormat="false" ht="23.85" hidden="false" customHeight="false" outlineLevel="0" collapsed="false">
      <c r="A60" s="37" t="s">
        <v>546</v>
      </c>
      <c r="B60" s="38" t="n">
        <v>1</v>
      </c>
      <c r="C60" s="39" t="s">
        <v>190</v>
      </c>
      <c r="D60" s="38" t="s">
        <v>206</v>
      </c>
      <c r="E60" s="39" t="s">
        <v>207</v>
      </c>
      <c r="F60" s="38" t="s">
        <v>65</v>
      </c>
      <c r="G60" s="39" t="s">
        <v>66</v>
      </c>
      <c r="H60" s="40" t="n">
        <f aca="false">INDEX(A_Scoring_Model!$C$5:$C$10,MATCH(F60,A_Scoring_Model!$A$5:$A$10,0))</f>
        <v>0.1</v>
      </c>
      <c r="I60" s="39" t="s">
        <v>449</v>
      </c>
      <c r="J60" s="39" t="s">
        <v>487</v>
      </c>
      <c r="K60" s="38" t="s">
        <v>445</v>
      </c>
      <c r="L60" s="39" t="s">
        <v>434</v>
      </c>
      <c r="M60" s="38" t="s">
        <v>435</v>
      </c>
      <c r="N60" s="43" t="n">
        <v>1</v>
      </c>
      <c r="O60" s="43"/>
      <c r="P60" s="39" t="s">
        <v>446</v>
      </c>
      <c r="Q60" s="39" t="s">
        <v>479</v>
      </c>
      <c r="R60" s="39"/>
    </row>
    <row r="61" customFormat="false" ht="23.85" hidden="false" customHeight="false" outlineLevel="0" collapsed="false">
      <c r="A61" s="45" t="s">
        <v>547</v>
      </c>
      <c r="B61" s="21" t="n">
        <v>2</v>
      </c>
      <c r="C61" s="16" t="s">
        <v>213</v>
      </c>
      <c r="D61" s="21" t="s">
        <v>214</v>
      </c>
      <c r="E61" s="16" t="s">
        <v>215</v>
      </c>
      <c r="F61" s="21" t="s">
        <v>50</v>
      </c>
      <c r="G61" s="16" t="s">
        <v>51</v>
      </c>
      <c r="H61" s="46" t="n">
        <f aca="false">INDEX(A_Scoring_Model!$C$5:$C$10,MATCH(F61,A_Scoring_Model!$A$5:$A$10,0))</f>
        <v>0.3</v>
      </c>
      <c r="I61" s="16" t="s">
        <v>431</v>
      </c>
      <c r="J61" s="16" t="s">
        <v>548</v>
      </c>
      <c r="K61" s="21" t="s">
        <v>433</v>
      </c>
      <c r="L61" s="16" t="s">
        <v>434</v>
      </c>
      <c r="M61" s="21" t="s">
        <v>435</v>
      </c>
      <c r="N61" s="48" t="n">
        <v>0.95</v>
      </c>
      <c r="O61" s="48" t="n">
        <v>0.85</v>
      </c>
      <c r="P61" s="16" t="s">
        <v>436</v>
      </c>
      <c r="Q61" s="16" t="s">
        <v>437</v>
      </c>
      <c r="R61" s="16" t="s">
        <v>220</v>
      </c>
    </row>
    <row r="62" customFormat="false" ht="23.85" hidden="false" customHeight="false" outlineLevel="0" collapsed="false">
      <c r="A62" s="45" t="s">
        <v>549</v>
      </c>
      <c r="B62" s="21" t="n">
        <v>2</v>
      </c>
      <c r="C62" s="16" t="s">
        <v>213</v>
      </c>
      <c r="D62" s="21" t="s">
        <v>214</v>
      </c>
      <c r="E62" s="16" t="s">
        <v>215</v>
      </c>
      <c r="F62" s="21" t="s">
        <v>50</v>
      </c>
      <c r="G62" s="16" t="s">
        <v>51</v>
      </c>
      <c r="H62" s="46" t="n">
        <f aca="false">INDEX(A_Scoring_Model!$C$5:$C$10,MATCH(F62,A_Scoring_Model!$A$5:$A$10,0))</f>
        <v>0.3</v>
      </c>
      <c r="I62" s="16" t="s">
        <v>431</v>
      </c>
      <c r="J62" s="16" t="s">
        <v>550</v>
      </c>
      <c r="K62" s="21" t="s">
        <v>551</v>
      </c>
      <c r="L62" s="16" t="s">
        <v>434</v>
      </c>
      <c r="M62" s="21" t="s">
        <v>435</v>
      </c>
      <c r="N62" s="50" t="n">
        <v>4</v>
      </c>
      <c r="O62" s="50" t="n">
        <v>3.3</v>
      </c>
      <c r="P62" s="16" t="s">
        <v>436</v>
      </c>
      <c r="Q62" s="16" t="s">
        <v>437</v>
      </c>
      <c r="R62" s="16" t="s">
        <v>220</v>
      </c>
    </row>
    <row r="63" customFormat="false" ht="23.85" hidden="false" customHeight="false" outlineLevel="0" collapsed="false">
      <c r="A63" s="45" t="s">
        <v>552</v>
      </c>
      <c r="B63" s="21" t="n">
        <v>2</v>
      </c>
      <c r="C63" s="16" t="s">
        <v>213</v>
      </c>
      <c r="D63" s="21" t="s">
        <v>214</v>
      </c>
      <c r="E63" s="16" t="s">
        <v>215</v>
      </c>
      <c r="F63" s="21" t="s">
        <v>50</v>
      </c>
      <c r="G63" s="16" t="s">
        <v>51</v>
      </c>
      <c r="H63" s="46" t="n">
        <f aca="false">INDEX(A_Scoring_Model!$C$5:$C$10,MATCH(F63,A_Scoring_Model!$A$5:$A$10,0))</f>
        <v>0.3</v>
      </c>
      <c r="I63" s="16" t="s">
        <v>431</v>
      </c>
      <c r="J63" s="16" t="s">
        <v>553</v>
      </c>
      <c r="K63" s="21" t="s">
        <v>433</v>
      </c>
      <c r="L63" s="16" t="s">
        <v>434</v>
      </c>
      <c r="M63" s="21" t="s">
        <v>435</v>
      </c>
      <c r="N63" s="48" t="n">
        <v>1</v>
      </c>
      <c r="O63" s="48" t="n">
        <v>0.95</v>
      </c>
      <c r="P63" s="16" t="s">
        <v>436</v>
      </c>
      <c r="Q63" s="16" t="s">
        <v>437</v>
      </c>
      <c r="R63" s="16" t="s">
        <v>220</v>
      </c>
    </row>
    <row r="64" customFormat="false" ht="23.85" hidden="false" customHeight="false" outlineLevel="0" collapsed="false">
      <c r="A64" s="45" t="s">
        <v>554</v>
      </c>
      <c r="B64" s="21" t="n">
        <v>2</v>
      </c>
      <c r="C64" s="16" t="s">
        <v>213</v>
      </c>
      <c r="D64" s="21" t="s">
        <v>214</v>
      </c>
      <c r="E64" s="16" t="s">
        <v>215</v>
      </c>
      <c r="F64" s="21" t="s">
        <v>53</v>
      </c>
      <c r="G64" s="16" t="s">
        <v>54</v>
      </c>
      <c r="H64" s="46" t="n">
        <f aca="false">INDEX(A_Scoring_Model!$C$5:$C$10,MATCH(F64,A_Scoring_Model!$A$5:$A$10,0))</f>
        <v>0.2</v>
      </c>
      <c r="I64" s="16" t="s">
        <v>431</v>
      </c>
      <c r="J64" s="16" t="s">
        <v>555</v>
      </c>
      <c r="K64" s="21" t="s">
        <v>445</v>
      </c>
      <c r="L64" s="16" t="s">
        <v>434</v>
      </c>
      <c r="M64" s="21" t="s">
        <v>435</v>
      </c>
      <c r="N64" s="19" t="n">
        <v>1</v>
      </c>
      <c r="O64" s="19"/>
      <c r="P64" s="16" t="s">
        <v>446</v>
      </c>
      <c r="Q64" s="16" t="s">
        <v>447</v>
      </c>
      <c r="R64" s="16"/>
    </row>
    <row r="65" customFormat="false" ht="23.85" hidden="false" customHeight="false" outlineLevel="0" collapsed="false">
      <c r="A65" s="45" t="s">
        <v>556</v>
      </c>
      <c r="B65" s="21" t="n">
        <v>2</v>
      </c>
      <c r="C65" s="16" t="s">
        <v>213</v>
      </c>
      <c r="D65" s="21" t="s">
        <v>214</v>
      </c>
      <c r="E65" s="16" t="s">
        <v>215</v>
      </c>
      <c r="F65" s="21" t="s">
        <v>53</v>
      </c>
      <c r="G65" s="16" t="s">
        <v>54</v>
      </c>
      <c r="H65" s="46" t="n">
        <f aca="false">INDEX(A_Scoring_Model!$C$5:$C$10,MATCH(F65,A_Scoring_Model!$A$5:$A$10,0))</f>
        <v>0.2</v>
      </c>
      <c r="I65" s="16" t="s">
        <v>449</v>
      </c>
      <c r="J65" s="16" t="s">
        <v>450</v>
      </c>
      <c r="K65" s="21" t="s">
        <v>451</v>
      </c>
      <c r="L65" s="16" t="s">
        <v>434</v>
      </c>
      <c r="M65" s="21" t="s">
        <v>435</v>
      </c>
      <c r="N65" s="49" t="n">
        <v>3</v>
      </c>
      <c r="O65" s="49" t="n">
        <v>2</v>
      </c>
      <c r="P65" s="16" t="s">
        <v>436</v>
      </c>
      <c r="Q65" s="16" t="s">
        <v>447</v>
      </c>
      <c r="R65" s="16"/>
    </row>
    <row r="66" customFormat="false" ht="23.85" hidden="false" customHeight="false" outlineLevel="0" collapsed="false">
      <c r="A66" s="45" t="s">
        <v>557</v>
      </c>
      <c r="B66" s="21" t="n">
        <v>2</v>
      </c>
      <c r="C66" s="16" t="s">
        <v>213</v>
      </c>
      <c r="D66" s="21" t="s">
        <v>214</v>
      </c>
      <c r="E66" s="16" t="s">
        <v>215</v>
      </c>
      <c r="F66" s="21" t="s">
        <v>53</v>
      </c>
      <c r="G66" s="16" t="s">
        <v>54</v>
      </c>
      <c r="H66" s="46" t="n">
        <f aca="false">INDEX(A_Scoring_Model!$C$5:$C$10,MATCH(F66,A_Scoring_Model!$A$5:$A$10,0))</f>
        <v>0.2</v>
      </c>
      <c r="I66" s="16" t="s">
        <v>449</v>
      </c>
      <c r="J66" s="16" t="s">
        <v>453</v>
      </c>
      <c r="K66" s="21" t="s">
        <v>445</v>
      </c>
      <c r="L66" s="16" t="s">
        <v>434</v>
      </c>
      <c r="M66" s="21" t="s">
        <v>435</v>
      </c>
      <c r="N66" s="19" t="n">
        <v>1</v>
      </c>
      <c r="O66" s="19"/>
      <c r="P66" s="16" t="s">
        <v>446</v>
      </c>
      <c r="Q66" s="16" t="s">
        <v>447</v>
      </c>
      <c r="R66" s="16"/>
    </row>
    <row r="67" customFormat="false" ht="23.85" hidden="false" customHeight="false" outlineLevel="0" collapsed="false">
      <c r="A67" s="45" t="s">
        <v>558</v>
      </c>
      <c r="B67" s="21" t="n">
        <v>2</v>
      </c>
      <c r="C67" s="16" t="s">
        <v>213</v>
      </c>
      <c r="D67" s="21" t="s">
        <v>214</v>
      </c>
      <c r="E67" s="16" t="s">
        <v>215</v>
      </c>
      <c r="F67" s="21" t="s">
        <v>56</v>
      </c>
      <c r="G67" s="16" t="s">
        <v>57</v>
      </c>
      <c r="H67" s="46" t="n">
        <f aca="false">INDEX(A_Scoring_Model!$C$5:$C$10,MATCH(F67,A_Scoring_Model!$A$5:$A$10,0))</f>
        <v>0.15</v>
      </c>
      <c r="I67" s="16" t="s">
        <v>431</v>
      </c>
      <c r="J67" s="16" t="s">
        <v>559</v>
      </c>
      <c r="K67" s="21" t="s">
        <v>503</v>
      </c>
      <c r="L67" s="16" t="s">
        <v>461</v>
      </c>
      <c r="M67" s="21" t="s">
        <v>462</v>
      </c>
      <c r="N67" s="49" t="n">
        <v>3</v>
      </c>
      <c r="O67" s="49"/>
      <c r="P67" s="16" t="s">
        <v>446</v>
      </c>
      <c r="Q67" s="16" t="s">
        <v>457</v>
      </c>
      <c r="R67" s="16"/>
    </row>
    <row r="68" customFormat="false" ht="23.85" hidden="false" customHeight="false" outlineLevel="0" collapsed="false">
      <c r="A68" s="45" t="s">
        <v>560</v>
      </c>
      <c r="B68" s="21" t="n">
        <v>2</v>
      </c>
      <c r="C68" s="16" t="s">
        <v>213</v>
      </c>
      <c r="D68" s="21" t="s">
        <v>214</v>
      </c>
      <c r="E68" s="16" t="s">
        <v>215</v>
      </c>
      <c r="F68" s="21" t="s">
        <v>56</v>
      </c>
      <c r="G68" s="16" t="s">
        <v>57</v>
      </c>
      <c r="H68" s="46" t="n">
        <f aca="false">INDEX(A_Scoring_Model!$C$5:$C$10,MATCH(F68,A_Scoring_Model!$A$5:$A$10,0))</f>
        <v>0.15</v>
      </c>
      <c r="I68" s="16" t="s">
        <v>431</v>
      </c>
      <c r="J68" s="16" t="s">
        <v>561</v>
      </c>
      <c r="K68" s="21" t="s">
        <v>451</v>
      </c>
      <c r="L68" s="16" t="s">
        <v>434</v>
      </c>
      <c r="M68" s="21" t="s">
        <v>435</v>
      </c>
      <c r="N68" s="49" t="n">
        <v>50</v>
      </c>
      <c r="O68" s="49"/>
      <c r="P68" s="16" t="s">
        <v>446</v>
      </c>
      <c r="Q68" s="16" t="s">
        <v>457</v>
      </c>
      <c r="R68" s="16"/>
    </row>
    <row r="69" customFormat="false" ht="23.85" hidden="false" customHeight="false" outlineLevel="0" collapsed="false">
      <c r="A69" s="45" t="s">
        <v>562</v>
      </c>
      <c r="B69" s="21" t="n">
        <v>2</v>
      </c>
      <c r="C69" s="16" t="s">
        <v>213</v>
      </c>
      <c r="D69" s="21" t="s">
        <v>214</v>
      </c>
      <c r="E69" s="16" t="s">
        <v>215</v>
      </c>
      <c r="F69" s="21" t="s">
        <v>56</v>
      </c>
      <c r="G69" s="16" t="s">
        <v>57</v>
      </c>
      <c r="H69" s="46" t="n">
        <f aca="false">INDEX(A_Scoring_Model!$C$5:$C$10,MATCH(F69,A_Scoring_Model!$A$5:$A$10,0))</f>
        <v>0.15</v>
      </c>
      <c r="I69" s="16" t="s">
        <v>449</v>
      </c>
      <c r="J69" s="16" t="s">
        <v>464</v>
      </c>
      <c r="K69" s="21" t="s">
        <v>433</v>
      </c>
      <c r="L69" s="16" t="s">
        <v>461</v>
      </c>
      <c r="M69" s="21" t="s">
        <v>462</v>
      </c>
      <c r="N69" s="48" t="n">
        <v>0.2</v>
      </c>
      <c r="O69" s="48" t="n">
        <v>0.4</v>
      </c>
      <c r="P69" s="16" t="s">
        <v>436</v>
      </c>
      <c r="Q69" s="16" t="s">
        <v>457</v>
      </c>
      <c r="R69" s="16"/>
    </row>
    <row r="70" customFormat="false" ht="23.85" hidden="false" customHeight="false" outlineLevel="0" collapsed="false">
      <c r="A70" s="45" t="s">
        <v>563</v>
      </c>
      <c r="B70" s="21" t="n">
        <v>2</v>
      </c>
      <c r="C70" s="16" t="s">
        <v>213</v>
      </c>
      <c r="D70" s="21" t="s">
        <v>214</v>
      </c>
      <c r="E70" s="16" t="s">
        <v>215</v>
      </c>
      <c r="F70" s="21" t="s">
        <v>59</v>
      </c>
      <c r="G70" s="16" t="s">
        <v>60</v>
      </c>
      <c r="H70" s="46" t="n">
        <f aca="false">INDEX(A_Scoring_Model!$C$5:$C$10,MATCH(F70,A_Scoring_Model!$A$5:$A$10,0))</f>
        <v>0.1</v>
      </c>
      <c r="I70" s="16" t="s">
        <v>431</v>
      </c>
      <c r="J70" s="16" t="s">
        <v>564</v>
      </c>
      <c r="K70" s="21" t="s">
        <v>433</v>
      </c>
      <c r="L70" s="16" t="s">
        <v>434</v>
      </c>
      <c r="M70" s="21" t="s">
        <v>435</v>
      </c>
      <c r="N70" s="48" t="n">
        <v>0.9</v>
      </c>
      <c r="O70" s="48"/>
      <c r="P70" s="16" t="s">
        <v>446</v>
      </c>
      <c r="Q70" s="16" t="s">
        <v>467</v>
      </c>
      <c r="R70" s="16"/>
    </row>
    <row r="71" customFormat="false" ht="23.85" hidden="false" customHeight="false" outlineLevel="0" collapsed="false">
      <c r="A71" s="45" t="s">
        <v>565</v>
      </c>
      <c r="B71" s="21" t="n">
        <v>2</v>
      </c>
      <c r="C71" s="16" t="s">
        <v>213</v>
      </c>
      <c r="D71" s="21" t="s">
        <v>214</v>
      </c>
      <c r="E71" s="16" t="s">
        <v>215</v>
      </c>
      <c r="F71" s="21" t="s">
        <v>59</v>
      </c>
      <c r="G71" s="16" t="s">
        <v>60</v>
      </c>
      <c r="H71" s="46" t="n">
        <f aca="false">INDEX(A_Scoring_Model!$C$5:$C$10,MATCH(F71,A_Scoring_Model!$A$5:$A$10,0))</f>
        <v>0.1</v>
      </c>
      <c r="I71" s="16" t="s">
        <v>449</v>
      </c>
      <c r="J71" s="16" t="s">
        <v>471</v>
      </c>
      <c r="K71" s="21" t="s">
        <v>433</v>
      </c>
      <c r="L71" s="16" t="s">
        <v>434</v>
      </c>
      <c r="M71" s="21" t="s">
        <v>435</v>
      </c>
      <c r="N71" s="48" t="n">
        <v>0.995</v>
      </c>
      <c r="O71" s="48" t="n">
        <v>0.99</v>
      </c>
      <c r="P71" s="16" t="s">
        <v>436</v>
      </c>
      <c r="Q71" s="16" t="s">
        <v>467</v>
      </c>
      <c r="R71" s="16"/>
    </row>
    <row r="72" customFormat="false" ht="23.85" hidden="false" customHeight="false" outlineLevel="0" collapsed="false">
      <c r="A72" s="45" t="s">
        <v>566</v>
      </c>
      <c r="B72" s="21" t="n">
        <v>2</v>
      </c>
      <c r="C72" s="16" t="s">
        <v>213</v>
      </c>
      <c r="D72" s="21" t="s">
        <v>214</v>
      </c>
      <c r="E72" s="16" t="s">
        <v>215</v>
      </c>
      <c r="F72" s="21" t="s">
        <v>62</v>
      </c>
      <c r="G72" s="16" t="s">
        <v>63</v>
      </c>
      <c r="H72" s="46" t="n">
        <f aca="false">INDEX(A_Scoring_Model!$C$5:$C$10,MATCH(F72,A_Scoring_Model!$A$5:$A$10,0))</f>
        <v>0.15</v>
      </c>
      <c r="I72" s="16" t="s">
        <v>431</v>
      </c>
      <c r="J72" s="16" t="s">
        <v>567</v>
      </c>
      <c r="K72" s="21" t="s">
        <v>433</v>
      </c>
      <c r="L72" s="16" t="s">
        <v>434</v>
      </c>
      <c r="M72" s="21" t="s">
        <v>435</v>
      </c>
      <c r="N72" s="48" t="n">
        <v>0.5</v>
      </c>
      <c r="O72" s="48"/>
      <c r="P72" s="16" t="s">
        <v>446</v>
      </c>
      <c r="Q72" s="16" t="s">
        <v>474</v>
      </c>
      <c r="R72" s="16"/>
    </row>
    <row r="73" customFormat="false" ht="23.85" hidden="false" customHeight="false" outlineLevel="0" collapsed="false">
      <c r="A73" s="45" t="s">
        <v>568</v>
      </c>
      <c r="B73" s="21" t="n">
        <v>2</v>
      </c>
      <c r="C73" s="16" t="s">
        <v>213</v>
      </c>
      <c r="D73" s="21" t="s">
        <v>214</v>
      </c>
      <c r="E73" s="16" t="s">
        <v>215</v>
      </c>
      <c r="F73" s="21" t="s">
        <v>65</v>
      </c>
      <c r="G73" s="16" t="s">
        <v>66</v>
      </c>
      <c r="H73" s="46" t="n">
        <f aca="false">INDEX(A_Scoring_Model!$C$5:$C$10,MATCH(F73,A_Scoring_Model!$A$5:$A$10,0))</f>
        <v>0.1</v>
      </c>
      <c r="I73" s="16" t="s">
        <v>449</v>
      </c>
      <c r="J73" s="16" t="s">
        <v>478</v>
      </c>
      <c r="K73" s="21" t="s">
        <v>433</v>
      </c>
      <c r="L73" s="16" t="s">
        <v>434</v>
      </c>
      <c r="M73" s="21" t="s">
        <v>435</v>
      </c>
      <c r="N73" s="48" t="n">
        <v>0.8</v>
      </c>
      <c r="O73" s="48" t="n">
        <v>0.6</v>
      </c>
      <c r="P73" s="16" t="s">
        <v>436</v>
      </c>
      <c r="Q73" s="16" t="s">
        <v>479</v>
      </c>
      <c r="R73" s="16"/>
    </row>
    <row r="74" customFormat="false" ht="23.85" hidden="false" customHeight="false" outlineLevel="0" collapsed="false">
      <c r="A74" s="45" t="s">
        <v>569</v>
      </c>
      <c r="B74" s="21" t="n">
        <v>2</v>
      </c>
      <c r="C74" s="16" t="s">
        <v>213</v>
      </c>
      <c r="D74" s="21" t="s">
        <v>214</v>
      </c>
      <c r="E74" s="16" t="s">
        <v>215</v>
      </c>
      <c r="F74" s="21" t="s">
        <v>65</v>
      </c>
      <c r="G74" s="16" t="s">
        <v>66</v>
      </c>
      <c r="H74" s="46" t="n">
        <f aca="false">INDEX(A_Scoring_Model!$C$5:$C$10,MATCH(F74,A_Scoring_Model!$A$5:$A$10,0))</f>
        <v>0.1</v>
      </c>
      <c r="I74" s="16" t="s">
        <v>449</v>
      </c>
      <c r="J74" s="16" t="s">
        <v>481</v>
      </c>
      <c r="K74" s="21" t="s">
        <v>451</v>
      </c>
      <c r="L74" s="16" t="s">
        <v>461</v>
      </c>
      <c r="M74" s="21" t="s">
        <v>462</v>
      </c>
      <c r="N74" s="49" t="n">
        <v>0</v>
      </c>
      <c r="O74" s="49"/>
      <c r="P74" s="16" t="s">
        <v>446</v>
      </c>
      <c r="Q74" s="16" t="s">
        <v>479</v>
      </c>
      <c r="R74" s="16"/>
    </row>
    <row r="75" customFormat="false" ht="23.85" hidden="false" customHeight="false" outlineLevel="0" collapsed="false">
      <c r="A75" s="45" t="s">
        <v>570</v>
      </c>
      <c r="B75" s="21" t="n">
        <v>2</v>
      </c>
      <c r="C75" s="16" t="s">
        <v>213</v>
      </c>
      <c r="D75" s="21" t="s">
        <v>214</v>
      </c>
      <c r="E75" s="16" t="s">
        <v>215</v>
      </c>
      <c r="F75" s="21" t="s">
        <v>65</v>
      </c>
      <c r="G75" s="16" t="s">
        <v>66</v>
      </c>
      <c r="H75" s="46" t="n">
        <f aca="false">INDEX(A_Scoring_Model!$C$5:$C$10,MATCH(F75,A_Scoring_Model!$A$5:$A$10,0))</f>
        <v>0.1</v>
      </c>
      <c r="I75" s="16" t="s">
        <v>449</v>
      </c>
      <c r="J75" s="16" t="s">
        <v>483</v>
      </c>
      <c r="K75" s="21" t="s">
        <v>451</v>
      </c>
      <c r="L75" s="16" t="s">
        <v>461</v>
      </c>
      <c r="M75" s="21" t="s">
        <v>462</v>
      </c>
      <c r="N75" s="49" t="n">
        <v>0</v>
      </c>
      <c r="O75" s="49"/>
      <c r="P75" s="16" t="s">
        <v>446</v>
      </c>
      <c r="Q75" s="16" t="s">
        <v>479</v>
      </c>
      <c r="R75" s="16"/>
    </row>
    <row r="76" customFormat="false" ht="23.85" hidden="false" customHeight="false" outlineLevel="0" collapsed="false">
      <c r="A76" s="45" t="s">
        <v>571</v>
      </c>
      <c r="B76" s="21" t="n">
        <v>2</v>
      </c>
      <c r="C76" s="16" t="s">
        <v>213</v>
      </c>
      <c r="D76" s="21" t="s">
        <v>214</v>
      </c>
      <c r="E76" s="16" t="s">
        <v>215</v>
      </c>
      <c r="F76" s="21" t="s">
        <v>65</v>
      </c>
      <c r="G76" s="16" t="s">
        <v>66</v>
      </c>
      <c r="H76" s="46" t="n">
        <f aca="false">INDEX(A_Scoring_Model!$C$5:$C$10,MATCH(F76,A_Scoring_Model!$A$5:$A$10,0))</f>
        <v>0.1</v>
      </c>
      <c r="I76" s="16" t="s">
        <v>449</v>
      </c>
      <c r="J76" s="16" t="s">
        <v>485</v>
      </c>
      <c r="K76" s="21" t="s">
        <v>445</v>
      </c>
      <c r="L76" s="16" t="s">
        <v>434</v>
      </c>
      <c r="M76" s="21" t="s">
        <v>435</v>
      </c>
      <c r="N76" s="19" t="n">
        <v>1</v>
      </c>
      <c r="O76" s="19"/>
      <c r="P76" s="16" t="s">
        <v>446</v>
      </c>
      <c r="Q76" s="16" t="s">
        <v>479</v>
      </c>
      <c r="R76" s="16"/>
    </row>
    <row r="77" customFormat="false" ht="23.85" hidden="false" customHeight="false" outlineLevel="0" collapsed="false">
      <c r="A77" s="45" t="s">
        <v>572</v>
      </c>
      <c r="B77" s="21" t="n">
        <v>2</v>
      </c>
      <c r="C77" s="16" t="s">
        <v>213</v>
      </c>
      <c r="D77" s="21" t="s">
        <v>214</v>
      </c>
      <c r="E77" s="16" t="s">
        <v>215</v>
      </c>
      <c r="F77" s="21" t="s">
        <v>65</v>
      </c>
      <c r="G77" s="16" t="s">
        <v>66</v>
      </c>
      <c r="H77" s="46" t="n">
        <f aca="false">INDEX(A_Scoring_Model!$C$5:$C$10,MATCH(F77,A_Scoring_Model!$A$5:$A$10,0))</f>
        <v>0.1</v>
      </c>
      <c r="I77" s="16" t="s">
        <v>449</v>
      </c>
      <c r="J77" s="16" t="s">
        <v>487</v>
      </c>
      <c r="K77" s="21" t="s">
        <v>445</v>
      </c>
      <c r="L77" s="16" t="s">
        <v>434</v>
      </c>
      <c r="M77" s="21" t="s">
        <v>435</v>
      </c>
      <c r="N77" s="19" t="n">
        <v>1</v>
      </c>
      <c r="O77" s="19"/>
      <c r="P77" s="16" t="s">
        <v>446</v>
      </c>
      <c r="Q77" s="16" t="s">
        <v>479</v>
      </c>
      <c r="R77" s="16"/>
    </row>
    <row r="78" customFormat="false" ht="23.85" hidden="false" customHeight="false" outlineLevel="0" collapsed="false">
      <c r="A78" s="37" t="s">
        <v>573</v>
      </c>
      <c r="B78" s="38" t="n">
        <v>2</v>
      </c>
      <c r="C78" s="39" t="s">
        <v>213</v>
      </c>
      <c r="D78" s="38" t="s">
        <v>222</v>
      </c>
      <c r="E78" s="39" t="s">
        <v>223</v>
      </c>
      <c r="F78" s="38" t="s">
        <v>50</v>
      </c>
      <c r="G78" s="39" t="s">
        <v>51</v>
      </c>
      <c r="H78" s="40" t="n">
        <f aca="false">INDEX(A_Scoring_Model!$C$5:$C$10,MATCH(F78,A_Scoring_Model!$A$5:$A$10,0))</f>
        <v>0.3</v>
      </c>
      <c r="I78" s="39" t="s">
        <v>431</v>
      </c>
      <c r="J78" s="39" t="s">
        <v>574</v>
      </c>
      <c r="K78" s="38" t="s">
        <v>433</v>
      </c>
      <c r="L78" s="39" t="s">
        <v>461</v>
      </c>
      <c r="M78" s="38" t="s">
        <v>462</v>
      </c>
      <c r="N78" s="41" t="n">
        <v>0.2</v>
      </c>
      <c r="O78" s="41" t="n">
        <v>0.3</v>
      </c>
      <c r="P78" s="39" t="s">
        <v>436</v>
      </c>
      <c r="Q78" s="39" t="s">
        <v>437</v>
      </c>
      <c r="R78" s="39" t="s">
        <v>228</v>
      </c>
    </row>
    <row r="79" customFormat="false" ht="23.85" hidden="false" customHeight="false" outlineLevel="0" collapsed="false">
      <c r="A79" s="37" t="s">
        <v>575</v>
      </c>
      <c r="B79" s="38" t="n">
        <v>2</v>
      </c>
      <c r="C79" s="39" t="s">
        <v>213</v>
      </c>
      <c r="D79" s="38" t="s">
        <v>222</v>
      </c>
      <c r="E79" s="39" t="s">
        <v>223</v>
      </c>
      <c r="F79" s="38" t="s">
        <v>50</v>
      </c>
      <c r="G79" s="39" t="s">
        <v>51</v>
      </c>
      <c r="H79" s="40" t="n">
        <f aca="false">INDEX(A_Scoring_Model!$C$5:$C$10,MATCH(F79,A_Scoring_Model!$A$5:$A$10,0))</f>
        <v>0.3</v>
      </c>
      <c r="I79" s="39" t="s">
        <v>431</v>
      </c>
      <c r="J79" s="39" t="s">
        <v>576</v>
      </c>
      <c r="K79" s="38" t="s">
        <v>433</v>
      </c>
      <c r="L79" s="39" t="s">
        <v>434</v>
      </c>
      <c r="M79" s="38" t="s">
        <v>435</v>
      </c>
      <c r="N79" s="41" t="n">
        <v>0.75</v>
      </c>
      <c r="O79" s="41" t="n">
        <v>0.6</v>
      </c>
      <c r="P79" s="39" t="s">
        <v>436</v>
      </c>
      <c r="Q79" s="39" t="s">
        <v>437</v>
      </c>
      <c r="R79" s="39" t="s">
        <v>228</v>
      </c>
    </row>
    <row r="80" customFormat="false" ht="23.85" hidden="false" customHeight="false" outlineLevel="0" collapsed="false">
      <c r="A80" s="37" t="s">
        <v>577</v>
      </c>
      <c r="B80" s="38" t="n">
        <v>2</v>
      </c>
      <c r="C80" s="39" t="s">
        <v>213</v>
      </c>
      <c r="D80" s="38" t="s">
        <v>222</v>
      </c>
      <c r="E80" s="39" t="s">
        <v>223</v>
      </c>
      <c r="F80" s="38" t="s">
        <v>50</v>
      </c>
      <c r="G80" s="39" t="s">
        <v>51</v>
      </c>
      <c r="H80" s="40" t="n">
        <f aca="false">INDEX(A_Scoring_Model!$C$5:$C$10,MATCH(F80,A_Scoring_Model!$A$5:$A$10,0))</f>
        <v>0.3</v>
      </c>
      <c r="I80" s="39" t="s">
        <v>431</v>
      </c>
      <c r="J80" s="39" t="s">
        <v>578</v>
      </c>
      <c r="K80" s="38" t="s">
        <v>433</v>
      </c>
      <c r="L80" s="39" t="s">
        <v>434</v>
      </c>
      <c r="M80" s="38" t="s">
        <v>435</v>
      </c>
      <c r="N80" s="41" t="n">
        <v>0.8</v>
      </c>
      <c r="O80" s="41" t="n">
        <v>0.7</v>
      </c>
      <c r="P80" s="39" t="s">
        <v>436</v>
      </c>
      <c r="Q80" s="39" t="s">
        <v>437</v>
      </c>
      <c r="R80" s="39" t="s">
        <v>228</v>
      </c>
    </row>
    <row r="81" customFormat="false" ht="23.85" hidden="false" customHeight="false" outlineLevel="0" collapsed="false">
      <c r="A81" s="37" t="s">
        <v>579</v>
      </c>
      <c r="B81" s="38" t="n">
        <v>2</v>
      </c>
      <c r="C81" s="39" t="s">
        <v>213</v>
      </c>
      <c r="D81" s="38" t="s">
        <v>222</v>
      </c>
      <c r="E81" s="39" t="s">
        <v>223</v>
      </c>
      <c r="F81" s="38" t="s">
        <v>53</v>
      </c>
      <c r="G81" s="39" t="s">
        <v>54</v>
      </c>
      <c r="H81" s="40" t="n">
        <f aca="false">INDEX(A_Scoring_Model!$C$5:$C$10,MATCH(F81,A_Scoring_Model!$A$5:$A$10,0))</f>
        <v>0.2</v>
      </c>
      <c r="I81" s="39" t="s">
        <v>431</v>
      </c>
      <c r="J81" s="39" t="s">
        <v>580</v>
      </c>
      <c r="K81" s="38" t="s">
        <v>445</v>
      </c>
      <c r="L81" s="39" t="s">
        <v>434</v>
      </c>
      <c r="M81" s="38" t="s">
        <v>435</v>
      </c>
      <c r="N81" s="43" t="n">
        <v>1</v>
      </c>
      <c r="O81" s="43"/>
      <c r="P81" s="39" t="s">
        <v>446</v>
      </c>
      <c r="Q81" s="39" t="s">
        <v>447</v>
      </c>
      <c r="R81" s="39"/>
    </row>
    <row r="82" customFormat="false" ht="23.85" hidden="false" customHeight="false" outlineLevel="0" collapsed="false">
      <c r="A82" s="37" t="s">
        <v>581</v>
      </c>
      <c r="B82" s="38" t="n">
        <v>2</v>
      </c>
      <c r="C82" s="39" t="s">
        <v>213</v>
      </c>
      <c r="D82" s="38" t="s">
        <v>222</v>
      </c>
      <c r="E82" s="39" t="s">
        <v>223</v>
      </c>
      <c r="F82" s="38" t="s">
        <v>53</v>
      </c>
      <c r="G82" s="39" t="s">
        <v>54</v>
      </c>
      <c r="H82" s="40" t="n">
        <f aca="false">INDEX(A_Scoring_Model!$C$5:$C$10,MATCH(F82,A_Scoring_Model!$A$5:$A$10,0))</f>
        <v>0.2</v>
      </c>
      <c r="I82" s="39" t="s">
        <v>449</v>
      </c>
      <c r="J82" s="39" t="s">
        <v>450</v>
      </c>
      <c r="K82" s="38" t="s">
        <v>451</v>
      </c>
      <c r="L82" s="39" t="s">
        <v>434</v>
      </c>
      <c r="M82" s="38" t="s">
        <v>435</v>
      </c>
      <c r="N82" s="44" t="n">
        <v>3</v>
      </c>
      <c r="O82" s="44" t="n">
        <v>2</v>
      </c>
      <c r="P82" s="39" t="s">
        <v>436</v>
      </c>
      <c r="Q82" s="39" t="s">
        <v>447</v>
      </c>
      <c r="R82" s="39"/>
    </row>
    <row r="83" customFormat="false" ht="23.85" hidden="false" customHeight="false" outlineLevel="0" collapsed="false">
      <c r="A83" s="37" t="s">
        <v>582</v>
      </c>
      <c r="B83" s="38" t="n">
        <v>2</v>
      </c>
      <c r="C83" s="39" t="s">
        <v>213</v>
      </c>
      <c r="D83" s="38" t="s">
        <v>222</v>
      </c>
      <c r="E83" s="39" t="s">
        <v>223</v>
      </c>
      <c r="F83" s="38" t="s">
        <v>53</v>
      </c>
      <c r="G83" s="39" t="s">
        <v>54</v>
      </c>
      <c r="H83" s="40" t="n">
        <f aca="false">INDEX(A_Scoring_Model!$C$5:$C$10,MATCH(F83,A_Scoring_Model!$A$5:$A$10,0))</f>
        <v>0.2</v>
      </c>
      <c r="I83" s="39" t="s">
        <v>449</v>
      </c>
      <c r="J83" s="39" t="s">
        <v>453</v>
      </c>
      <c r="K83" s="38" t="s">
        <v>445</v>
      </c>
      <c r="L83" s="39" t="s">
        <v>434</v>
      </c>
      <c r="M83" s="38" t="s">
        <v>435</v>
      </c>
      <c r="N83" s="43" t="n">
        <v>1</v>
      </c>
      <c r="O83" s="43"/>
      <c r="P83" s="39" t="s">
        <v>446</v>
      </c>
      <c r="Q83" s="39" t="s">
        <v>447</v>
      </c>
      <c r="R83" s="39"/>
    </row>
    <row r="84" customFormat="false" ht="23.85" hidden="false" customHeight="false" outlineLevel="0" collapsed="false">
      <c r="A84" s="37" t="s">
        <v>583</v>
      </c>
      <c r="B84" s="38" t="n">
        <v>2</v>
      </c>
      <c r="C84" s="39" t="s">
        <v>213</v>
      </c>
      <c r="D84" s="38" t="s">
        <v>222</v>
      </c>
      <c r="E84" s="39" t="s">
        <v>223</v>
      </c>
      <c r="F84" s="38" t="s">
        <v>56</v>
      </c>
      <c r="G84" s="39" t="s">
        <v>57</v>
      </c>
      <c r="H84" s="40" t="n">
        <f aca="false">INDEX(A_Scoring_Model!$C$5:$C$10,MATCH(F84,A_Scoring_Model!$A$5:$A$10,0))</f>
        <v>0.15</v>
      </c>
      <c r="I84" s="39" t="s">
        <v>431</v>
      </c>
      <c r="J84" s="39" t="s">
        <v>584</v>
      </c>
      <c r="K84" s="38" t="s">
        <v>585</v>
      </c>
      <c r="L84" s="39" t="s">
        <v>461</v>
      </c>
      <c r="M84" s="38" t="s">
        <v>462</v>
      </c>
      <c r="N84" s="44" t="n">
        <v>200</v>
      </c>
      <c r="O84" s="44"/>
      <c r="P84" s="39" t="s">
        <v>446</v>
      </c>
      <c r="Q84" s="39" t="s">
        <v>457</v>
      </c>
      <c r="R84" s="39"/>
    </row>
    <row r="85" customFormat="false" ht="23.85" hidden="false" customHeight="false" outlineLevel="0" collapsed="false">
      <c r="A85" s="37" t="s">
        <v>586</v>
      </c>
      <c r="B85" s="38" t="n">
        <v>2</v>
      </c>
      <c r="C85" s="39" t="s">
        <v>213</v>
      </c>
      <c r="D85" s="38" t="s">
        <v>222</v>
      </c>
      <c r="E85" s="39" t="s">
        <v>223</v>
      </c>
      <c r="F85" s="38" t="s">
        <v>56</v>
      </c>
      <c r="G85" s="39" t="s">
        <v>57</v>
      </c>
      <c r="H85" s="40" t="n">
        <f aca="false">INDEX(A_Scoring_Model!$C$5:$C$10,MATCH(F85,A_Scoring_Model!$A$5:$A$10,0))</f>
        <v>0.15</v>
      </c>
      <c r="I85" s="39" t="s">
        <v>431</v>
      </c>
      <c r="J85" s="39" t="s">
        <v>587</v>
      </c>
      <c r="K85" s="38" t="s">
        <v>588</v>
      </c>
      <c r="L85" s="39" t="s">
        <v>461</v>
      </c>
      <c r="M85" s="38" t="s">
        <v>462</v>
      </c>
      <c r="N85" s="44" t="n">
        <v>1</v>
      </c>
      <c r="O85" s="44"/>
      <c r="P85" s="39" t="s">
        <v>446</v>
      </c>
      <c r="Q85" s="39" t="s">
        <v>457</v>
      </c>
      <c r="R85" s="39"/>
    </row>
    <row r="86" customFormat="false" ht="23.85" hidden="false" customHeight="false" outlineLevel="0" collapsed="false">
      <c r="A86" s="37" t="s">
        <v>589</v>
      </c>
      <c r="B86" s="38" t="n">
        <v>2</v>
      </c>
      <c r="C86" s="39" t="s">
        <v>213</v>
      </c>
      <c r="D86" s="38" t="s">
        <v>222</v>
      </c>
      <c r="E86" s="39" t="s">
        <v>223</v>
      </c>
      <c r="F86" s="38" t="s">
        <v>56</v>
      </c>
      <c r="G86" s="39" t="s">
        <v>57</v>
      </c>
      <c r="H86" s="40" t="n">
        <f aca="false">INDEX(A_Scoring_Model!$C$5:$C$10,MATCH(F86,A_Scoring_Model!$A$5:$A$10,0))</f>
        <v>0.15</v>
      </c>
      <c r="I86" s="39" t="s">
        <v>449</v>
      </c>
      <c r="J86" s="39" t="s">
        <v>464</v>
      </c>
      <c r="K86" s="38" t="s">
        <v>433</v>
      </c>
      <c r="L86" s="39" t="s">
        <v>461</v>
      </c>
      <c r="M86" s="38" t="s">
        <v>462</v>
      </c>
      <c r="N86" s="41" t="n">
        <v>0.2</v>
      </c>
      <c r="O86" s="41" t="n">
        <v>0.4</v>
      </c>
      <c r="P86" s="39" t="s">
        <v>436</v>
      </c>
      <c r="Q86" s="39" t="s">
        <v>457</v>
      </c>
      <c r="R86" s="39"/>
    </row>
    <row r="87" customFormat="false" ht="23.85" hidden="false" customHeight="false" outlineLevel="0" collapsed="false">
      <c r="A87" s="37" t="s">
        <v>590</v>
      </c>
      <c r="B87" s="38" t="n">
        <v>2</v>
      </c>
      <c r="C87" s="39" t="s">
        <v>213</v>
      </c>
      <c r="D87" s="38" t="s">
        <v>222</v>
      </c>
      <c r="E87" s="39" t="s">
        <v>223</v>
      </c>
      <c r="F87" s="38" t="s">
        <v>59</v>
      </c>
      <c r="G87" s="39" t="s">
        <v>60</v>
      </c>
      <c r="H87" s="40" t="n">
        <f aca="false">INDEX(A_Scoring_Model!$C$5:$C$10,MATCH(F87,A_Scoring_Model!$A$5:$A$10,0))</f>
        <v>0.1</v>
      </c>
      <c r="I87" s="39" t="s">
        <v>431</v>
      </c>
      <c r="J87" s="39" t="s">
        <v>591</v>
      </c>
      <c r="K87" s="38" t="s">
        <v>592</v>
      </c>
      <c r="L87" s="39" t="s">
        <v>461</v>
      </c>
      <c r="M87" s="38" t="s">
        <v>462</v>
      </c>
      <c r="N87" s="42" t="n">
        <v>0.2</v>
      </c>
      <c r="O87" s="42"/>
      <c r="P87" s="39" t="s">
        <v>446</v>
      </c>
      <c r="Q87" s="39" t="s">
        <v>467</v>
      </c>
      <c r="R87" s="39"/>
    </row>
    <row r="88" customFormat="false" ht="23.85" hidden="false" customHeight="false" outlineLevel="0" collapsed="false">
      <c r="A88" s="37" t="s">
        <v>593</v>
      </c>
      <c r="B88" s="38" t="n">
        <v>2</v>
      </c>
      <c r="C88" s="39" t="s">
        <v>213</v>
      </c>
      <c r="D88" s="38" t="s">
        <v>222</v>
      </c>
      <c r="E88" s="39" t="s">
        <v>223</v>
      </c>
      <c r="F88" s="38" t="s">
        <v>59</v>
      </c>
      <c r="G88" s="39" t="s">
        <v>60</v>
      </c>
      <c r="H88" s="40" t="n">
        <f aca="false">INDEX(A_Scoring_Model!$C$5:$C$10,MATCH(F88,A_Scoring_Model!$A$5:$A$10,0))</f>
        <v>0.1</v>
      </c>
      <c r="I88" s="39" t="s">
        <v>431</v>
      </c>
      <c r="J88" s="39" t="s">
        <v>594</v>
      </c>
      <c r="K88" s="38" t="s">
        <v>433</v>
      </c>
      <c r="L88" s="39" t="s">
        <v>434</v>
      </c>
      <c r="M88" s="38" t="s">
        <v>435</v>
      </c>
      <c r="N88" s="41" t="n">
        <v>1</v>
      </c>
      <c r="O88" s="41"/>
      <c r="P88" s="39" t="s">
        <v>446</v>
      </c>
      <c r="Q88" s="39" t="s">
        <v>467</v>
      </c>
      <c r="R88" s="39"/>
    </row>
    <row r="89" customFormat="false" ht="23.85" hidden="false" customHeight="false" outlineLevel="0" collapsed="false">
      <c r="A89" s="37" t="s">
        <v>595</v>
      </c>
      <c r="B89" s="38" t="n">
        <v>2</v>
      </c>
      <c r="C89" s="39" t="s">
        <v>213</v>
      </c>
      <c r="D89" s="38" t="s">
        <v>222</v>
      </c>
      <c r="E89" s="39" t="s">
        <v>223</v>
      </c>
      <c r="F89" s="38" t="s">
        <v>59</v>
      </c>
      <c r="G89" s="39" t="s">
        <v>60</v>
      </c>
      <c r="H89" s="40" t="n">
        <f aca="false">INDEX(A_Scoring_Model!$C$5:$C$10,MATCH(F89,A_Scoring_Model!$A$5:$A$10,0))</f>
        <v>0.1</v>
      </c>
      <c r="I89" s="39" t="s">
        <v>449</v>
      </c>
      <c r="J89" s="39" t="s">
        <v>471</v>
      </c>
      <c r="K89" s="38" t="s">
        <v>433</v>
      </c>
      <c r="L89" s="39" t="s">
        <v>434</v>
      </c>
      <c r="M89" s="38" t="s">
        <v>435</v>
      </c>
      <c r="N89" s="41" t="n">
        <v>0.995</v>
      </c>
      <c r="O89" s="41" t="n">
        <v>0.99</v>
      </c>
      <c r="P89" s="39" t="s">
        <v>436</v>
      </c>
      <c r="Q89" s="39" t="s">
        <v>467</v>
      </c>
      <c r="R89" s="39"/>
    </row>
    <row r="90" customFormat="false" ht="23.85" hidden="false" customHeight="false" outlineLevel="0" collapsed="false">
      <c r="A90" s="37" t="s">
        <v>596</v>
      </c>
      <c r="B90" s="38" t="n">
        <v>2</v>
      </c>
      <c r="C90" s="39" t="s">
        <v>213</v>
      </c>
      <c r="D90" s="38" t="s">
        <v>222</v>
      </c>
      <c r="E90" s="39" t="s">
        <v>223</v>
      </c>
      <c r="F90" s="38" t="s">
        <v>62</v>
      </c>
      <c r="G90" s="39" t="s">
        <v>63</v>
      </c>
      <c r="H90" s="40" t="n">
        <f aca="false">INDEX(A_Scoring_Model!$C$5:$C$10,MATCH(F90,A_Scoring_Model!$A$5:$A$10,0))</f>
        <v>0.15</v>
      </c>
      <c r="I90" s="39" t="s">
        <v>431</v>
      </c>
      <c r="J90" s="39" t="s">
        <v>597</v>
      </c>
      <c r="K90" s="38" t="s">
        <v>433</v>
      </c>
      <c r="L90" s="39" t="s">
        <v>434</v>
      </c>
      <c r="M90" s="38" t="s">
        <v>435</v>
      </c>
      <c r="N90" s="41" t="n">
        <v>0.3</v>
      </c>
      <c r="O90" s="41"/>
      <c r="P90" s="39" t="s">
        <v>446</v>
      </c>
      <c r="Q90" s="39" t="s">
        <v>474</v>
      </c>
      <c r="R90" s="39"/>
    </row>
    <row r="91" customFormat="false" ht="23.85" hidden="false" customHeight="false" outlineLevel="0" collapsed="false">
      <c r="A91" s="37" t="s">
        <v>598</v>
      </c>
      <c r="B91" s="38" t="n">
        <v>2</v>
      </c>
      <c r="C91" s="39" t="s">
        <v>213</v>
      </c>
      <c r="D91" s="38" t="s">
        <v>222</v>
      </c>
      <c r="E91" s="39" t="s">
        <v>223</v>
      </c>
      <c r="F91" s="38" t="s">
        <v>65</v>
      </c>
      <c r="G91" s="39" t="s">
        <v>66</v>
      </c>
      <c r="H91" s="40" t="n">
        <f aca="false">INDEX(A_Scoring_Model!$C$5:$C$10,MATCH(F91,A_Scoring_Model!$A$5:$A$10,0))</f>
        <v>0.1</v>
      </c>
      <c r="I91" s="39" t="s">
        <v>449</v>
      </c>
      <c r="J91" s="39" t="s">
        <v>478</v>
      </c>
      <c r="K91" s="38" t="s">
        <v>433</v>
      </c>
      <c r="L91" s="39" t="s">
        <v>434</v>
      </c>
      <c r="M91" s="38" t="s">
        <v>435</v>
      </c>
      <c r="N91" s="41" t="n">
        <v>0.8</v>
      </c>
      <c r="O91" s="41" t="n">
        <v>0.6</v>
      </c>
      <c r="P91" s="39" t="s">
        <v>436</v>
      </c>
      <c r="Q91" s="39" t="s">
        <v>479</v>
      </c>
      <c r="R91" s="39"/>
    </row>
    <row r="92" customFormat="false" ht="23.85" hidden="false" customHeight="false" outlineLevel="0" collapsed="false">
      <c r="A92" s="37" t="s">
        <v>599</v>
      </c>
      <c r="B92" s="38" t="n">
        <v>2</v>
      </c>
      <c r="C92" s="39" t="s">
        <v>213</v>
      </c>
      <c r="D92" s="38" t="s">
        <v>222</v>
      </c>
      <c r="E92" s="39" t="s">
        <v>223</v>
      </c>
      <c r="F92" s="38" t="s">
        <v>65</v>
      </c>
      <c r="G92" s="39" t="s">
        <v>66</v>
      </c>
      <c r="H92" s="40" t="n">
        <f aca="false">INDEX(A_Scoring_Model!$C$5:$C$10,MATCH(F92,A_Scoring_Model!$A$5:$A$10,0))</f>
        <v>0.1</v>
      </c>
      <c r="I92" s="39" t="s">
        <v>449</v>
      </c>
      <c r="J92" s="39" t="s">
        <v>481</v>
      </c>
      <c r="K92" s="38" t="s">
        <v>451</v>
      </c>
      <c r="L92" s="39" t="s">
        <v>461</v>
      </c>
      <c r="M92" s="38" t="s">
        <v>462</v>
      </c>
      <c r="N92" s="44" t="n">
        <v>0</v>
      </c>
      <c r="O92" s="44"/>
      <c r="P92" s="39" t="s">
        <v>446</v>
      </c>
      <c r="Q92" s="39" t="s">
        <v>479</v>
      </c>
      <c r="R92" s="39"/>
    </row>
    <row r="93" customFormat="false" ht="23.85" hidden="false" customHeight="false" outlineLevel="0" collapsed="false">
      <c r="A93" s="37" t="s">
        <v>600</v>
      </c>
      <c r="B93" s="38" t="n">
        <v>2</v>
      </c>
      <c r="C93" s="39" t="s">
        <v>213</v>
      </c>
      <c r="D93" s="38" t="s">
        <v>222</v>
      </c>
      <c r="E93" s="39" t="s">
        <v>223</v>
      </c>
      <c r="F93" s="38" t="s">
        <v>65</v>
      </c>
      <c r="G93" s="39" t="s">
        <v>66</v>
      </c>
      <c r="H93" s="40" t="n">
        <f aca="false">INDEX(A_Scoring_Model!$C$5:$C$10,MATCH(F93,A_Scoring_Model!$A$5:$A$10,0))</f>
        <v>0.1</v>
      </c>
      <c r="I93" s="39" t="s">
        <v>449</v>
      </c>
      <c r="J93" s="39" t="s">
        <v>483</v>
      </c>
      <c r="K93" s="38" t="s">
        <v>451</v>
      </c>
      <c r="L93" s="39" t="s">
        <v>461</v>
      </c>
      <c r="M93" s="38" t="s">
        <v>462</v>
      </c>
      <c r="N93" s="44" t="n">
        <v>0</v>
      </c>
      <c r="O93" s="44"/>
      <c r="P93" s="39" t="s">
        <v>446</v>
      </c>
      <c r="Q93" s="39" t="s">
        <v>479</v>
      </c>
      <c r="R93" s="39"/>
    </row>
    <row r="94" customFormat="false" ht="23.85" hidden="false" customHeight="false" outlineLevel="0" collapsed="false">
      <c r="A94" s="37" t="s">
        <v>601</v>
      </c>
      <c r="B94" s="38" t="n">
        <v>2</v>
      </c>
      <c r="C94" s="39" t="s">
        <v>213</v>
      </c>
      <c r="D94" s="38" t="s">
        <v>222</v>
      </c>
      <c r="E94" s="39" t="s">
        <v>223</v>
      </c>
      <c r="F94" s="38" t="s">
        <v>65</v>
      </c>
      <c r="G94" s="39" t="s">
        <v>66</v>
      </c>
      <c r="H94" s="40" t="n">
        <f aca="false">INDEX(A_Scoring_Model!$C$5:$C$10,MATCH(F94,A_Scoring_Model!$A$5:$A$10,0))</f>
        <v>0.1</v>
      </c>
      <c r="I94" s="39" t="s">
        <v>449</v>
      </c>
      <c r="J94" s="39" t="s">
        <v>485</v>
      </c>
      <c r="K94" s="38" t="s">
        <v>445</v>
      </c>
      <c r="L94" s="39" t="s">
        <v>434</v>
      </c>
      <c r="M94" s="38" t="s">
        <v>435</v>
      </c>
      <c r="N94" s="43" t="n">
        <v>1</v>
      </c>
      <c r="O94" s="43"/>
      <c r="P94" s="39" t="s">
        <v>446</v>
      </c>
      <c r="Q94" s="39" t="s">
        <v>479</v>
      </c>
      <c r="R94" s="39"/>
    </row>
    <row r="95" customFormat="false" ht="23.85" hidden="false" customHeight="false" outlineLevel="0" collapsed="false">
      <c r="A95" s="37" t="s">
        <v>602</v>
      </c>
      <c r="B95" s="38" t="n">
        <v>2</v>
      </c>
      <c r="C95" s="39" t="s">
        <v>213</v>
      </c>
      <c r="D95" s="38" t="s">
        <v>222</v>
      </c>
      <c r="E95" s="39" t="s">
        <v>223</v>
      </c>
      <c r="F95" s="38" t="s">
        <v>65</v>
      </c>
      <c r="G95" s="39" t="s">
        <v>66</v>
      </c>
      <c r="H95" s="40" t="n">
        <f aca="false">INDEX(A_Scoring_Model!$C$5:$C$10,MATCH(F95,A_Scoring_Model!$A$5:$A$10,0))</f>
        <v>0.1</v>
      </c>
      <c r="I95" s="39" t="s">
        <v>449</v>
      </c>
      <c r="J95" s="39" t="s">
        <v>487</v>
      </c>
      <c r="K95" s="38" t="s">
        <v>445</v>
      </c>
      <c r="L95" s="39" t="s">
        <v>434</v>
      </c>
      <c r="M95" s="38" t="s">
        <v>435</v>
      </c>
      <c r="N95" s="43" t="n">
        <v>1</v>
      </c>
      <c r="O95" s="43"/>
      <c r="P95" s="39" t="s">
        <v>446</v>
      </c>
      <c r="Q95" s="39" t="s">
        <v>479</v>
      </c>
      <c r="R95" s="39"/>
    </row>
    <row r="96" customFormat="false" ht="23.85" hidden="false" customHeight="false" outlineLevel="0" collapsed="false">
      <c r="A96" s="45" t="s">
        <v>603</v>
      </c>
      <c r="B96" s="21" t="n">
        <v>2</v>
      </c>
      <c r="C96" s="16" t="s">
        <v>213</v>
      </c>
      <c r="D96" s="21" t="s">
        <v>230</v>
      </c>
      <c r="E96" s="16" t="s">
        <v>231</v>
      </c>
      <c r="F96" s="21" t="s">
        <v>50</v>
      </c>
      <c r="G96" s="16" t="s">
        <v>51</v>
      </c>
      <c r="H96" s="46" t="n">
        <f aca="false">INDEX(A_Scoring_Model!$C$5:$C$10,MATCH(F96,A_Scoring_Model!$A$5:$A$10,0))</f>
        <v>0.3</v>
      </c>
      <c r="I96" s="16" t="s">
        <v>431</v>
      </c>
      <c r="J96" s="16" t="s">
        <v>604</v>
      </c>
      <c r="K96" s="21" t="s">
        <v>433</v>
      </c>
      <c r="L96" s="16" t="s">
        <v>434</v>
      </c>
      <c r="M96" s="21" t="s">
        <v>435</v>
      </c>
      <c r="N96" s="48" t="n">
        <v>0.8</v>
      </c>
      <c r="O96" s="48" t="n">
        <v>0.65</v>
      </c>
      <c r="P96" s="16" t="s">
        <v>436</v>
      </c>
      <c r="Q96" s="16" t="s">
        <v>437</v>
      </c>
      <c r="R96" s="16" t="s">
        <v>236</v>
      </c>
    </row>
    <row r="97" customFormat="false" ht="23.85" hidden="false" customHeight="false" outlineLevel="0" collapsed="false">
      <c r="A97" s="45" t="s">
        <v>605</v>
      </c>
      <c r="B97" s="21" t="n">
        <v>2</v>
      </c>
      <c r="C97" s="16" t="s">
        <v>213</v>
      </c>
      <c r="D97" s="21" t="s">
        <v>230</v>
      </c>
      <c r="E97" s="16" t="s">
        <v>231</v>
      </c>
      <c r="F97" s="21" t="s">
        <v>50</v>
      </c>
      <c r="G97" s="16" t="s">
        <v>51</v>
      </c>
      <c r="H97" s="46" t="n">
        <f aca="false">INDEX(A_Scoring_Model!$C$5:$C$10,MATCH(F97,A_Scoring_Model!$A$5:$A$10,0))</f>
        <v>0.3</v>
      </c>
      <c r="I97" s="16" t="s">
        <v>431</v>
      </c>
      <c r="J97" s="16" t="s">
        <v>606</v>
      </c>
      <c r="K97" s="21" t="s">
        <v>433</v>
      </c>
      <c r="L97" s="16" t="s">
        <v>434</v>
      </c>
      <c r="M97" s="21" t="s">
        <v>435</v>
      </c>
      <c r="N97" s="48" t="n">
        <v>0.95</v>
      </c>
      <c r="O97" s="48" t="n">
        <v>0.85</v>
      </c>
      <c r="P97" s="16" t="s">
        <v>436</v>
      </c>
      <c r="Q97" s="16" t="s">
        <v>437</v>
      </c>
      <c r="R97" s="16" t="s">
        <v>236</v>
      </c>
    </row>
    <row r="98" customFormat="false" ht="23.85" hidden="false" customHeight="false" outlineLevel="0" collapsed="false">
      <c r="A98" s="45" t="s">
        <v>607</v>
      </c>
      <c r="B98" s="21" t="n">
        <v>2</v>
      </c>
      <c r="C98" s="16" t="s">
        <v>213</v>
      </c>
      <c r="D98" s="21" t="s">
        <v>230</v>
      </c>
      <c r="E98" s="16" t="s">
        <v>231</v>
      </c>
      <c r="F98" s="21" t="s">
        <v>50</v>
      </c>
      <c r="G98" s="16" t="s">
        <v>51</v>
      </c>
      <c r="H98" s="46" t="n">
        <f aca="false">INDEX(A_Scoring_Model!$C$5:$C$10,MATCH(F98,A_Scoring_Model!$A$5:$A$10,0))</f>
        <v>0.3</v>
      </c>
      <c r="I98" s="16" t="s">
        <v>431</v>
      </c>
      <c r="J98" s="16" t="s">
        <v>608</v>
      </c>
      <c r="K98" s="21" t="s">
        <v>551</v>
      </c>
      <c r="L98" s="16" t="s">
        <v>434</v>
      </c>
      <c r="M98" s="21" t="s">
        <v>435</v>
      </c>
      <c r="N98" s="50" t="n">
        <v>4</v>
      </c>
      <c r="O98" s="50" t="n">
        <v>3.3</v>
      </c>
      <c r="P98" s="16" t="s">
        <v>436</v>
      </c>
      <c r="Q98" s="16" t="s">
        <v>437</v>
      </c>
      <c r="R98" s="16" t="s">
        <v>236</v>
      </c>
    </row>
    <row r="99" customFormat="false" ht="23.85" hidden="false" customHeight="false" outlineLevel="0" collapsed="false">
      <c r="A99" s="45" t="s">
        <v>609</v>
      </c>
      <c r="B99" s="21" t="n">
        <v>2</v>
      </c>
      <c r="C99" s="16" t="s">
        <v>213</v>
      </c>
      <c r="D99" s="21" t="s">
        <v>230</v>
      </c>
      <c r="E99" s="16" t="s">
        <v>231</v>
      </c>
      <c r="F99" s="21" t="s">
        <v>53</v>
      </c>
      <c r="G99" s="16" t="s">
        <v>54</v>
      </c>
      <c r="H99" s="46" t="n">
        <f aca="false">INDEX(A_Scoring_Model!$C$5:$C$10,MATCH(F99,A_Scoring_Model!$A$5:$A$10,0))</f>
        <v>0.2</v>
      </c>
      <c r="I99" s="16" t="s">
        <v>431</v>
      </c>
      <c r="J99" s="16" t="s">
        <v>610</v>
      </c>
      <c r="K99" s="21" t="s">
        <v>445</v>
      </c>
      <c r="L99" s="16" t="s">
        <v>434</v>
      </c>
      <c r="M99" s="21" t="s">
        <v>435</v>
      </c>
      <c r="N99" s="19" t="n">
        <v>1</v>
      </c>
      <c r="O99" s="19"/>
      <c r="P99" s="16" t="s">
        <v>446</v>
      </c>
      <c r="Q99" s="16" t="s">
        <v>447</v>
      </c>
      <c r="R99" s="16"/>
    </row>
    <row r="100" customFormat="false" ht="23.85" hidden="false" customHeight="false" outlineLevel="0" collapsed="false">
      <c r="A100" s="45" t="s">
        <v>611</v>
      </c>
      <c r="B100" s="21" t="n">
        <v>2</v>
      </c>
      <c r="C100" s="16" t="s">
        <v>213</v>
      </c>
      <c r="D100" s="21" t="s">
        <v>230</v>
      </c>
      <c r="E100" s="16" t="s">
        <v>231</v>
      </c>
      <c r="F100" s="21" t="s">
        <v>53</v>
      </c>
      <c r="G100" s="16" t="s">
        <v>54</v>
      </c>
      <c r="H100" s="46" t="n">
        <f aca="false">INDEX(A_Scoring_Model!$C$5:$C$10,MATCH(F100,A_Scoring_Model!$A$5:$A$10,0))</f>
        <v>0.2</v>
      </c>
      <c r="I100" s="16" t="s">
        <v>449</v>
      </c>
      <c r="J100" s="16" t="s">
        <v>450</v>
      </c>
      <c r="K100" s="21" t="s">
        <v>451</v>
      </c>
      <c r="L100" s="16" t="s">
        <v>434</v>
      </c>
      <c r="M100" s="21" t="s">
        <v>435</v>
      </c>
      <c r="N100" s="49" t="n">
        <v>3</v>
      </c>
      <c r="O100" s="49" t="n">
        <v>2</v>
      </c>
      <c r="P100" s="16" t="s">
        <v>436</v>
      </c>
      <c r="Q100" s="16" t="s">
        <v>447</v>
      </c>
      <c r="R100" s="16"/>
    </row>
    <row r="101" customFormat="false" ht="23.85" hidden="false" customHeight="false" outlineLevel="0" collapsed="false">
      <c r="A101" s="45" t="s">
        <v>612</v>
      </c>
      <c r="B101" s="21" t="n">
        <v>2</v>
      </c>
      <c r="C101" s="16" t="s">
        <v>213</v>
      </c>
      <c r="D101" s="21" t="s">
        <v>230</v>
      </c>
      <c r="E101" s="16" t="s">
        <v>231</v>
      </c>
      <c r="F101" s="21" t="s">
        <v>53</v>
      </c>
      <c r="G101" s="16" t="s">
        <v>54</v>
      </c>
      <c r="H101" s="46" t="n">
        <f aca="false">INDEX(A_Scoring_Model!$C$5:$C$10,MATCH(F101,A_Scoring_Model!$A$5:$A$10,0))</f>
        <v>0.2</v>
      </c>
      <c r="I101" s="16" t="s">
        <v>449</v>
      </c>
      <c r="J101" s="16" t="s">
        <v>453</v>
      </c>
      <c r="K101" s="21" t="s">
        <v>445</v>
      </c>
      <c r="L101" s="16" t="s">
        <v>434</v>
      </c>
      <c r="M101" s="21" t="s">
        <v>435</v>
      </c>
      <c r="N101" s="19" t="n">
        <v>1</v>
      </c>
      <c r="O101" s="19"/>
      <c r="P101" s="16" t="s">
        <v>446</v>
      </c>
      <c r="Q101" s="16" t="s">
        <v>447</v>
      </c>
      <c r="R101" s="16"/>
    </row>
    <row r="102" customFormat="false" ht="23.85" hidden="false" customHeight="false" outlineLevel="0" collapsed="false">
      <c r="A102" s="45" t="s">
        <v>613</v>
      </c>
      <c r="B102" s="21" t="n">
        <v>2</v>
      </c>
      <c r="C102" s="16" t="s">
        <v>213</v>
      </c>
      <c r="D102" s="21" t="s">
        <v>230</v>
      </c>
      <c r="E102" s="16" t="s">
        <v>231</v>
      </c>
      <c r="F102" s="21" t="s">
        <v>56</v>
      </c>
      <c r="G102" s="16" t="s">
        <v>57</v>
      </c>
      <c r="H102" s="46" t="n">
        <f aca="false">INDEX(A_Scoring_Model!$C$5:$C$10,MATCH(F102,A_Scoring_Model!$A$5:$A$10,0))</f>
        <v>0.15</v>
      </c>
      <c r="I102" s="16" t="s">
        <v>431</v>
      </c>
      <c r="J102" s="16" t="s">
        <v>614</v>
      </c>
      <c r="K102" s="21" t="s">
        <v>503</v>
      </c>
      <c r="L102" s="16" t="s">
        <v>461</v>
      </c>
      <c r="M102" s="21" t="s">
        <v>462</v>
      </c>
      <c r="N102" s="49" t="n">
        <v>5</v>
      </c>
      <c r="O102" s="49"/>
      <c r="P102" s="16" t="s">
        <v>446</v>
      </c>
      <c r="Q102" s="16" t="s">
        <v>457</v>
      </c>
      <c r="R102" s="16"/>
    </row>
    <row r="103" customFormat="false" ht="23.85" hidden="false" customHeight="false" outlineLevel="0" collapsed="false">
      <c r="A103" s="45" t="s">
        <v>615</v>
      </c>
      <c r="B103" s="21" t="n">
        <v>2</v>
      </c>
      <c r="C103" s="16" t="s">
        <v>213</v>
      </c>
      <c r="D103" s="21" t="s">
        <v>230</v>
      </c>
      <c r="E103" s="16" t="s">
        <v>231</v>
      </c>
      <c r="F103" s="21" t="s">
        <v>56</v>
      </c>
      <c r="G103" s="16" t="s">
        <v>57</v>
      </c>
      <c r="H103" s="46" t="n">
        <f aca="false">INDEX(A_Scoring_Model!$C$5:$C$10,MATCH(F103,A_Scoring_Model!$A$5:$A$10,0))</f>
        <v>0.15</v>
      </c>
      <c r="I103" s="16" t="s">
        <v>449</v>
      </c>
      <c r="J103" s="16" t="s">
        <v>464</v>
      </c>
      <c r="K103" s="21" t="s">
        <v>433</v>
      </c>
      <c r="L103" s="16" t="s">
        <v>461</v>
      </c>
      <c r="M103" s="21" t="s">
        <v>462</v>
      </c>
      <c r="N103" s="48" t="n">
        <v>0.2</v>
      </c>
      <c r="O103" s="48" t="n">
        <v>0.4</v>
      </c>
      <c r="P103" s="16" t="s">
        <v>436</v>
      </c>
      <c r="Q103" s="16" t="s">
        <v>457</v>
      </c>
      <c r="R103" s="16"/>
    </row>
    <row r="104" customFormat="false" ht="23.85" hidden="false" customHeight="false" outlineLevel="0" collapsed="false">
      <c r="A104" s="45" t="s">
        <v>616</v>
      </c>
      <c r="B104" s="21" t="n">
        <v>2</v>
      </c>
      <c r="C104" s="16" t="s">
        <v>213</v>
      </c>
      <c r="D104" s="21" t="s">
        <v>230</v>
      </c>
      <c r="E104" s="16" t="s">
        <v>231</v>
      </c>
      <c r="F104" s="21" t="s">
        <v>59</v>
      </c>
      <c r="G104" s="16" t="s">
        <v>60</v>
      </c>
      <c r="H104" s="46" t="n">
        <f aca="false">INDEX(A_Scoring_Model!$C$5:$C$10,MATCH(F104,A_Scoring_Model!$A$5:$A$10,0))</f>
        <v>0.1</v>
      </c>
      <c r="I104" s="16" t="s">
        <v>431</v>
      </c>
      <c r="J104" s="16" t="s">
        <v>617</v>
      </c>
      <c r="K104" s="21" t="s">
        <v>433</v>
      </c>
      <c r="L104" s="16" t="s">
        <v>434</v>
      </c>
      <c r="M104" s="21" t="s">
        <v>435</v>
      </c>
      <c r="N104" s="48" t="n">
        <v>1</v>
      </c>
      <c r="O104" s="48"/>
      <c r="P104" s="16" t="s">
        <v>446</v>
      </c>
      <c r="Q104" s="16" t="s">
        <v>467</v>
      </c>
      <c r="R104" s="16"/>
    </row>
    <row r="105" customFormat="false" ht="23.85" hidden="false" customHeight="false" outlineLevel="0" collapsed="false">
      <c r="A105" s="45" t="s">
        <v>618</v>
      </c>
      <c r="B105" s="21" t="n">
        <v>2</v>
      </c>
      <c r="C105" s="16" t="s">
        <v>213</v>
      </c>
      <c r="D105" s="21" t="s">
        <v>230</v>
      </c>
      <c r="E105" s="16" t="s">
        <v>231</v>
      </c>
      <c r="F105" s="21" t="s">
        <v>59</v>
      </c>
      <c r="G105" s="16" t="s">
        <v>60</v>
      </c>
      <c r="H105" s="46" t="n">
        <f aca="false">INDEX(A_Scoring_Model!$C$5:$C$10,MATCH(F105,A_Scoring_Model!$A$5:$A$10,0))</f>
        <v>0.1</v>
      </c>
      <c r="I105" s="16" t="s">
        <v>449</v>
      </c>
      <c r="J105" s="16" t="s">
        <v>471</v>
      </c>
      <c r="K105" s="21" t="s">
        <v>433</v>
      </c>
      <c r="L105" s="16" t="s">
        <v>434</v>
      </c>
      <c r="M105" s="21" t="s">
        <v>435</v>
      </c>
      <c r="N105" s="48" t="n">
        <v>0.995</v>
      </c>
      <c r="O105" s="48" t="n">
        <v>0.99</v>
      </c>
      <c r="P105" s="16" t="s">
        <v>436</v>
      </c>
      <c r="Q105" s="16" t="s">
        <v>467</v>
      </c>
      <c r="R105" s="16"/>
    </row>
    <row r="106" customFormat="false" ht="23.85" hidden="false" customHeight="false" outlineLevel="0" collapsed="false">
      <c r="A106" s="45" t="s">
        <v>619</v>
      </c>
      <c r="B106" s="21" t="n">
        <v>2</v>
      </c>
      <c r="C106" s="16" t="s">
        <v>213</v>
      </c>
      <c r="D106" s="21" t="s">
        <v>230</v>
      </c>
      <c r="E106" s="16" t="s">
        <v>231</v>
      </c>
      <c r="F106" s="21" t="s">
        <v>62</v>
      </c>
      <c r="G106" s="16" t="s">
        <v>63</v>
      </c>
      <c r="H106" s="46" t="n">
        <f aca="false">INDEX(A_Scoring_Model!$C$5:$C$10,MATCH(F106,A_Scoring_Model!$A$5:$A$10,0))</f>
        <v>0.15</v>
      </c>
      <c r="I106" s="16" t="s">
        <v>431</v>
      </c>
      <c r="J106" s="16" t="s">
        <v>620</v>
      </c>
      <c r="K106" s="21" t="s">
        <v>433</v>
      </c>
      <c r="L106" s="16" t="s">
        <v>434</v>
      </c>
      <c r="M106" s="21" t="s">
        <v>435</v>
      </c>
      <c r="N106" s="48" t="n">
        <v>0.5</v>
      </c>
      <c r="O106" s="48"/>
      <c r="P106" s="16" t="s">
        <v>446</v>
      </c>
      <c r="Q106" s="16" t="s">
        <v>474</v>
      </c>
      <c r="R106" s="16"/>
    </row>
    <row r="107" customFormat="false" ht="23.85" hidden="false" customHeight="false" outlineLevel="0" collapsed="false">
      <c r="A107" s="45" t="s">
        <v>621</v>
      </c>
      <c r="B107" s="21" t="n">
        <v>2</v>
      </c>
      <c r="C107" s="16" t="s">
        <v>213</v>
      </c>
      <c r="D107" s="21" t="s">
        <v>230</v>
      </c>
      <c r="E107" s="16" t="s">
        <v>231</v>
      </c>
      <c r="F107" s="21" t="s">
        <v>62</v>
      </c>
      <c r="G107" s="16" t="s">
        <v>63</v>
      </c>
      <c r="H107" s="46" t="n">
        <f aca="false">INDEX(A_Scoring_Model!$C$5:$C$10,MATCH(F107,A_Scoring_Model!$A$5:$A$10,0))</f>
        <v>0.15</v>
      </c>
      <c r="I107" s="16" t="s">
        <v>431</v>
      </c>
      <c r="J107" s="16" t="s">
        <v>622</v>
      </c>
      <c r="K107" s="21" t="s">
        <v>433</v>
      </c>
      <c r="L107" s="16" t="s">
        <v>434</v>
      </c>
      <c r="M107" s="21" t="s">
        <v>435</v>
      </c>
      <c r="N107" s="48" t="n">
        <v>0.3</v>
      </c>
      <c r="O107" s="48"/>
      <c r="P107" s="16" t="s">
        <v>446</v>
      </c>
      <c r="Q107" s="16" t="s">
        <v>474</v>
      </c>
      <c r="R107" s="16"/>
    </row>
    <row r="108" customFormat="false" ht="23.85" hidden="false" customHeight="false" outlineLevel="0" collapsed="false">
      <c r="A108" s="45" t="s">
        <v>623</v>
      </c>
      <c r="B108" s="21" t="n">
        <v>2</v>
      </c>
      <c r="C108" s="16" t="s">
        <v>213</v>
      </c>
      <c r="D108" s="21" t="s">
        <v>230</v>
      </c>
      <c r="E108" s="16" t="s">
        <v>231</v>
      </c>
      <c r="F108" s="21" t="s">
        <v>65</v>
      </c>
      <c r="G108" s="16" t="s">
        <v>66</v>
      </c>
      <c r="H108" s="46" t="n">
        <f aca="false">INDEX(A_Scoring_Model!$C$5:$C$10,MATCH(F108,A_Scoring_Model!$A$5:$A$10,0))</f>
        <v>0.1</v>
      </c>
      <c r="I108" s="16" t="s">
        <v>449</v>
      </c>
      <c r="J108" s="16" t="s">
        <v>478</v>
      </c>
      <c r="K108" s="21" t="s">
        <v>433</v>
      </c>
      <c r="L108" s="16" t="s">
        <v>434</v>
      </c>
      <c r="M108" s="21" t="s">
        <v>435</v>
      </c>
      <c r="N108" s="48" t="n">
        <v>0.8</v>
      </c>
      <c r="O108" s="48" t="n">
        <v>0.6</v>
      </c>
      <c r="P108" s="16" t="s">
        <v>436</v>
      </c>
      <c r="Q108" s="16" t="s">
        <v>479</v>
      </c>
      <c r="R108" s="16"/>
    </row>
    <row r="109" customFormat="false" ht="23.85" hidden="false" customHeight="false" outlineLevel="0" collapsed="false">
      <c r="A109" s="45" t="s">
        <v>624</v>
      </c>
      <c r="B109" s="21" t="n">
        <v>2</v>
      </c>
      <c r="C109" s="16" t="s">
        <v>213</v>
      </c>
      <c r="D109" s="21" t="s">
        <v>230</v>
      </c>
      <c r="E109" s="16" t="s">
        <v>231</v>
      </c>
      <c r="F109" s="21" t="s">
        <v>65</v>
      </c>
      <c r="G109" s="16" t="s">
        <v>66</v>
      </c>
      <c r="H109" s="46" t="n">
        <f aca="false">INDEX(A_Scoring_Model!$C$5:$C$10,MATCH(F109,A_Scoring_Model!$A$5:$A$10,0))</f>
        <v>0.1</v>
      </c>
      <c r="I109" s="16" t="s">
        <v>449</v>
      </c>
      <c r="J109" s="16" t="s">
        <v>481</v>
      </c>
      <c r="K109" s="21" t="s">
        <v>451</v>
      </c>
      <c r="L109" s="16" t="s">
        <v>461</v>
      </c>
      <c r="M109" s="21" t="s">
        <v>462</v>
      </c>
      <c r="N109" s="49" t="n">
        <v>0</v>
      </c>
      <c r="O109" s="49"/>
      <c r="P109" s="16" t="s">
        <v>446</v>
      </c>
      <c r="Q109" s="16" t="s">
        <v>479</v>
      </c>
      <c r="R109" s="16"/>
    </row>
    <row r="110" customFormat="false" ht="23.85" hidden="false" customHeight="false" outlineLevel="0" collapsed="false">
      <c r="A110" s="45" t="s">
        <v>625</v>
      </c>
      <c r="B110" s="21" t="n">
        <v>2</v>
      </c>
      <c r="C110" s="16" t="s">
        <v>213</v>
      </c>
      <c r="D110" s="21" t="s">
        <v>230</v>
      </c>
      <c r="E110" s="16" t="s">
        <v>231</v>
      </c>
      <c r="F110" s="21" t="s">
        <v>65</v>
      </c>
      <c r="G110" s="16" t="s">
        <v>66</v>
      </c>
      <c r="H110" s="46" t="n">
        <f aca="false">INDEX(A_Scoring_Model!$C$5:$C$10,MATCH(F110,A_Scoring_Model!$A$5:$A$10,0))</f>
        <v>0.1</v>
      </c>
      <c r="I110" s="16" t="s">
        <v>449</v>
      </c>
      <c r="J110" s="16" t="s">
        <v>483</v>
      </c>
      <c r="K110" s="21" t="s">
        <v>451</v>
      </c>
      <c r="L110" s="16" t="s">
        <v>461</v>
      </c>
      <c r="M110" s="21" t="s">
        <v>462</v>
      </c>
      <c r="N110" s="49" t="n">
        <v>0</v>
      </c>
      <c r="O110" s="49"/>
      <c r="P110" s="16" t="s">
        <v>446</v>
      </c>
      <c r="Q110" s="16" t="s">
        <v>479</v>
      </c>
      <c r="R110" s="16"/>
    </row>
    <row r="111" customFormat="false" ht="23.85" hidden="false" customHeight="false" outlineLevel="0" collapsed="false">
      <c r="A111" s="45" t="s">
        <v>626</v>
      </c>
      <c r="B111" s="21" t="n">
        <v>2</v>
      </c>
      <c r="C111" s="16" t="s">
        <v>213</v>
      </c>
      <c r="D111" s="21" t="s">
        <v>230</v>
      </c>
      <c r="E111" s="16" t="s">
        <v>231</v>
      </c>
      <c r="F111" s="21" t="s">
        <v>65</v>
      </c>
      <c r="G111" s="16" t="s">
        <v>66</v>
      </c>
      <c r="H111" s="46" t="n">
        <f aca="false">INDEX(A_Scoring_Model!$C$5:$C$10,MATCH(F111,A_Scoring_Model!$A$5:$A$10,0))</f>
        <v>0.1</v>
      </c>
      <c r="I111" s="16" t="s">
        <v>449</v>
      </c>
      <c r="J111" s="16" t="s">
        <v>485</v>
      </c>
      <c r="K111" s="21" t="s">
        <v>445</v>
      </c>
      <c r="L111" s="16" t="s">
        <v>434</v>
      </c>
      <c r="M111" s="21" t="s">
        <v>435</v>
      </c>
      <c r="N111" s="19" t="n">
        <v>1</v>
      </c>
      <c r="O111" s="19"/>
      <c r="P111" s="16" t="s">
        <v>446</v>
      </c>
      <c r="Q111" s="16" t="s">
        <v>479</v>
      </c>
      <c r="R111" s="16"/>
    </row>
    <row r="112" customFormat="false" ht="23.85" hidden="false" customHeight="false" outlineLevel="0" collapsed="false">
      <c r="A112" s="45" t="s">
        <v>627</v>
      </c>
      <c r="B112" s="21" t="n">
        <v>2</v>
      </c>
      <c r="C112" s="16" t="s">
        <v>213</v>
      </c>
      <c r="D112" s="21" t="s">
        <v>230</v>
      </c>
      <c r="E112" s="16" t="s">
        <v>231</v>
      </c>
      <c r="F112" s="21" t="s">
        <v>65</v>
      </c>
      <c r="G112" s="16" t="s">
        <v>66</v>
      </c>
      <c r="H112" s="46" t="n">
        <f aca="false">INDEX(A_Scoring_Model!$C$5:$C$10,MATCH(F112,A_Scoring_Model!$A$5:$A$10,0))</f>
        <v>0.1</v>
      </c>
      <c r="I112" s="16" t="s">
        <v>449</v>
      </c>
      <c r="J112" s="16" t="s">
        <v>487</v>
      </c>
      <c r="K112" s="21" t="s">
        <v>445</v>
      </c>
      <c r="L112" s="16" t="s">
        <v>434</v>
      </c>
      <c r="M112" s="21" t="s">
        <v>435</v>
      </c>
      <c r="N112" s="19" t="n">
        <v>1</v>
      </c>
      <c r="O112" s="19"/>
      <c r="P112" s="16" t="s">
        <v>446</v>
      </c>
      <c r="Q112" s="16" t="s">
        <v>479</v>
      </c>
      <c r="R112" s="16"/>
    </row>
    <row r="113" customFormat="false" ht="23.85" hidden="false" customHeight="false" outlineLevel="0" collapsed="false">
      <c r="A113" s="37" t="s">
        <v>628</v>
      </c>
      <c r="B113" s="38" t="n">
        <v>3</v>
      </c>
      <c r="C113" s="39" t="s">
        <v>238</v>
      </c>
      <c r="D113" s="38" t="s">
        <v>239</v>
      </c>
      <c r="E113" s="39" t="s">
        <v>240</v>
      </c>
      <c r="F113" s="38" t="s">
        <v>50</v>
      </c>
      <c r="G113" s="39" t="s">
        <v>51</v>
      </c>
      <c r="H113" s="40" t="n">
        <f aca="false">INDEX(A_Scoring_Model!$C$5:$C$10,MATCH(F113,A_Scoring_Model!$A$5:$A$10,0))</f>
        <v>0.3</v>
      </c>
      <c r="I113" s="39" t="s">
        <v>431</v>
      </c>
      <c r="J113" s="39" t="s">
        <v>629</v>
      </c>
      <c r="K113" s="38" t="s">
        <v>433</v>
      </c>
      <c r="L113" s="39" t="s">
        <v>434</v>
      </c>
      <c r="M113" s="38" t="s">
        <v>435</v>
      </c>
      <c r="N113" s="41" t="n">
        <v>0.95</v>
      </c>
      <c r="O113" s="41" t="n">
        <v>0.85</v>
      </c>
      <c r="P113" s="39" t="s">
        <v>436</v>
      </c>
      <c r="Q113" s="39" t="s">
        <v>437</v>
      </c>
      <c r="R113" s="39" t="s">
        <v>244</v>
      </c>
    </row>
    <row r="114" customFormat="false" ht="23.85" hidden="false" customHeight="false" outlineLevel="0" collapsed="false">
      <c r="A114" s="37" t="s">
        <v>630</v>
      </c>
      <c r="B114" s="38" t="n">
        <v>3</v>
      </c>
      <c r="C114" s="39" t="s">
        <v>238</v>
      </c>
      <c r="D114" s="38" t="s">
        <v>239</v>
      </c>
      <c r="E114" s="39" t="s">
        <v>240</v>
      </c>
      <c r="F114" s="38" t="s">
        <v>50</v>
      </c>
      <c r="G114" s="39" t="s">
        <v>51</v>
      </c>
      <c r="H114" s="40" t="n">
        <f aca="false">INDEX(A_Scoring_Model!$C$5:$C$10,MATCH(F114,A_Scoring_Model!$A$5:$A$10,0))</f>
        <v>0.3</v>
      </c>
      <c r="I114" s="39" t="s">
        <v>431</v>
      </c>
      <c r="J114" s="39" t="s">
        <v>631</v>
      </c>
      <c r="K114" s="38" t="s">
        <v>433</v>
      </c>
      <c r="L114" s="39" t="s">
        <v>434</v>
      </c>
      <c r="M114" s="38" t="s">
        <v>435</v>
      </c>
      <c r="N114" s="41" t="n">
        <v>0.9</v>
      </c>
      <c r="O114" s="41" t="n">
        <v>0.8</v>
      </c>
      <c r="P114" s="39" t="s">
        <v>436</v>
      </c>
      <c r="Q114" s="39" t="s">
        <v>437</v>
      </c>
      <c r="R114" s="39" t="s">
        <v>244</v>
      </c>
    </row>
    <row r="115" customFormat="false" ht="23.85" hidden="false" customHeight="false" outlineLevel="0" collapsed="false">
      <c r="A115" s="37" t="s">
        <v>632</v>
      </c>
      <c r="B115" s="38" t="n">
        <v>3</v>
      </c>
      <c r="C115" s="39" t="s">
        <v>238</v>
      </c>
      <c r="D115" s="38" t="s">
        <v>239</v>
      </c>
      <c r="E115" s="39" t="s">
        <v>240</v>
      </c>
      <c r="F115" s="38" t="s">
        <v>50</v>
      </c>
      <c r="G115" s="39" t="s">
        <v>51</v>
      </c>
      <c r="H115" s="40" t="n">
        <f aca="false">INDEX(A_Scoring_Model!$C$5:$C$10,MATCH(F115,A_Scoring_Model!$A$5:$A$10,0))</f>
        <v>0.3</v>
      </c>
      <c r="I115" s="39" t="s">
        <v>431</v>
      </c>
      <c r="J115" s="39" t="s">
        <v>633</v>
      </c>
      <c r="K115" s="38" t="s">
        <v>433</v>
      </c>
      <c r="L115" s="39" t="s">
        <v>434</v>
      </c>
      <c r="M115" s="38" t="s">
        <v>435</v>
      </c>
      <c r="N115" s="41" t="n">
        <v>0.9</v>
      </c>
      <c r="O115" s="41" t="n">
        <v>0.75</v>
      </c>
      <c r="P115" s="39" t="s">
        <v>436</v>
      </c>
      <c r="Q115" s="39" t="s">
        <v>437</v>
      </c>
      <c r="R115" s="39" t="s">
        <v>244</v>
      </c>
    </row>
    <row r="116" customFormat="false" ht="23.85" hidden="false" customHeight="false" outlineLevel="0" collapsed="false">
      <c r="A116" s="37" t="s">
        <v>634</v>
      </c>
      <c r="B116" s="38" t="n">
        <v>3</v>
      </c>
      <c r="C116" s="39" t="s">
        <v>238</v>
      </c>
      <c r="D116" s="38" t="s">
        <v>239</v>
      </c>
      <c r="E116" s="39" t="s">
        <v>240</v>
      </c>
      <c r="F116" s="38" t="s">
        <v>50</v>
      </c>
      <c r="G116" s="39" t="s">
        <v>51</v>
      </c>
      <c r="H116" s="40" t="n">
        <f aca="false">INDEX(A_Scoring_Model!$C$5:$C$10,MATCH(F116,A_Scoring_Model!$A$5:$A$10,0))</f>
        <v>0.3</v>
      </c>
      <c r="I116" s="39" t="s">
        <v>431</v>
      </c>
      <c r="J116" s="39" t="s">
        <v>635</v>
      </c>
      <c r="K116" s="38" t="s">
        <v>433</v>
      </c>
      <c r="L116" s="39" t="s">
        <v>461</v>
      </c>
      <c r="M116" s="38" t="s">
        <v>462</v>
      </c>
      <c r="N116" s="41" t="n">
        <v>0.05</v>
      </c>
      <c r="O116" s="41" t="n">
        <v>0.1</v>
      </c>
      <c r="P116" s="39" t="s">
        <v>436</v>
      </c>
      <c r="Q116" s="39" t="s">
        <v>437</v>
      </c>
      <c r="R116" s="39" t="s">
        <v>244</v>
      </c>
    </row>
    <row r="117" customFormat="false" ht="23.85" hidden="false" customHeight="false" outlineLevel="0" collapsed="false">
      <c r="A117" s="37" t="s">
        <v>636</v>
      </c>
      <c r="B117" s="38" t="n">
        <v>3</v>
      </c>
      <c r="C117" s="39" t="s">
        <v>238</v>
      </c>
      <c r="D117" s="38" t="s">
        <v>239</v>
      </c>
      <c r="E117" s="39" t="s">
        <v>240</v>
      </c>
      <c r="F117" s="38" t="s">
        <v>53</v>
      </c>
      <c r="G117" s="39" t="s">
        <v>54</v>
      </c>
      <c r="H117" s="40" t="n">
        <f aca="false">INDEX(A_Scoring_Model!$C$5:$C$10,MATCH(F117,A_Scoring_Model!$A$5:$A$10,0))</f>
        <v>0.2</v>
      </c>
      <c r="I117" s="39" t="s">
        <v>431</v>
      </c>
      <c r="J117" s="39" t="s">
        <v>637</v>
      </c>
      <c r="K117" s="38" t="s">
        <v>445</v>
      </c>
      <c r="L117" s="39" t="s">
        <v>434</v>
      </c>
      <c r="M117" s="38" t="s">
        <v>435</v>
      </c>
      <c r="N117" s="43" t="n">
        <v>1</v>
      </c>
      <c r="O117" s="43"/>
      <c r="P117" s="39" t="s">
        <v>446</v>
      </c>
      <c r="Q117" s="39" t="s">
        <v>447</v>
      </c>
      <c r="R117" s="39"/>
    </row>
    <row r="118" customFormat="false" ht="23.85" hidden="false" customHeight="false" outlineLevel="0" collapsed="false">
      <c r="A118" s="37" t="s">
        <v>638</v>
      </c>
      <c r="B118" s="38" t="n">
        <v>3</v>
      </c>
      <c r="C118" s="39" t="s">
        <v>238</v>
      </c>
      <c r="D118" s="38" t="s">
        <v>239</v>
      </c>
      <c r="E118" s="39" t="s">
        <v>240</v>
      </c>
      <c r="F118" s="38" t="s">
        <v>53</v>
      </c>
      <c r="G118" s="39" t="s">
        <v>54</v>
      </c>
      <c r="H118" s="40" t="n">
        <f aca="false">INDEX(A_Scoring_Model!$C$5:$C$10,MATCH(F118,A_Scoring_Model!$A$5:$A$10,0))</f>
        <v>0.2</v>
      </c>
      <c r="I118" s="39" t="s">
        <v>449</v>
      </c>
      <c r="J118" s="39" t="s">
        <v>450</v>
      </c>
      <c r="K118" s="38" t="s">
        <v>451</v>
      </c>
      <c r="L118" s="39" t="s">
        <v>434</v>
      </c>
      <c r="M118" s="38" t="s">
        <v>435</v>
      </c>
      <c r="N118" s="44" t="n">
        <v>3</v>
      </c>
      <c r="O118" s="44" t="n">
        <v>2</v>
      </c>
      <c r="P118" s="39" t="s">
        <v>436</v>
      </c>
      <c r="Q118" s="39" t="s">
        <v>447</v>
      </c>
      <c r="R118" s="39"/>
    </row>
    <row r="119" customFormat="false" ht="23.85" hidden="false" customHeight="false" outlineLevel="0" collapsed="false">
      <c r="A119" s="37" t="s">
        <v>639</v>
      </c>
      <c r="B119" s="38" t="n">
        <v>3</v>
      </c>
      <c r="C119" s="39" t="s">
        <v>238</v>
      </c>
      <c r="D119" s="38" t="s">
        <v>239</v>
      </c>
      <c r="E119" s="39" t="s">
        <v>240</v>
      </c>
      <c r="F119" s="38" t="s">
        <v>53</v>
      </c>
      <c r="G119" s="39" t="s">
        <v>54</v>
      </c>
      <c r="H119" s="40" t="n">
        <f aca="false">INDEX(A_Scoring_Model!$C$5:$C$10,MATCH(F119,A_Scoring_Model!$A$5:$A$10,0))</f>
        <v>0.2</v>
      </c>
      <c r="I119" s="39" t="s">
        <v>449</v>
      </c>
      <c r="J119" s="39" t="s">
        <v>453</v>
      </c>
      <c r="K119" s="38" t="s">
        <v>445</v>
      </c>
      <c r="L119" s="39" t="s">
        <v>434</v>
      </c>
      <c r="M119" s="38" t="s">
        <v>435</v>
      </c>
      <c r="N119" s="43" t="n">
        <v>1</v>
      </c>
      <c r="O119" s="43"/>
      <c r="P119" s="39" t="s">
        <v>446</v>
      </c>
      <c r="Q119" s="39" t="s">
        <v>447</v>
      </c>
      <c r="R119" s="39"/>
    </row>
    <row r="120" customFormat="false" ht="23.85" hidden="false" customHeight="false" outlineLevel="0" collapsed="false">
      <c r="A120" s="37" t="s">
        <v>640</v>
      </c>
      <c r="B120" s="38" t="n">
        <v>3</v>
      </c>
      <c r="C120" s="39" t="s">
        <v>238</v>
      </c>
      <c r="D120" s="38" t="s">
        <v>239</v>
      </c>
      <c r="E120" s="39" t="s">
        <v>240</v>
      </c>
      <c r="F120" s="38" t="s">
        <v>56</v>
      </c>
      <c r="G120" s="39" t="s">
        <v>57</v>
      </c>
      <c r="H120" s="40" t="n">
        <f aca="false">INDEX(A_Scoring_Model!$C$5:$C$10,MATCH(F120,A_Scoring_Model!$A$5:$A$10,0))</f>
        <v>0.15</v>
      </c>
      <c r="I120" s="39" t="s">
        <v>431</v>
      </c>
      <c r="J120" s="39" t="s">
        <v>455</v>
      </c>
      <c r="K120" s="38" t="s">
        <v>641</v>
      </c>
      <c r="L120" s="39" t="s">
        <v>434</v>
      </c>
      <c r="M120" s="38" t="s">
        <v>435</v>
      </c>
      <c r="N120" s="44" t="n">
        <v>500</v>
      </c>
      <c r="O120" s="44"/>
      <c r="P120" s="39" t="s">
        <v>446</v>
      </c>
      <c r="Q120" s="39" t="s">
        <v>457</v>
      </c>
      <c r="R120" s="39"/>
    </row>
    <row r="121" customFormat="false" ht="23.85" hidden="false" customHeight="false" outlineLevel="0" collapsed="false">
      <c r="A121" s="37" t="s">
        <v>642</v>
      </c>
      <c r="B121" s="38" t="n">
        <v>3</v>
      </c>
      <c r="C121" s="39" t="s">
        <v>238</v>
      </c>
      <c r="D121" s="38" t="s">
        <v>239</v>
      </c>
      <c r="E121" s="39" t="s">
        <v>240</v>
      </c>
      <c r="F121" s="38" t="s">
        <v>56</v>
      </c>
      <c r="G121" s="39" t="s">
        <v>57</v>
      </c>
      <c r="H121" s="40" t="n">
        <f aca="false">INDEX(A_Scoring_Model!$C$5:$C$10,MATCH(F121,A_Scoring_Model!$A$5:$A$10,0))</f>
        <v>0.15</v>
      </c>
      <c r="I121" s="39" t="s">
        <v>449</v>
      </c>
      <c r="J121" s="39" t="s">
        <v>464</v>
      </c>
      <c r="K121" s="38" t="s">
        <v>433</v>
      </c>
      <c r="L121" s="39" t="s">
        <v>461</v>
      </c>
      <c r="M121" s="38" t="s">
        <v>462</v>
      </c>
      <c r="N121" s="41" t="n">
        <v>0.2</v>
      </c>
      <c r="O121" s="41" t="n">
        <v>0.4</v>
      </c>
      <c r="P121" s="39" t="s">
        <v>436</v>
      </c>
      <c r="Q121" s="39" t="s">
        <v>457</v>
      </c>
      <c r="R121" s="39"/>
    </row>
    <row r="122" customFormat="false" ht="23.85" hidden="false" customHeight="false" outlineLevel="0" collapsed="false">
      <c r="A122" s="37" t="s">
        <v>643</v>
      </c>
      <c r="B122" s="38" t="n">
        <v>3</v>
      </c>
      <c r="C122" s="39" t="s">
        <v>238</v>
      </c>
      <c r="D122" s="38" t="s">
        <v>239</v>
      </c>
      <c r="E122" s="39" t="s">
        <v>240</v>
      </c>
      <c r="F122" s="38" t="s">
        <v>59</v>
      </c>
      <c r="G122" s="39" t="s">
        <v>60</v>
      </c>
      <c r="H122" s="40" t="n">
        <f aca="false">INDEX(A_Scoring_Model!$C$5:$C$10,MATCH(F122,A_Scoring_Model!$A$5:$A$10,0))</f>
        <v>0.1</v>
      </c>
      <c r="I122" s="39" t="s">
        <v>431</v>
      </c>
      <c r="J122" s="39" t="s">
        <v>644</v>
      </c>
      <c r="K122" s="38" t="s">
        <v>433</v>
      </c>
      <c r="L122" s="39" t="s">
        <v>461</v>
      </c>
      <c r="M122" s="38" t="s">
        <v>462</v>
      </c>
      <c r="N122" s="41" t="n">
        <v>0.02</v>
      </c>
      <c r="O122" s="41"/>
      <c r="P122" s="39" t="s">
        <v>446</v>
      </c>
      <c r="Q122" s="39" t="s">
        <v>467</v>
      </c>
      <c r="R122" s="39"/>
    </row>
    <row r="123" customFormat="false" ht="23.85" hidden="false" customHeight="false" outlineLevel="0" collapsed="false">
      <c r="A123" s="37" t="s">
        <v>645</v>
      </c>
      <c r="B123" s="38" t="n">
        <v>3</v>
      </c>
      <c r="C123" s="39" t="s">
        <v>238</v>
      </c>
      <c r="D123" s="38" t="s">
        <v>239</v>
      </c>
      <c r="E123" s="39" t="s">
        <v>240</v>
      </c>
      <c r="F123" s="38" t="s">
        <v>59</v>
      </c>
      <c r="G123" s="39" t="s">
        <v>60</v>
      </c>
      <c r="H123" s="40" t="n">
        <f aca="false">INDEX(A_Scoring_Model!$C$5:$C$10,MATCH(F123,A_Scoring_Model!$A$5:$A$10,0))</f>
        <v>0.1</v>
      </c>
      <c r="I123" s="39" t="s">
        <v>431</v>
      </c>
      <c r="J123" s="39" t="s">
        <v>646</v>
      </c>
      <c r="K123" s="38" t="s">
        <v>433</v>
      </c>
      <c r="L123" s="39" t="s">
        <v>434</v>
      </c>
      <c r="M123" s="38" t="s">
        <v>435</v>
      </c>
      <c r="N123" s="41" t="n">
        <v>1</v>
      </c>
      <c r="O123" s="41"/>
      <c r="P123" s="39" t="s">
        <v>446</v>
      </c>
      <c r="Q123" s="39" t="s">
        <v>467</v>
      </c>
      <c r="R123" s="39"/>
    </row>
    <row r="124" customFormat="false" ht="23.85" hidden="false" customHeight="false" outlineLevel="0" collapsed="false">
      <c r="A124" s="37" t="s">
        <v>647</v>
      </c>
      <c r="B124" s="38" t="n">
        <v>3</v>
      </c>
      <c r="C124" s="39" t="s">
        <v>238</v>
      </c>
      <c r="D124" s="38" t="s">
        <v>239</v>
      </c>
      <c r="E124" s="39" t="s">
        <v>240</v>
      </c>
      <c r="F124" s="38" t="s">
        <v>59</v>
      </c>
      <c r="G124" s="39" t="s">
        <v>60</v>
      </c>
      <c r="H124" s="40" t="n">
        <f aca="false">INDEX(A_Scoring_Model!$C$5:$C$10,MATCH(F124,A_Scoring_Model!$A$5:$A$10,0))</f>
        <v>0.1</v>
      </c>
      <c r="I124" s="39" t="s">
        <v>449</v>
      </c>
      <c r="J124" s="39" t="s">
        <v>471</v>
      </c>
      <c r="K124" s="38" t="s">
        <v>433</v>
      </c>
      <c r="L124" s="39" t="s">
        <v>434</v>
      </c>
      <c r="M124" s="38" t="s">
        <v>435</v>
      </c>
      <c r="N124" s="41" t="n">
        <v>0.995</v>
      </c>
      <c r="O124" s="41" t="n">
        <v>0.99</v>
      </c>
      <c r="P124" s="39" t="s">
        <v>436</v>
      </c>
      <c r="Q124" s="39" t="s">
        <v>467</v>
      </c>
      <c r="R124" s="39"/>
    </row>
    <row r="125" customFormat="false" ht="23.85" hidden="false" customHeight="false" outlineLevel="0" collapsed="false">
      <c r="A125" s="37" t="s">
        <v>648</v>
      </c>
      <c r="B125" s="38" t="n">
        <v>3</v>
      </c>
      <c r="C125" s="39" t="s">
        <v>238</v>
      </c>
      <c r="D125" s="38" t="s">
        <v>239</v>
      </c>
      <c r="E125" s="39" t="s">
        <v>240</v>
      </c>
      <c r="F125" s="38" t="s">
        <v>62</v>
      </c>
      <c r="G125" s="39" t="s">
        <v>63</v>
      </c>
      <c r="H125" s="40" t="n">
        <f aca="false">INDEX(A_Scoring_Model!$C$5:$C$10,MATCH(F125,A_Scoring_Model!$A$5:$A$10,0))</f>
        <v>0.15</v>
      </c>
      <c r="I125" s="39" t="s">
        <v>431</v>
      </c>
      <c r="J125" s="39" t="s">
        <v>649</v>
      </c>
      <c r="K125" s="38" t="s">
        <v>433</v>
      </c>
      <c r="L125" s="39" t="s">
        <v>434</v>
      </c>
      <c r="M125" s="38" t="s">
        <v>435</v>
      </c>
      <c r="N125" s="41" t="n">
        <v>0.6</v>
      </c>
      <c r="O125" s="41"/>
      <c r="P125" s="39" t="s">
        <v>446</v>
      </c>
      <c r="Q125" s="39" t="s">
        <v>474</v>
      </c>
      <c r="R125" s="39"/>
    </row>
    <row r="126" customFormat="false" ht="23.85" hidden="false" customHeight="false" outlineLevel="0" collapsed="false">
      <c r="A126" s="37" t="s">
        <v>650</v>
      </c>
      <c r="B126" s="38" t="n">
        <v>3</v>
      </c>
      <c r="C126" s="39" t="s">
        <v>238</v>
      </c>
      <c r="D126" s="38" t="s">
        <v>239</v>
      </c>
      <c r="E126" s="39" t="s">
        <v>240</v>
      </c>
      <c r="F126" s="38" t="s">
        <v>62</v>
      </c>
      <c r="G126" s="39" t="s">
        <v>63</v>
      </c>
      <c r="H126" s="40" t="n">
        <f aca="false">INDEX(A_Scoring_Model!$C$5:$C$10,MATCH(F126,A_Scoring_Model!$A$5:$A$10,0))</f>
        <v>0.15</v>
      </c>
      <c r="I126" s="39" t="s">
        <v>431</v>
      </c>
      <c r="J126" s="39" t="s">
        <v>651</v>
      </c>
      <c r="K126" s="38" t="s">
        <v>433</v>
      </c>
      <c r="L126" s="39" t="s">
        <v>434</v>
      </c>
      <c r="M126" s="38" t="s">
        <v>435</v>
      </c>
      <c r="N126" s="41" t="n">
        <v>0.7</v>
      </c>
      <c r="O126" s="41"/>
      <c r="P126" s="39" t="s">
        <v>446</v>
      </c>
      <c r="Q126" s="39" t="s">
        <v>474</v>
      </c>
      <c r="R126" s="39"/>
    </row>
    <row r="127" customFormat="false" ht="23.85" hidden="false" customHeight="false" outlineLevel="0" collapsed="false">
      <c r="A127" s="37" t="s">
        <v>652</v>
      </c>
      <c r="B127" s="38" t="n">
        <v>3</v>
      </c>
      <c r="C127" s="39" t="s">
        <v>238</v>
      </c>
      <c r="D127" s="38" t="s">
        <v>239</v>
      </c>
      <c r="E127" s="39" t="s">
        <v>240</v>
      </c>
      <c r="F127" s="38" t="s">
        <v>65</v>
      </c>
      <c r="G127" s="39" t="s">
        <v>66</v>
      </c>
      <c r="H127" s="40" t="n">
        <f aca="false">INDEX(A_Scoring_Model!$C$5:$C$10,MATCH(F127,A_Scoring_Model!$A$5:$A$10,0))</f>
        <v>0.1</v>
      </c>
      <c r="I127" s="39" t="s">
        <v>449</v>
      </c>
      <c r="J127" s="39" t="s">
        <v>478</v>
      </c>
      <c r="K127" s="38" t="s">
        <v>433</v>
      </c>
      <c r="L127" s="39" t="s">
        <v>434</v>
      </c>
      <c r="M127" s="38" t="s">
        <v>435</v>
      </c>
      <c r="N127" s="41" t="n">
        <v>0.8</v>
      </c>
      <c r="O127" s="41" t="n">
        <v>0.6</v>
      </c>
      <c r="P127" s="39" t="s">
        <v>436</v>
      </c>
      <c r="Q127" s="39" t="s">
        <v>479</v>
      </c>
      <c r="R127" s="39"/>
    </row>
    <row r="128" customFormat="false" ht="23.85" hidden="false" customHeight="false" outlineLevel="0" collapsed="false">
      <c r="A128" s="37" t="s">
        <v>653</v>
      </c>
      <c r="B128" s="38" t="n">
        <v>3</v>
      </c>
      <c r="C128" s="39" t="s">
        <v>238</v>
      </c>
      <c r="D128" s="38" t="s">
        <v>239</v>
      </c>
      <c r="E128" s="39" t="s">
        <v>240</v>
      </c>
      <c r="F128" s="38" t="s">
        <v>65</v>
      </c>
      <c r="G128" s="39" t="s">
        <v>66</v>
      </c>
      <c r="H128" s="40" t="n">
        <f aca="false">INDEX(A_Scoring_Model!$C$5:$C$10,MATCH(F128,A_Scoring_Model!$A$5:$A$10,0))</f>
        <v>0.1</v>
      </c>
      <c r="I128" s="39" t="s">
        <v>449</v>
      </c>
      <c r="J128" s="39" t="s">
        <v>481</v>
      </c>
      <c r="K128" s="38" t="s">
        <v>451</v>
      </c>
      <c r="L128" s="39" t="s">
        <v>461</v>
      </c>
      <c r="M128" s="38" t="s">
        <v>462</v>
      </c>
      <c r="N128" s="44" t="n">
        <v>0</v>
      </c>
      <c r="O128" s="44"/>
      <c r="P128" s="39" t="s">
        <v>446</v>
      </c>
      <c r="Q128" s="39" t="s">
        <v>479</v>
      </c>
      <c r="R128" s="39"/>
    </row>
    <row r="129" customFormat="false" ht="23.85" hidden="false" customHeight="false" outlineLevel="0" collapsed="false">
      <c r="A129" s="37" t="s">
        <v>654</v>
      </c>
      <c r="B129" s="38" t="n">
        <v>3</v>
      </c>
      <c r="C129" s="39" t="s">
        <v>238</v>
      </c>
      <c r="D129" s="38" t="s">
        <v>239</v>
      </c>
      <c r="E129" s="39" t="s">
        <v>240</v>
      </c>
      <c r="F129" s="38" t="s">
        <v>65</v>
      </c>
      <c r="G129" s="39" t="s">
        <v>66</v>
      </c>
      <c r="H129" s="40" t="n">
        <f aca="false">INDEX(A_Scoring_Model!$C$5:$C$10,MATCH(F129,A_Scoring_Model!$A$5:$A$10,0))</f>
        <v>0.1</v>
      </c>
      <c r="I129" s="39" t="s">
        <v>449</v>
      </c>
      <c r="J129" s="39" t="s">
        <v>483</v>
      </c>
      <c r="K129" s="38" t="s">
        <v>451</v>
      </c>
      <c r="L129" s="39" t="s">
        <v>461</v>
      </c>
      <c r="M129" s="38" t="s">
        <v>462</v>
      </c>
      <c r="N129" s="44" t="n">
        <v>0</v>
      </c>
      <c r="O129" s="44"/>
      <c r="P129" s="39" t="s">
        <v>446</v>
      </c>
      <c r="Q129" s="39" t="s">
        <v>479</v>
      </c>
      <c r="R129" s="39"/>
    </row>
    <row r="130" customFormat="false" ht="23.85" hidden="false" customHeight="false" outlineLevel="0" collapsed="false">
      <c r="A130" s="37" t="s">
        <v>655</v>
      </c>
      <c r="B130" s="38" t="n">
        <v>3</v>
      </c>
      <c r="C130" s="39" t="s">
        <v>238</v>
      </c>
      <c r="D130" s="38" t="s">
        <v>239</v>
      </c>
      <c r="E130" s="39" t="s">
        <v>240</v>
      </c>
      <c r="F130" s="38" t="s">
        <v>65</v>
      </c>
      <c r="G130" s="39" t="s">
        <v>66</v>
      </c>
      <c r="H130" s="40" t="n">
        <f aca="false">INDEX(A_Scoring_Model!$C$5:$C$10,MATCH(F130,A_Scoring_Model!$A$5:$A$10,0))</f>
        <v>0.1</v>
      </c>
      <c r="I130" s="39" t="s">
        <v>449</v>
      </c>
      <c r="J130" s="39" t="s">
        <v>485</v>
      </c>
      <c r="K130" s="38" t="s">
        <v>445</v>
      </c>
      <c r="L130" s="39" t="s">
        <v>434</v>
      </c>
      <c r="M130" s="38" t="s">
        <v>435</v>
      </c>
      <c r="N130" s="43" t="n">
        <v>1</v>
      </c>
      <c r="O130" s="43"/>
      <c r="P130" s="39" t="s">
        <v>446</v>
      </c>
      <c r="Q130" s="39" t="s">
        <v>479</v>
      </c>
      <c r="R130" s="39"/>
    </row>
    <row r="131" customFormat="false" ht="23.85" hidden="false" customHeight="false" outlineLevel="0" collapsed="false">
      <c r="A131" s="37" t="s">
        <v>656</v>
      </c>
      <c r="B131" s="38" t="n">
        <v>3</v>
      </c>
      <c r="C131" s="39" t="s">
        <v>238</v>
      </c>
      <c r="D131" s="38" t="s">
        <v>239</v>
      </c>
      <c r="E131" s="39" t="s">
        <v>240</v>
      </c>
      <c r="F131" s="38" t="s">
        <v>65</v>
      </c>
      <c r="G131" s="39" t="s">
        <v>66</v>
      </c>
      <c r="H131" s="40" t="n">
        <f aca="false">INDEX(A_Scoring_Model!$C$5:$C$10,MATCH(F131,A_Scoring_Model!$A$5:$A$10,0))</f>
        <v>0.1</v>
      </c>
      <c r="I131" s="39" t="s">
        <v>449</v>
      </c>
      <c r="J131" s="39" t="s">
        <v>487</v>
      </c>
      <c r="K131" s="38" t="s">
        <v>445</v>
      </c>
      <c r="L131" s="39" t="s">
        <v>434</v>
      </c>
      <c r="M131" s="38" t="s">
        <v>435</v>
      </c>
      <c r="N131" s="43" t="n">
        <v>1</v>
      </c>
      <c r="O131" s="43"/>
      <c r="P131" s="39" t="s">
        <v>446</v>
      </c>
      <c r="Q131" s="39" t="s">
        <v>479</v>
      </c>
      <c r="R131" s="39"/>
    </row>
    <row r="132" customFormat="false" ht="23.85" hidden="false" customHeight="false" outlineLevel="0" collapsed="false">
      <c r="A132" s="45" t="s">
        <v>657</v>
      </c>
      <c r="B132" s="21" t="n">
        <v>3</v>
      </c>
      <c r="C132" s="16" t="s">
        <v>238</v>
      </c>
      <c r="D132" s="21" t="s">
        <v>246</v>
      </c>
      <c r="E132" s="16" t="s">
        <v>247</v>
      </c>
      <c r="F132" s="21" t="s">
        <v>50</v>
      </c>
      <c r="G132" s="16" t="s">
        <v>51</v>
      </c>
      <c r="H132" s="46" t="n">
        <f aca="false">INDEX(A_Scoring_Model!$C$5:$C$10,MATCH(F132,A_Scoring_Model!$A$5:$A$10,0))</f>
        <v>0.3</v>
      </c>
      <c r="I132" s="16" t="s">
        <v>431</v>
      </c>
      <c r="J132" s="16" t="s">
        <v>658</v>
      </c>
      <c r="K132" s="21" t="s">
        <v>433</v>
      </c>
      <c r="L132" s="16" t="s">
        <v>434</v>
      </c>
      <c r="M132" s="21" t="s">
        <v>435</v>
      </c>
      <c r="N132" s="48" t="n">
        <v>1</v>
      </c>
      <c r="O132" s="48" t="n">
        <v>0.98</v>
      </c>
      <c r="P132" s="16" t="s">
        <v>436</v>
      </c>
      <c r="Q132" s="16" t="s">
        <v>437</v>
      </c>
      <c r="R132" s="16" t="s">
        <v>251</v>
      </c>
    </row>
    <row r="133" customFormat="false" ht="23.85" hidden="false" customHeight="false" outlineLevel="0" collapsed="false">
      <c r="A133" s="45" t="s">
        <v>659</v>
      </c>
      <c r="B133" s="21" t="n">
        <v>3</v>
      </c>
      <c r="C133" s="16" t="s">
        <v>238</v>
      </c>
      <c r="D133" s="21" t="s">
        <v>246</v>
      </c>
      <c r="E133" s="16" t="s">
        <v>247</v>
      </c>
      <c r="F133" s="21" t="s">
        <v>50</v>
      </c>
      <c r="G133" s="16" t="s">
        <v>51</v>
      </c>
      <c r="H133" s="46" t="n">
        <f aca="false">INDEX(A_Scoring_Model!$C$5:$C$10,MATCH(F133,A_Scoring_Model!$A$5:$A$10,0))</f>
        <v>0.3</v>
      </c>
      <c r="I133" s="16" t="s">
        <v>431</v>
      </c>
      <c r="J133" s="16" t="s">
        <v>660</v>
      </c>
      <c r="K133" s="21" t="s">
        <v>433</v>
      </c>
      <c r="L133" s="16" t="s">
        <v>434</v>
      </c>
      <c r="M133" s="21" t="s">
        <v>435</v>
      </c>
      <c r="N133" s="48" t="n">
        <v>0.6</v>
      </c>
      <c r="O133" s="48" t="n">
        <v>0.4</v>
      </c>
      <c r="P133" s="16" t="s">
        <v>436</v>
      </c>
      <c r="Q133" s="16" t="s">
        <v>437</v>
      </c>
      <c r="R133" s="16" t="s">
        <v>251</v>
      </c>
    </row>
    <row r="134" customFormat="false" ht="23.85" hidden="false" customHeight="false" outlineLevel="0" collapsed="false">
      <c r="A134" s="45" t="s">
        <v>661</v>
      </c>
      <c r="B134" s="21" t="n">
        <v>3</v>
      </c>
      <c r="C134" s="16" t="s">
        <v>238</v>
      </c>
      <c r="D134" s="21" t="s">
        <v>246</v>
      </c>
      <c r="E134" s="16" t="s">
        <v>247</v>
      </c>
      <c r="F134" s="21" t="s">
        <v>50</v>
      </c>
      <c r="G134" s="16" t="s">
        <v>51</v>
      </c>
      <c r="H134" s="46" t="n">
        <f aca="false">INDEX(A_Scoring_Model!$C$5:$C$10,MATCH(F134,A_Scoring_Model!$A$5:$A$10,0))</f>
        <v>0.3</v>
      </c>
      <c r="I134" s="16" t="s">
        <v>431</v>
      </c>
      <c r="J134" s="16" t="s">
        <v>662</v>
      </c>
      <c r="K134" s="21" t="s">
        <v>433</v>
      </c>
      <c r="L134" s="16" t="s">
        <v>434</v>
      </c>
      <c r="M134" s="21" t="s">
        <v>435</v>
      </c>
      <c r="N134" s="48" t="n">
        <v>0.99</v>
      </c>
      <c r="O134" s="48" t="n">
        <v>0.97</v>
      </c>
      <c r="P134" s="16" t="s">
        <v>436</v>
      </c>
      <c r="Q134" s="16" t="s">
        <v>437</v>
      </c>
      <c r="R134" s="16" t="s">
        <v>251</v>
      </c>
    </row>
    <row r="135" customFormat="false" ht="23.85" hidden="false" customHeight="false" outlineLevel="0" collapsed="false">
      <c r="A135" s="45" t="s">
        <v>663</v>
      </c>
      <c r="B135" s="21" t="n">
        <v>3</v>
      </c>
      <c r="C135" s="16" t="s">
        <v>238</v>
      </c>
      <c r="D135" s="21" t="s">
        <v>246</v>
      </c>
      <c r="E135" s="16" t="s">
        <v>247</v>
      </c>
      <c r="F135" s="21" t="s">
        <v>50</v>
      </c>
      <c r="G135" s="16" t="s">
        <v>51</v>
      </c>
      <c r="H135" s="46" t="n">
        <f aca="false">INDEX(A_Scoring_Model!$C$5:$C$10,MATCH(F135,A_Scoring_Model!$A$5:$A$10,0))</f>
        <v>0.3</v>
      </c>
      <c r="I135" s="16" t="s">
        <v>431</v>
      </c>
      <c r="J135" s="16" t="s">
        <v>664</v>
      </c>
      <c r="K135" s="21" t="s">
        <v>433</v>
      </c>
      <c r="L135" s="16" t="s">
        <v>434</v>
      </c>
      <c r="M135" s="21" t="s">
        <v>435</v>
      </c>
      <c r="N135" s="48" t="n">
        <v>0.95</v>
      </c>
      <c r="O135" s="48" t="n">
        <v>0.85</v>
      </c>
      <c r="P135" s="16" t="s">
        <v>436</v>
      </c>
      <c r="Q135" s="16" t="s">
        <v>437</v>
      </c>
      <c r="R135" s="16" t="s">
        <v>251</v>
      </c>
    </row>
    <row r="136" customFormat="false" ht="23.85" hidden="false" customHeight="false" outlineLevel="0" collapsed="false">
      <c r="A136" s="45" t="s">
        <v>665</v>
      </c>
      <c r="B136" s="21" t="n">
        <v>3</v>
      </c>
      <c r="C136" s="16" t="s">
        <v>238</v>
      </c>
      <c r="D136" s="21" t="s">
        <v>246</v>
      </c>
      <c r="E136" s="16" t="s">
        <v>247</v>
      </c>
      <c r="F136" s="21" t="s">
        <v>53</v>
      </c>
      <c r="G136" s="16" t="s">
        <v>54</v>
      </c>
      <c r="H136" s="46" t="n">
        <f aca="false">INDEX(A_Scoring_Model!$C$5:$C$10,MATCH(F136,A_Scoring_Model!$A$5:$A$10,0))</f>
        <v>0.2</v>
      </c>
      <c r="I136" s="16" t="s">
        <v>431</v>
      </c>
      <c r="J136" s="16" t="s">
        <v>666</v>
      </c>
      <c r="K136" s="21" t="s">
        <v>445</v>
      </c>
      <c r="L136" s="16" t="s">
        <v>434</v>
      </c>
      <c r="M136" s="21" t="s">
        <v>435</v>
      </c>
      <c r="N136" s="19" t="n">
        <v>1</v>
      </c>
      <c r="O136" s="19"/>
      <c r="P136" s="16" t="s">
        <v>446</v>
      </c>
      <c r="Q136" s="16" t="s">
        <v>447</v>
      </c>
      <c r="R136" s="16"/>
    </row>
    <row r="137" customFormat="false" ht="23.85" hidden="false" customHeight="false" outlineLevel="0" collapsed="false">
      <c r="A137" s="45" t="s">
        <v>667</v>
      </c>
      <c r="B137" s="21" t="n">
        <v>3</v>
      </c>
      <c r="C137" s="16" t="s">
        <v>238</v>
      </c>
      <c r="D137" s="21" t="s">
        <v>246</v>
      </c>
      <c r="E137" s="16" t="s">
        <v>247</v>
      </c>
      <c r="F137" s="21" t="s">
        <v>53</v>
      </c>
      <c r="G137" s="16" t="s">
        <v>54</v>
      </c>
      <c r="H137" s="46" t="n">
        <f aca="false">INDEX(A_Scoring_Model!$C$5:$C$10,MATCH(F137,A_Scoring_Model!$A$5:$A$10,0))</f>
        <v>0.2</v>
      </c>
      <c r="I137" s="16" t="s">
        <v>449</v>
      </c>
      <c r="J137" s="16" t="s">
        <v>450</v>
      </c>
      <c r="K137" s="21" t="s">
        <v>451</v>
      </c>
      <c r="L137" s="16" t="s">
        <v>434</v>
      </c>
      <c r="M137" s="21" t="s">
        <v>435</v>
      </c>
      <c r="N137" s="49" t="n">
        <v>3</v>
      </c>
      <c r="O137" s="49" t="n">
        <v>2</v>
      </c>
      <c r="P137" s="16" t="s">
        <v>436</v>
      </c>
      <c r="Q137" s="16" t="s">
        <v>447</v>
      </c>
      <c r="R137" s="16"/>
    </row>
    <row r="138" customFormat="false" ht="23.85" hidden="false" customHeight="false" outlineLevel="0" collapsed="false">
      <c r="A138" s="45" t="s">
        <v>668</v>
      </c>
      <c r="B138" s="21" t="n">
        <v>3</v>
      </c>
      <c r="C138" s="16" t="s">
        <v>238</v>
      </c>
      <c r="D138" s="21" t="s">
        <v>246</v>
      </c>
      <c r="E138" s="16" t="s">
        <v>247</v>
      </c>
      <c r="F138" s="21" t="s">
        <v>53</v>
      </c>
      <c r="G138" s="16" t="s">
        <v>54</v>
      </c>
      <c r="H138" s="46" t="n">
        <f aca="false">INDEX(A_Scoring_Model!$C$5:$C$10,MATCH(F138,A_Scoring_Model!$A$5:$A$10,0))</f>
        <v>0.2</v>
      </c>
      <c r="I138" s="16" t="s">
        <v>449</v>
      </c>
      <c r="J138" s="16" t="s">
        <v>453</v>
      </c>
      <c r="K138" s="21" t="s">
        <v>445</v>
      </c>
      <c r="L138" s="16" t="s">
        <v>434</v>
      </c>
      <c r="M138" s="21" t="s">
        <v>435</v>
      </c>
      <c r="N138" s="19" t="n">
        <v>1</v>
      </c>
      <c r="O138" s="19"/>
      <c r="P138" s="16" t="s">
        <v>446</v>
      </c>
      <c r="Q138" s="16" t="s">
        <v>447</v>
      </c>
      <c r="R138" s="16"/>
    </row>
    <row r="139" customFormat="false" ht="23.85" hidden="false" customHeight="false" outlineLevel="0" collapsed="false">
      <c r="A139" s="45" t="s">
        <v>669</v>
      </c>
      <c r="B139" s="21" t="n">
        <v>3</v>
      </c>
      <c r="C139" s="16" t="s">
        <v>238</v>
      </c>
      <c r="D139" s="21" t="s">
        <v>246</v>
      </c>
      <c r="E139" s="16" t="s">
        <v>247</v>
      </c>
      <c r="F139" s="21" t="s">
        <v>56</v>
      </c>
      <c r="G139" s="16" t="s">
        <v>57</v>
      </c>
      <c r="H139" s="46" t="n">
        <f aca="false">INDEX(A_Scoring_Model!$C$5:$C$10,MATCH(F139,A_Scoring_Model!$A$5:$A$10,0))</f>
        <v>0.15</v>
      </c>
      <c r="I139" s="16" t="s">
        <v>431</v>
      </c>
      <c r="J139" s="16" t="s">
        <v>670</v>
      </c>
      <c r="K139" s="21" t="s">
        <v>503</v>
      </c>
      <c r="L139" s="16" t="s">
        <v>461</v>
      </c>
      <c r="M139" s="21" t="s">
        <v>462</v>
      </c>
      <c r="N139" s="49" t="n">
        <v>10</v>
      </c>
      <c r="O139" s="49"/>
      <c r="P139" s="16" t="s">
        <v>446</v>
      </c>
      <c r="Q139" s="16" t="s">
        <v>457</v>
      </c>
      <c r="R139" s="16"/>
    </row>
    <row r="140" customFormat="false" ht="23.85" hidden="false" customHeight="false" outlineLevel="0" collapsed="false">
      <c r="A140" s="45" t="s">
        <v>671</v>
      </c>
      <c r="B140" s="21" t="n">
        <v>3</v>
      </c>
      <c r="C140" s="16" t="s">
        <v>238</v>
      </c>
      <c r="D140" s="21" t="s">
        <v>246</v>
      </c>
      <c r="E140" s="16" t="s">
        <v>247</v>
      </c>
      <c r="F140" s="21" t="s">
        <v>56</v>
      </c>
      <c r="G140" s="16" t="s">
        <v>57</v>
      </c>
      <c r="H140" s="46" t="n">
        <f aca="false">INDEX(A_Scoring_Model!$C$5:$C$10,MATCH(F140,A_Scoring_Model!$A$5:$A$10,0))</f>
        <v>0.15</v>
      </c>
      <c r="I140" s="16" t="s">
        <v>449</v>
      </c>
      <c r="J140" s="16" t="s">
        <v>464</v>
      </c>
      <c r="K140" s="21" t="s">
        <v>433</v>
      </c>
      <c r="L140" s="16" t="s">
        <v>461</v>
      </c>
      <c r="M140" s="21" t="s">
        <v>462</v>
      </c>
      <c r="N140" s="48" t="n">
        <v>0.2</v>
      </c>
      <c r="O140" s="48" t="n">
        <v>0.4</v>
      </c>
      <c r="P140" s="16" t="s">
        <v>436</v>
      </c>
      <c r="Q140" s="16" t="s">
        <v>457</v>
      </c>
      <c r="R140" s="16"/>
    </row>
    <row r="141" customFormat="false" ht="23.85" hidden="false" customHeight="false" outlineLevel="0" collapsed="false">
      <c r="A141" s="45" t="s">
        <v>672</v>
      </c>
      <c r="B141" s="21" t="n">
        <v>3</v>
      </c>
      <c r="C141" s="16" t="s">
        <v>238</v>
      </c>
      <c r="D141" s="21" t="s">
        <v>246</v>
      </c>
      <c r="E141" s="16" t="s">
        <v>247</v>
      </c>
      <c r="F141" s="21" t="s">
        <v>59</v>
      </c>
      <c r="G141" s="16" t="s">
        <v>60</v>
      </c>
      <c r="H141" s="46" t="n">
        <f aca="false">INDEX(A_Scoring_Model!$C$5:$C$10,MATCH(F141,A_Scoring_Model!$A$5:$A$10,0))</f>
        <v>0.1</v>
      </c>
      <c r="I141" s="16" t="s">
        <v>431</v>
      </c>
      <c r="J141" s="16" t="s">
        <v>673</v>
      </c>
      <c r="K141" s="21" t="s">
        <v>451</v>
      </c>
      <c r="L141" s="16" t="s">
        <v>461</v>
      </c>
      <c r="M141" s="21" t="s">
        <v>462</v>
      </c>
      <c r="N141" s="49" t="n">
        <v>0</v>
      </c>
      <c r="O141" s="49"/>
      <c r="P141" s="16" t="s">
        <v>446</v>
      </c>
      <c r="Q141" s="16" t="s">
        <v>467</v>
      </c>
      <c r="R141" s="16"/>
    </row>
    <row r="142" customFormat="false" ht="23.85" hidden="false" customHeight="false" outlineLevel="0" collapsed="false">
      <c r="A142" s="45" t="s">
        <v>674</v>
      </c>
      <c r="B142" s="21" t="n">
        <v>3</v>
      </c>
      <c r="C142" s="16" t="s">
        <v>238</v>
      </c>
      <c r="D142" s="21" t="s">
        <v>246</v>
      </c>
      <c r="E142" s="16" t="s">
        <v>247</v>
      </c>
      <c r="F142" s="21" t="s">
        <v>59</v>
      </c>
      <c r="G142" s="16" t="s">
        <v>60</v>
      </c>
      <c r="H142" s="46" t="n">
        <f aca="false">INDEX(A_Scoring_Model!$C$5:$C$10,MATCH(F142,A_Scoring_Model!$A$5:$A$10,0))</f>
        <v>0.1</v>
      </c>
      <c r="I142" s="16" t="s">
        <v>449</v>
      </c>
      <c r="J142" s="16" t="s">
        <v>471</v>
      </c>
      <c r="K142" s="21" t="s">
        <v>433</v>
      </c>
      <c r="L142" s="16" t="s">
        <v>434</v>
      </c>
      <c r="M142" s="21" t="s">
        <v>435</v>
      </c>
      <c r="N142" s="48" t="n">
        <v>0.995</v>
      </c>
      <c r="O142" s="48" t="n">
        <v>0.99</v>
      </c>
      <c r="P142" s="16" t="s">
        <v>436</v>
      </c>
      <c r="Q142" s="16" t="s">
        <v>467</v>
      </c>
      <c r="R142" s="16"/>
    </row>
    <row r="143" customFormat="false" ht="23.85" hidden="false" customHeight="false" outlineLevel="0" collapsed="false">
      <c r="A143" s="45" t="s">
        <v>675</v>
      </c>
      <c r="B143" s="21" t="n">
        <v>3</v>
      </c>
      <c r="C143" s="16" t="s">
        <v>238</v>
      </c>
      <c r="D143" s="21" t="s">
        <v>246</v>
      </c>
      <c r="E143" s="16" t="s">
        <v>247</v>
      </c>
      <c r="F143" s="21" t="s">
        <v>62</v>
      </c>
      <c r="G143" s="16" t="s">
        <v>63</v>
      </c>
      <c r="H143" s="46" t="n">
        <f aca="false">INDEX(A_Scoring_Model!$C$5:$C$10,MATCH(F143,A_Scoring_Model!$A$5:$A$10,0))</f>
        <v>0.15</v>
      </c>
      <c r="I143" s="16" t="s">
        <v>431</v>
      </c>
      <c r="J143" s="16" t="s">
        <v>676</v>
      </c>
      <c r="K143" s="21" t="s">
        <v>433</v>
      </c>
      <c r="L143" s="16" t="s">
        <v>434</v>
      </c>
      <c r="M143" s="21" t="s">
        <v>435</v>
      </c>
      <c r="N143" s="48" t="n">
        <v>0.7</v>
      </c>
      <c r="O143" s="48"/>
      <c r="P143" s="16" t="s">
        <v>446</v>
      </c>
      <c r="Q143" s="16" t="s">
        <v>474</v>
      </c>
      <c r="R143" s="16"/>
    </row>
    <row r="144" customFormat="false" ht="23.85" hidden="false" customHeight="false" outlineLevel="0" collapsed="false">
      <c r="A144" s="45" t="s">
        <v>677</v>
      </c>
      <c r="B144" s="21" t="n">
        <v>3</v>
      </c>
      <c r="C144" s="16" t="s">
        <v>238</v>
      </c>
      <c r="D144" s="21" t="s">
        <v>246</v>
      </c>
      <c r="E144" s="16" t="s">
        <v>247</v>
      </c>
      <c r="F144" s="21" t="s">
        <v>65</v>
      </c>
      <c r="G144" s="16" t="s">
        <v>66</v>
      </c>
      <c r="H144" s="46" t="n">
        <f aca="false">INDEX(A_Scoring_Model!$C$5:$C$10,MATCH(F144,A_Scoring_Model!$A$5:$A$10,0))</f>
        <v>0.1</v>
      </c>
      <c r="I144" s="16" t="s">
        <v>449</v>
      </c>
      <c r="J144" s="16" t="s">
        <v>478</v>
      </c>
      <c r="K144" s="21" t="s">
        <v>433</v>
      </c>
      <c r="L144" s="16" t="s">
        <v>434</v>
      </c>
      <c r="M144" s="21" t="s">
        <v>435</v>
      </c>
      <c r="N144" s="48" t="n">
        <v>0.8</v>
      </c>
      <c r="O144" s="48" t="n">
        <v>0.6</v>
      </c>
      <c r="P144" s="16" t="s">
        <v>436</v>
      </c>
      <c r="Q144" s="16" t="s">
        <v>479</v>
      </c>
      <c r="R144" s="16"/>
    </row>
    <row r="145" customFormat="false" ht="23.85" hidden="false" customHeight="false" outlineLevel="0" collapsed="false">
      <c r="A145" s="45" t="s">
        <v>678</v>
      </c>
      <c r="B145" s="21" t="n">
        <v>3</v>
      </c>
      <c r="C145" s="16" t="s">
        <v>238</v>
      </c>
      <c r="D145" s="21" t="s">
        <v>246</v>
      </c>
      <c r="E145" s="16" t="s">
        <v>247</v>
      </c>
      <c r="F145" s="21" t="s">
        <v>65</v>
      </c>
      <c r="G145" s="16" t="s">
        <v>66</v>
      </c>
      <c r="H145" s="46" t="n">
        <f aca="false">INDEX(A_Scoring_Model!$C$5:$C$10,MATCH(F145,A_Scoring_Model!$A$5:$A$10,0))</f>
        <v>0.1</v>
      </c>
      <c r="I145" s="16" t="s">
        <v>449</v>
      </c>
      <c r="J145" s="16" t="s">
        <v>481</v>
      </c>
      <c r="K145" s="21" t="s">
        <v>451</v>
      </c>
      <c r="L145" s="16" t="s">
        <v>461</v>
      </c>
      <c r="M145" s="21" t="s">
        <v>462</v>
      </c>
      <c r="N145" s="49" t="n">
        <v>0</v>
      </c>
      <c r="O145" s="49"/>
      <c r="P145" s="16" t="s">
        <v>446</v>
      </c>
      <c r="Q145" s="16" t="s">
        <v>479</v>
      </c>
      <c r="R145" s="16"/>
    </row>
    <row r="146" customFormat="false" ht="23.85" hidden="false" customHeight="false" outlineLevel="0" collapsed="false">
      <c r="A146" s="45" t="s">
        <v>679</v>
      </c>
      <c r="B146" s="21" t="n">
        <v>3</v>
      </c>
      <c r="C146" s="16" t="s">
        <v>238</v>
      </c>
      <c r="D146" s="21" t="s">
        <v>246</v>
      </c>
      <c r="E146" s="16" t="s">
        <v>247</v>
      </c>
      <c r="F146" s="21" t="s">
        <v>65</v>
      </c>
      <c r="G146" s="16" t="s">
        <v>66</v>
      </c>
      <c r="H146" s="46" t="n">
        <f aca="false">INDEX(A_Scoring_Model!$C$5:$C$10,MATCH(F146,A_Scoring_Model!$A$5:$A$10,0))</f>
        <v>0.1</v>
      </c>
      <c r="I146" s="16" t="s">
        <v>449</v>
      </c>
      <c r="J146" s="16" t="s">
        <v>483</v>
      </c>
      <c r="K146" s="21" t="s">
        <v>451</v>
      </c>
      <c r="L146" s="16" t="s">
        <v>461</v>
      </c>
      <c r="M146" s="21" t="s">
        <v>462</v>
      </c>
      <c r="N146" s="49" t="n">
        <v>0</v>
      </c>
      <c r="O146" s="49"/>
      <c r="P146" s="16" t="s">
        <v>446</v>
      </c>
      <c r="Q146" s="16" t="s">
        <v>479</v>
      </c>
      <c r="R146" s="16"/>
    </row>
    <row r="147" customFormat="false" ht="23.85" hidden="false" customHeight="false" outlineLevel="0" collapsed="false">
      <c r="A147" s="45" t="s">
        <v>680</v>
      </c>
      <c r="B147" s="21" t="n">
        <v>3</v>
      </c>
      <c r="C147" s="16" t="s">
        <v>238</v>
      </c>
      <c r="D147" s="21" t="s">
        <v>246</v>
      </c>
      <c r="E147" s="16" t="s">
        <v>247</v>
      </c>
      <c r="F147" s="21" t="s">
        <v>65</v>
      </c>
      <c r="G147" s="16" t="s">
        <v>66</v>
      </c>
      <c r="H147" s="46" t="n">
        <f aca="false">INDEX(A_Scoring_Model!$C$5:$C$10,MATCH(F147,A_Scoring_Model!$A$5:$A$10,0))</f>
        <v>0.1</v>
      </c>
      <c r="I147" s="16" t="s">
        <v>449</v>
      </c>
      <c r="J147" s="16" t="s">
        <v>485</v>
      </c>
      <c r="K147" s="21" t="s">
        <v>445</v>
      </c>
      <c r="L147" s="16" t="s">
        <v>434</v>
      </c>
      <c r="M147" s="21" t="s">
        <v>435</v>
      </c>
      <c r="N147" s="19" t="n">
        <v>1</v>
      </c>
      <c r="O147" s="19"/>
      <c r="P147" s="16" t="s">
        <v>446</v>
      </c>
      <c r="Q147" s="16" t="s">
        <v>479</v>
      </c>
      <c r="R147" s="16"/>
    </row>
    <row r="148" customFormat="false" ht="23.85" hidden="false" customHeight="false" outlineLevel="0" collapsed="false">
      <c r="A148" s="45" t="s">
        <v>681</v>
      </c>
      <c r="B148" s="21" t="n">
        <v>3</v>
      </c>
      <c r="C148" s="16" t="s">
        <v>238</v>
      </c>
      <c r="D148" s="21" t="s">
        <v>246</v>
      </c>
      <c r="E148" s="16" t="s">
        <v>247</v>
      </c>
      <c r="F148" s="21" t="s">
        <v>65</v>
      </c>
      <c r="G148" s="16" t="s">
        <v>66</v>
      </c>
      <c r="H148" s="46" t="n">
        <f aca="false">INDEX(A_Scoring_Model!$C$5:$C$10,MATCH(F148,A_Scoring_Model!$A$5:$A$10,0))</f>
        <v>0.1</v>
      </c>
      <c r="I148" s="16" t="s">
        <v>449</v>
      </c>
      <c r="J148" s="16" t="s">
        <v>487</v>
      </c>
      <c r="K148" s="21" t="s">
        <v>445</v>
      </c>
      <c r="L148" s="16" t="s">
        <v>434</v>
      </c>
      <c r="M148" s="21" t="s">
        <v>435</v>
      </c>
      <c r="N148" s="19" t="n">
        <v>1</v>
      </c>
      <c r="O148" s="19"/>
      <c r="P148" s="16" t="s">
        <v>446</v>
      </c>
      <c r="Q148" s="16" t="s">
        <v>479</v>
      </c>
      <c r="R148" s="16"/>
    </row>
    <row r="149" customFormat="false" ht="23.85" hidden="false" customHeight="false" outlineLevel="0" collapsed="false">
      <c r="A149" s="37" t="s">
        <v>682</v>
      </c>
      <c r="B149" s="38" t="n">
        <v>3</v>
      </c>
      <c r="C149" s="39" t="s">
        <v>238</v>
      </c>
      <c r="D149" s="38" t="s">
        <v>253</v>
      </c>
      <c r="E149" s="39" t="s">
        <v>254</v>
      </c>
      <c r="F149" s="38" t="s">
        <v>50</v>
      </c>
      <c r="G149" s="39" t="s">
        <v>51</v>
      </c>
      <c r="H149" s="40" t="n">
        <f aca="false">INDEX(A_Scoring_Model!$C$5:$C$10,MATCH(F149,A_Scoring_Model!$A$5:$A$10,0))</f>
        <v>0.3</v>
      </c>
      <c r="I149" s="39" t="s">
        <v>431</v>
      </c>
      <c r="J149" s="39" t="s">
        <v>683</v>
      </c>
      <c r="K149" s="38" t="s">
        <v>433</v>
      </c>
      <c r="L149" s="39" t="s">
        <v>434</v>
      </c>
      <c r="M149" s="38" t="s">
        <v>435</v>
      </c>
      <c r="N149" s="41" t="n">
        <v>0.85</v>
      </c>
      <c r="O149" s="41" t="n">
        <v>0.7</v>
      </c>
      <c r="P149" s="39" t="s">
        <v>436</v>
      </c>
      <c r="Q149" s="39" t="s">
        <v>437</v>
      </c>
      <c r="R149" s="39" t="s">
        <v>258</v>
      </c>
    </row>
    <row r="150" customFormat="false" ht="23.85" hidden="false" customHeight="false" outlineLevel="0" collapsed="false">
      <c r="A150" s="37" t="s">
        <v>684</v>
      </c>
      <c r="B150" s="38" t="n">
        <v>3</v>
      </c>
      <c r="C150" s="39" t="s">
        <v>238</v>
      </c>
      <c r="D150" s="38" t="s">
        <v>253</v>
      </c>
      <c r="E150" s="39" t="s">
        <v>254</v>
      </c>
      <c r="F150" s="38" t="s">
        <v>50</v>
      </c>
      <c r="G150" s="39" t="s">
        <v>51</v>
      </c>
      <c r="H150" s="40" t="n">
        <f aca="false">INDEX(A_Scoring_Model!$C$5:$C$10,MATCH(F150,A_Scoring_Model!$A$5:$A$10,0))</f>
        <v>0.3</v>
      </c>
      <c r="I150" s="39" t="s">
        <v>431</v>
      </c>
      <c r="J150" s="39" t="s">
        <v>685</v>
      </c>
      <c r="K150" s="38" t="s">
        <v>490</v>
      </c>
      <c r="L150" s="39" t="s">
        <v>434</v>
      </c>
      <c r="M150" s="38" t="s">
        <v>435</v>
      </c>
      <c r="N150" s="42" t="n">
        <v>0.8</v>
      </c>
      <c r="O150" s="42" t="n">
        <v>0.65</v>
      </c>
      <c r="P150" s="39" t="s">
        <v>436</v>
      </c>
      <c r="Q150" s="39" t="s">
        <v>437</v>
      </c>
      <c r="R150" s="39" t="s">
        <v>258</v>
      </c>
    </row>
    <row r="151" customFormat="false" ht="23.85" hidden="false" customHeight="false" outlineLevel="0" collapsed="false">
      <c r="A151" s="37" t="s">
        <v>686</v>
      </c>
      <c r="B151" s="38" t="n">
        <v>3</v>
      </c>
      <c r="C151" s="39" t="s">
        <v>238</v>
      </c>
      <c r="D151" s="38" t="s">
        <v>253</v>
      </c>
      <c r="E151" s="39" t="s">
        <v>254</v>
      </c>
      <c r="F151" s="38" t="s">
        <v>50</v>
      </c>
      <c r="G151" s="39" t="s">
        <v>51</v>
      </c>
      <c r="H151" s="40" t="n">
        <f aca="false">INDEX(A_Scoring_Model!$C$5:$C$10,MATCH(F151,A_Scoring_Model!$A$5:$A$10,0))</f>
        <v>0.3</v>
      </c>
      <c r="I151" s="39" t="s">
        <v>431</v>
      </c>
      <c r="J151" s="39" t="s">
        <v>687</v>
      </c>
      <c r="K151" s="38" t="s">
        <v>490</v>
      </c>
      <c r="L151" s="39" t="s">
        <v>434</v>
      </c>
      <c r="M151" s="38" t="s">
        <v>435</v>
      </c>
      <c r="N151" s="42" t="n">
        <v>0.85</v>
      </c>
      <c r="O151" s="42" t="n">
        <v>0.7</v>
      </c>
      <c r="P151" s="39" t="s">
        <v>436</v>
      </c>
      <c r="Q151" s="39" t="s">
        <v>437</v>
      </c>
      <c r="R151" s="39" t="s">
        <v>258</v>
      </c>
    </row>
    <row r="152" customFormat="false" ht="23.85" hidden="false" customHeight="false" outlineLevel="0" collapsed="false">
      <c r="A152" s="37" t="s">
        <v>688</v>
      </c>
      <c r="B152" s="38" t="n">
        <v>3</v>
      </c>
      <c r="C152" s="39" t="s">
        <v>238</v>
      </c>
      <c r="D152" s="38" t="s">
        <v>253</v>
      </c>
      <c r="E152" s="39" t="s">
        <v>254</v>
      </c>
      <c r="F152" s="38" t="s">
        <v>53</v>
      </c>
      <c r="G152" s="39" t="s">
        <v>54</v>
      </c>
      <c r="H152" s="40" t="n">
        <f aca="false">INDEX(A_Scoring_Model!$C$5:$C$10,MATCH(F152,A_Scoring_Model!$A$5:$A$10,0))</f>
        <v>0.2</v>
      </c>
      <c r="I152" s="39" t="s">
        <v>431</v>
      </c>
      <c r="J152" s="39" t="s">
        <v>689</v>
      </c>
      <c r="K152" s="38" t="s">
        <v>445</v>
      </c>
      <c r="L152" s="39" t="s">
        <v>434</v>
      </c>
      <c r="M152" s="38" t="s">
        <v>435</v>
      </c>
      <c r="N152" s="43" t="n">
        <v>1</v>
      </c>
      <c r="O152" s="43"/>
      <c r="P152" s="39" t="s">
        <v>446</v>
      </c>
      <c r="Q152" s="39" t="s">
        <v>447</v>
      </c>
      <c r="R152" s="39"/>
    </row>
    <row r="153" customFormat="false" ht="23.85" hidden="false" customHeight="false" outlineLevel="0" collapsed="false">
      <c r="A153" s="37" t="s">
        <v>690</v>
      </c>
      <c r="B153" s="38" t="n">
        <v>3</v>
      </c>
      <c r="C153" s="39" t="s">
        <v>238</v>
      </c>
      <c r="D153" s="38" t="s">
        <v>253</v>
      </c>
      <c r="E153" s="39" t="s">
        <v>254</v>
      </c>
      <c r="F153" s="38" t="s">
        <v>53</v>
      </c>
      <c r="G153" s="39" t="s">
        <v>54</v>
      </c>
      <c r="H153" s="40" t="n">
        <f aca="false">INDEX(A_Scoring_Model!$C$5:$C$10,MATCH(F153,A_Scoring_Model!$A$5:$A$10,0))</f>
        <v>0.2</v>
      </c>
      <c r="I153" s="39" t="s">
        <v>449</v>
      </c>
      <c r="J153" s="39" t="s">
        <v>450</v>
      </c>
      <c r="K153" s="38" t="s">
        <v>451</v>
      </c>
      <c r="L153" s="39" t="s">
        <v>434</v>
      </c>
      <c r="M153" s="38" t="s">
        <v>435</v>
      </c>
      <c r="N153" s="44" t="n">
        <v>3</v>
      </c>
      <c r="O153" s="44" t="n">
        <v>2</v>
      </c>
      <c r="P153" s="39" t="s">
        <v>436</v>
      </c>
      <c r="Q153" s="39" t="s">
        <v>447</v>
      </c>
      <c r="R153" s="39"/>
    </row>
    <row r="154" customFormat="false" ht="23.85" hidden="false" customHeight="false" outlineLevel="0" collapsed="false">
      <c r="A154" s="37" t="s">
        <v>691</v>
      </c>
      <c r="B154" s="38" t="n">
        <v>3</v>
      </c>
      <c r="C154" s="39" t="s">
        <v>238</v>
      </c>
      <c r="D154" s="38" t="s">
        <v>253</v>
      </c>
      <c r="E154" s="39" t="s">
        <v>254</v>
      </c>
      <c r="F154" s="38" t="s">
        <v>53</v>
      </c>
      <c r="G154" s="39" t="s">
        <v>54</v>
      </c>
      <c r="H154" s="40" t="n">
        <f aca="false">INDEX(A_Scoring_Model!$C$5:$C$10,MATCH(F154,A_Scoring_Model!$A$5:$A$10,0))</f>
        <v>0.2</v>
      </c>
      <c r="I154" s="39" t="s">
        <v>449</v>
      </c>
      <c r="J154" s="39" t="s">
        <v>453</v>
      </c>
      <c r="K154" s="38" t="s">
        <v>445</v>
      </c>
      <c r="L154" s="39" t="s">
        <v>434</v>
      </c>
      <c r="M154" s="38" t="s">
        <v>435</v>
      </c>
      <c r="N154" s="43" t="n">
        <v>1</v>
      </c>
      <c r="O154" s="43"/>
      <c r="P154" s="39" t="s">
        <v>446</v>
      </c>
      <c r="Q154" s="39" t="s">
        <v>447</v>
      </c>
      <c r="R154" s="39"/>
    </row>
    <row r="155" customFormat="false" ht="23.85" hidden="false" customHeight="false" outlineLevel="0" collapsed="false">
      <c r="A155" s="37" t="s">
        <v>692</v>
      </c>
      <c r="B155" s="38" t="n">
        <v>3</v>
      </c>
      <c r="C155" s="39" t="s">
        <v>238</v>
      </c>
      <c r="D155" s="38" t="s">
        <v>253</v>
      </c>
      <c r="E155" s="39" t="s">
        <v>254</v>
      </c>
      <c r="F155" s="38" t="s">
        <v>56</v>
      </c>
      <c r="G155" s="39" t="s">
        <v>57</v>
      </c>
      <c r="H155" s="40" t="n">
        <f aca="false">INDEX(A_Scoring_Model!$C$5:$C$10,MATCH(F155,A_Scoring_Model!$A$5:$A$10,0))</f>
        <v>0.15</v>
      </c>
      <c r="I155" s="39" t="s">
        <v>431</v>
      </c>
      <c r="J155" s="39" t="s">
        <v>693</v>
      </c>
      <c r="K155" s="38" t="s">
        <v>694</v>
      </c>
      <c r="L155" s="39" t="s">
        <v>434</v>
      </c>
      <c r="M155" s="38" t="s">
        <v>435</v>
      </c>
      <c r="N155" s="44" t="n">
        <v>100</v>
      </c>
      <c r="O155" s="44"/>
      <c r="P155" s="39" t="s">
        <v>446</v>
      </c>
      <c r="Q155" s="39" t="s">
        <v>457</v>
      </c>
      <c r="R155" s="39"/>
    </row>
    <row r="156" customFormat="false" ht="23.85" hidden="false" customHeight="false" outlineLevel="0" collapsed="false">
      <c r="A156" s="37" t="s">
        <v>695</v>
      </c>
      <c r="B156" s="38" t="n">
        <v>3</v>
      </c>
      <c r="C156" s="39" t="s">
        <v>238</v>
      </c>
      <c r="D156" s="38" t="s">
        <v>253</v>
      </c>
      <c r="E156" s="39" t="s">
        <v>254</v>
      </c>
      <c r="F156" s="38" t="s">
        <v>56</v>
      </c>
      <c r="G156" s="39" t="s">
        <v>57</v>
      </c>
      <c r="H156" s="40" t="n">
        <f aca="false">INDEX(A_Scoring_Model!$C$5:$C$10,MATCH(F156,A_Scoring_Model!$A$5:$A$10,0))</f>
        <v>0.15</v>
      </c>
      <c r="I156" s="39" t="s">
        <v>431</v>
      </c>
      <c r="J156" s="39" t="s">
        <v>696</v>
      </c>
      <c r="K156" s="38" t="s">
        <v>503</v>
      </c>
      <c r="L156" s="39" t="s">
        <v>461</v>
      </c>
      <c r="M156" s="38" t="s">
        <v>462</v>
      </c>
      <c r="N156" s="44" t="n">
        <v>15</v>
      </c>
      <c r="O156" s="44"/>
      <c r="P156" s="39" t="s">
        <v>446</v>
      </c>
      <c r="Q156" s="39" t="s">
        <v>457</v>
      </c>
      <c r="R156" s="39"/>
    </row>
    <row r="157" customFormat="false" ht="23.85" hidden="false" customHeight="false" outlineLevel="0" collapsed="false">
      <c r="A157" s="37" t="s">
        <v>697</v>
      </c>
      <c r="B157" s="38" t="n">
        <v>3</v>
      </c>
      <c r="C157" s="39" t="s">
        <v>238</v>
      </c>
      <c r="D157" s="38" t="s">
        <v>253</v>
      </c>
      <c r="E157" s="39" t="s">
        <v>254</v>
      </c>
      <c r="F157" s="38" t="s">
        <v>56</v>
      </c>
      <c r="G157" s="39" t="s">
        <v>57</v>
      </c>
      <c r="H157" s="40" t="n">
        <f aca="false">INDEX(A_Scoring_Model!$C$5:$C$10,MATCH(F157,A_Scoring_Model!$A$5:$A$10,0))</f>
        <v>0.15</v>
      </c>
      <c r="I157" s="39" t="s">
        <v>449</v>
      </c>
      <c r="J157" s="39" t="s">
        <v>464</v>
      </c>
      <c r="K157" s="38" t="s">
        <v>433</v>
      </c>
      <c r="L157" s="39" t="s">
        <v>461</v>
      </c>
      <c r="M157" s="38" t="s">
        <v>462</v>
      </c>
      <c r="N157" s="41" t="n">
        <v>0.2</v>
      </c>
      <c r="O157" s="41" t="n">
        <v>0.4</v>
      </c>
      <c r="P157" s="39" t="s">
        <v>436</v>
      </c>
      <c r="Q157" s="39" t="s">
        <v>457</v>
      </c>
      <c r="R157" s="39"/>
    </row>
    <row r="158" customFormat="false" ht="23.85" hidden="false" customHeight="false" outlineLevel="0" collapsed="false">
      <c r="A158" s="37" t="s">
        <v>698</v>
      </c>
      <c r="B158" s="38" t="n">
        <v>3</v>
      </c>
      <c r="C158" s="39" t="s">
        <v>238</v>
      </c>
      <c r="D158" s="38" t="s">
        <v>253</v>
      </c>
      <c r="E158" s="39" t="s">
        <v>254</v>
      </c>
      <c r="F158" s="38" t="s">
        <v>59</v>
      </c>
      <c r="G158" s="39" t="s">
        <v>60</v>
      </c>
      <c r="H158" s="40" t="n">
        <f aca="false">INDEX(A_Scoring_Model!$C$5:$C$10,MATCH(F158,A_Scoring_Model!$A$5:$A$10,0))</f>
        <v>0.1</v>
      </c>
      <c r="I158" s="39" t="s">
        <v>431</v>
      </c>
      <c r="J158" s="39" t="s">
        <v>699</v>
      </c>
      <c r="K158" s="38" t="s">
        <v>451</v>
      </c>
      <c r="L158" s="39" t="s">
        <v>461</v>
      </c>
      <c r="M158" s="38" t="s">
        <v>462</v>
      </c>
      <c r="N158" s="44" t="n">
        <v>0</v>
      </c>
      <c r="O158" s="44"/>
      <c r="P158" s="39" t="s">
        <v>446</v>
      </c>
      <c r="Q158" s="39" t="s">
        <v>467</v>
      </c>
      <c r="R158" s="39"/>
    </row>
    <row r="159" customFormat="false" ht="23.85" hidden="false" customHeight="false" outlineLevel="0" collapsed="false">
      <c r="A159" s="37" t="s">
        <v>700</v>
      </c>
      <c r="B159" s="38" t="n">
        <v>3</v>
      </c>
      <c r="C159" s="39" t="s">
        <v>238</v>
      </c>
      <c r="D159" s="38" t="s">
        <v>253</v>
      </c>
      <c r="E159" s="39" t="s">
        <v>254</v>
      </c>
      <c r="F159" s="38" t="s">
        <v>59</v>
      </c>
      <c r="G159" s="39" t="s">
        <v>60</v>
      </c>
      <c r="H159" s="40" t="n">
        <f aca="false">INDEX(A_Scoring_Model!$C$5:$C$10,MATCH(F159,A_Scoring_Model!$A$5:$A$10,0))</f>
        <v>0.1</v>
      </c>
      <c r="I159" s="39" t="s">
        <v>449</v>
      </c>
      <c r="J159" s="39" t="s">
        <v>471</v>
      </c>
      <c r="K159" s="38" t="s">
        <v>433</v>
      </c>
      <c r="L159" s="39" t="s">
        <v>434</v>
      </c>
      <c r="M159" s="38" t="s">
        <v>435</v>
      </c>
      <c r="N159" s="41" t="n">
        <v>0.995</v>
      </c>
      <c r="O159" s="41" t="n">
        <v>0.99</v>
      </c>
      <c r="P159" s="39" t="s">
        <v>436</v>
      </c>
      <c r="Q159" s="39" t="s">
        <v>467</v>
      </c>
      <c r="R159" s="39"/>
    </row>
    <row r="160" customFormat="false" ht="23.85" hidden="false" customHeight="false" outlineLevel="0" collapsed="false">
      <c r="A160" s="37" t="s">
        <v>701</v>
      </c>
      <c r="B160" s="38" t="n">
        <v>3</v>
      </c>
      <c r="C160" s="39" t="s">
        <v>238</v>
      </c>
      <c r="D160" s="38" t="s">
        <v>253</v>
      </c>
      <c r="E160" s="39" t="s">
        <v>254</v>
      </c>
      <c r="F160" s="38" t="s">
        <v>62</v>
      </c>
      <c r="G160" s="39" t="s">
        <v>63</v>
      </c>
      <c r="H160" s="40" t="n">
        <f aca="false">INDEX(A_Scoring_Model!$C$5:$C$10,MATCH(F160,A_Scoring_Model!$A$5:$A$10,0))</f>
        <v>0.15</v>
      </c>
      <c r="I160" s="39" t="s">
        <v>431</v>
      </c>
      <c r="J160" s="39" t="s">
        <v>702</v>
      </c>
      <c r="K160" s="38" t="s">
        <v>433</v>
      </c>
      <c r="L160" s="39" t="s">
        <v>434</v>
      </c>
      <c r="M160" s="38" t="s">
        <v>435</v>
      </c>
      <c r="N160" s="41" t="n">
        <v>0.5</v>
      </c>
      <c r="O160" s="41"/>
      <c r="P160" s="39" t="s">
        <v>446</v>
      </c>
      <c r="Q160" s="39" t="s">
        <v>474</v>
      </c>
      <c r="R160" s="39"/>
    </row>
    <row r="161" customFormat="false" ht="23.85" hidden="false" customHeight="false" outlineLevel="0" collapsed="false">
      <c r="A161" s="37" t="s">
        <v>703</v>
      </c>
      <c r="B161" s="38" t="n">
        <v>3</v>
      </c>
      <c r="C161" s="39" t="s">
        <v>238</v>
      </c>
      <c r="D161" s="38" t="s">
        <v>253</v>
      </c>
      <c r="E161" s="39" t="s">
        <v>254</v>
      </c>
      <c r="F161" s="38" t="s">
        <v>62</v>
      </c>
      <c r="G161" s="39" t="s">
        <v>63</v>
      </c>
      <c r="H161" s="40" t="n">
        <f aca="false">INDEX(A_Scoring_Model!$C$5:$C$10,MATCH(F161,A_Scoring_Model!$A$5:$A$10,0))</f>
        <v>0.15</v>
      </c>
      <c r="I161" s="39" t="s">
        <v>431</v>
      </c>
      <c r="J161" s="39" t="s">
        <v>704</v>
      </c>
      <c r="K161" s="38" t="s">
        <v>433</v>
      </c>
      <c r="L161" s="39" t="s">
        <v>434</v>
      </c>
      <c r="M161" s="38" t="s">
        <v>435</v>
      </c>
      <c r="N161" s="41" t="n">
        <v>0.6</v>
      </c>
      <c r="O161" s="41"/>
      <c r="P161" s="39" t="s">
        <v>446</v>
      </c>
      <c r="Q161" s="39" t="s">
        <v>474</v>
      </c>
      <c r="R161" s="39"/>
    </row>
    <row r="162" customFormat="false" ht="23.85" hidden="false" customHeight="false" outlineLevel="0" collapsed="false">
      <c r="A162" s="37" t="s">
        <v>705</v>
      </c>
      <c r="B162" s="38" t="n">
        <v>3</v>
      </c>
      <c r="C162" s="39" t="s">
        <v>238</v>
      </c>
      <c r="D162" s="38" t="s">
        <v>253</v>
      </c>
      <c r="E162" s="39" t="s">
        <v>254</v>
      </c>
      <c r="F162" s="38" t="s">
        <v>65</v>
      </c>
      <c r="G162" s="39" t="s">
        <v>66</v>
      </c>
      <c r="H162" s="40" t="n">
        <f aca="false">INDEX(A_Scoring_Model!$C$5:$C$10,MATCH(F162,A_Scoring_Model!$A$5:$A$10,0))</f>
        <v>0.1</v>
      </c>
      <c r="I162" s="39" t="s">
        <v>449</v>
      </c>
      <c r="J162" s="39" t="s">
        <v>478</v>
      </c>
      <c r="K162" s="38" t="s">
        <v>433</v>
      </c>
      <c r="L162" s="39" t="s">
        <v>434</v>
      </c>
      <c r="M162" s="38" t="s">
        <v>435</v>
      </c>
      <c r="N162" s="41" t="n">
        <v>0.8</v>
      </c>
      <c r="O162" s="41" t="n">
        <v>0.6</v>
      </c>
      <c r="P162" s="39" t="s">
        <v>436</v>
      </c>
      <c r="Q162" s="39" t="s">
        <v>479</v>
      </c>
      <c r="R162" s="39"/>
    </row>
    <row r="163" customFormat="false" ht="23.85" hidden="false" customHeight="false" outlineLevel="0" collapsed="false">
      <c r="A163" s="37" t="s">
        <v>706</v>
      </c>
      <c r="B163" s="38" t="n">
        <v>3</v>
      </c>
      <c r="C163" s="39" t="s">
        <v>238</v>
      </c>
      <c r="D163" s="38" t="s">
        <v>253</v>
      </c>
      <c r="E163" s="39" t="s">
        <v>254</v>
      </c>
      <c r="F163" s="38" t="s">
        <v>65</v>
      </c>
      <c r="G163" s="39" t="s">
        <v>66</v>
      </c>
      <c r="H163" s="40" t="n">
        <f aca="false">INDEX(A_Scoring_Model!$C$5:$C$10,MATCH(F163,A_Scoring_Model!$A$5:$A$10,0))</f>
        <v>0.1</v>
      </c>
      <c r="I163" s="39" t="s">
        <v>449</v>
      </c>
      <c r="J163" s="39" t="s">
        <v>481</v>
      </c>
      <c r="K163" s="38" t="s">
        <v>451</v>
      </c>
      <c r="L163" s="39" t="s">
        <v>461</v>
      </c>
      <c r="M163" s="38" t="s">
        <v>462</v>
      </c>
      <c r="N163" s="44" t="n">
        <v>0</v>
      </c>
      <c r="O163" s="44"/>
      <c r="P163" s="39" t="s">
        <v>446</v>
      </c>
      <c r="Q163" s="39" t="s">
        <v>479</v>
      </c>
      <c r="R163" s="39"/>
    </row>
    <row r="164" customFormat="false" ht="23.85" hidden="false" customHeight="false" outlineLevel="0" collapsed="false">
      <c r="A164" s="37" t="s">
        <v>707</v>
      </c>
      <c r="B164" s="38" t="n">
        <v>3</v>
      </c>
      <c r="C164" s="39" t="s">
        <v>238</v>
      </c>
      <c r="D164" s="38" t="s">
        <v>253</v>
      </c>
      <c r="E164" s="39" t="s">
        <v>254</v>
      </c>
      <c r="F164" s="38" t="s">
        <v>65</v>
      </c>
      <c r="G164" s="39" t="s">
        <v>66</v>
      </c>
      <c r="H164" s="40" t="n">
        <f aca="false">INDEX(A_Scoring_Model!$C$5:$C$10,MATCH(F164,A_Scoring_Model!$A$5:$A$10,0))</f>
        <v>0.1</v>
      </c>
      <c r="I164" s="39" t="s">
        <v>449</v>
      </c>
      <c r="J164" s="39" t="s">
        <v>483</v>
      </c>
      <c r="K164" s="38" t="s">
        <v>451</v>
      </c>
      <c r="L164" s="39" t="s">
        <v>461</v>
      </c>
      <c r="M164" s="38" t="s">
        <v>462</v>
      </c>
      <c r="N164" s="44" t="n">
        <v>0</v>
      </c>
      <c r="O164" s="44"/>
      <c r="P164" s="39" t="s">
        <v>446</v>
      </c>
      <c r="Q164" s="39" t="s">
        <v>479</v>
      </c>
      <c r="R164" s="39"/>
    </row>
    <row r="165" customFormat="false" ht="23.85" hidden="false" customHeight="false" outlineLevel="0" collapsed="false">
      <c r="A165" s="37" t="s">
        <v>708</v>
      </c>
      <c r="B165" s="38" t="n">
        <v>3</v>
      </c>
      <c r="C165" s="39" t="s">
        <v>238</v>
      </c>
      <c r="D165" s="38" t="s">
        <v>253</v>
      </c>
      <c r="E165" s="39" t="s">
        <v>254</v>
      </c>
      <c r="F165" s="38" t="s">
        <v>65</v>
      </c>
      <c r="G165" s="39" t="s">
        <v>66</v>
      </c>
      <c r="H165" s="40" t="n">
        <f aca="false">INDEX(A_Scoring_Model!$C$5:$C$10,MATCH(F165,A_Scoring_Model!$A$5:$A$10,0))</f>
        <v>0.1</v>
      </c>
      <c r="I165" s="39" t="s">
        <v>449</v>
      </c>
      <c r="J165" s="39" t="s">
        <v>485</v>
      </c>
      <c r="K165" s="38" t="s">
        <v>445</v>
      </c>
      <c r="L165" s="39" t="s">
        <v>434</v>
      </c>
      <c r="M165" s="38" t="s">
        <v>435</v>
      </c>
      <c r="N165" s="43" t="n">
        <v>1</v>
      </c>
      <c r="O165" s="43"/>
      <c r="P165" s="39" t="s">
        <v>446</v>
      </c>
      <c r="Q165" s="39" t="s">
        <v>479</v>
      </c>
      <c r="R165" s="39"/>
    </row>
    <row r="166" customFormat="false" ht="23.85" hidden="false" customHeight="false" outlineLevel="0" collapsed="false">
      <c r="A166" s="37" t="s">
        <v>709</v>
      </c>
      <c r="B166" s="38" t="n">
        <v>3</v>
      </c>
      <c r="C166" s="39" t="s">
        <v>238</v>
      </c>
      <c r="D166" s="38" t="s">
        <v>253</v>
      </c>
      <c r="E166" s="39" t="s">
        <v>254</v>
      </c>
      <c r="F166" s="38" t="s">
        <v>65</v>
      </c>
      <c r="G166" s="39" t="s">
        <v>66</v>
      </c>
      <c r="H166" s="40" t="n">
        <f aca="false">INDEX(A_Scoring_Model!$C$5:$C$10,MATCH(F166,A_Scoring_Model!$A$5:$A$10,0))</f>
        <v>0.1</v>
      </c>
      <c r="I166" s="39" t="s">
        <v>449</v>
      </c>
      <c r="J166" s="39" t="s">
        <v>487</v>
      </c>
      <c r="K166" s="38" t="s">
        <v>445</v>
      </c>
      <c r="L166" s="39" t="s">
        <v>434</v>
      </c>
      <c r="M166" s="38" t="s">
        <v>435</v>
      </c>
      <c r="N166" s="43" t="n">
        <v>1</v>
      </c>
      <c r="O166" s="43"/>
      <c r="P166" s="39" t="s">
        <v>446</v>
      </c>
      <c r="Q166" s="39" t="s">
        <v>479</v>
      </c>
      <c r="R166" s="39"/>
    </row>
    <row r="167" customFormat="false" ht="35.05" hidden="false" customHeight="false" outlineLevel="0" collapsed="false">
      <c r="A167" s="45" t="s">
        <v>710</v>
      </c>
      <c r="B167" s="21" t="n">
        <v>3</v>
      </c>
      <c r="C167" s="16" t="s">
        <v>238</v>
      </c>
      <c r="D167" s="21" t="s">
        <v>260</v>
      </c>
      <c r="E167" s="16" t="s">
        <v>261</v>
      </c>
      <c r="F167" s="21" t="s">
        <v>50</v>
      </c>
      <c r="G167" s="16" t="s">
        <v>51</v>
      </c>
      <c r="H167" s="46" t="n">
        <f aca="false">INDEX(A_Scoring_Model!$C$5:$C$10,MATCH(F167,A_Scoring_Model!$A$5:$A$10,0))</f>
        <v>0.3</v>
      </c>
      <c r="I167" s="16" t="s">
        <v>431</v>
      </c>
      <c r="J167" s="16" t="s">
        <v>711</v>
      </c>
      <c r="K167" s="21" t="s">
        <v>712</v>
      </c>
      <c r="L167" s="16" t="s">
        <v>434</v>
      </c>
      <c r="M167" s="21" t="s">
        <v>435</v>
      </c>
      <c r="N167" s="47" t="n">
        <v>0.85</v>
      </c>
      <c r="O167" s="47" t="n">
        <v>0.7</v>
      </c>
      <c r="P167" s="16" t="s">
        <v>436</v>
      </c>
      <c r="Q167" s="16" t="s">
        <v>437</v>
      </c>
      <c r="R167" s="16" t="s">
        <v>265</v>
      </c>
    </row>
    <row r="168" customFormat="false" ht="35.05" hidden="false" customHeight="false" outlineLevel="0" collapsed="false">
      <c r="A168" s="45" t="s">
        <v>713</v>
      </c>
      <c r="B168" s="21" t="n">
        <v>3</v>
      </c>
      <c r="C168" s="16" t="s">
        <v>238</v>
      </c>
      <c r="D168" s="21" t="s">
        <v>260</v>
      </c>
      <c r="E168" s="16" t="s">
        <v>261</v>
      </c>
      <c r="F168" s="21" t="s">
        <v>50</v>
      </c>
      <c r="G168" s="16" t="s">
        <v>51</v>
      </c>
      <c r="H168" s="46" t="n">
        <f aca="false">INDEX(A_Scoring_Model!$C$5:$C$10,MATCH(F168,A_Scoring_Model!$A$5:$A$10,0))</f>
        <v>0.3</v>
      </c>
      <c r="I168" s="16" t="s">
        <v>431</v>
      </c>
      <c r="J168" s="16" t="s">
        <v>714</v>
      </c>
      <c r="K168" s="21" t="s">
        <v>715</v>
      </c>
      <c r="L168" s="16" t="s">
        <v>434</v>
      </c>
      <c r="M168" s="21" t="s">
        <v>435</v>
      </c>
      <c r="N168" s="47" t="n">
        <v>0.8</v>
      </c>
      <c r="O168" s="47" t="n">
        <v>0.65</v>
      </c>
      <c r="P168" s="16" t="s">
        <v>436</v>
      </c>
      <c r="Q168" s="16" t="s">
        <v>437</v>
      </c>
      <c r="R168" s="16" t="s">
        <v>265</v>
      </c>
    </row>
    <row r="169" customFormat="false" ht="35.05" hidden="false" customHeight="false" outlineLevel="0" collapsed="false">
      <c r="A169" s="45" t="s">
        <v>716</v>
      </c>
      <c r="B169" s="21" t="n">
        <v>3</v>
      </c>
      <c r="C169" s="16" t="s">
        <v>238</v>
      </c>
      <c r="D169" s="21" t="s">
        <v>260</v>
      </c>
      <c r="E169" s="16" t="s">
        <v>261</v>
      </c>
      <c r="F169" s="21" t="s">
        <v>50</v>
      </c>
      <c r="G169" s="16" t="s">
        <v>51</v>
      </c>
      <c r="H169" s="46" t="n">
        <f aca="false">INDEX(A_Scoring_Model!$C$5:$C$10,MATCH(F169,A_Scoring_Model!$A$5:$A$10,0))</f>
        <v>0.3</v>
      </c>
      <c r="I169" s="16" t="s">
        <v>431</v>
      </c>
      <c r="J169" s="16" t="s">
        <v>717</v>
      </c>
      <c r="K169" s="21" t="s">
        <v>718</v>
      </c>
      <c r="L169" s="16" t="s">
        <v>434</v>
      </c>
      <c r="M169" s="21" t="s">
        <v>435</v>
      </c>
      <c r="N169" s="47" t="n">
        <v>0.85</v>
      </c>
      <c r="O169" s="47" t="n">
        <v>0.7</v>
      </c>
      <c r="P169" s="16" t="s">
        <v>436</v>
      </c>
      <c r="Q169" s="16" t="s">
        <v>437</v>
      </c>
      <c r="R169" s="16" t="s">
        <v>265</v>
      </c>
    </row>
    <row r="170" customFormat="false" ht="35.05" hidden="false" customHeight="false" outlineLevel="0" collapsed="false">
      <c r="A170" s="45" t="s">
        <v>719</v>
      </c>
      <c r="B170" s="21" t="n">
        <v>3</v>
      </c>
      <c r="C170" s="16" t="s">
        <v>238</v>
      </c>
      <c r="D170" s="21" t="s">
        <v>260</v>
      </c>
      <c r="E170" s="16" t="s">
        <v>261</v>
      </c>
      <c r="F170" s="21" t="s">
        <v>50</v>
      </c>
      <c r="G170" s="16" t="s">
        <v>51</v>
      </c>
      <c r="H170" s="46" t="n">
        <f aca="false">INDEX(A_Scoring_Model!$C$5:$C$10,MATCH(F170,A_Scoring_Model!$A$5:$A$10,0))</f>
        <v>0.3</v>
      </c>
      <c r="I170" s="16" t="s">
        <v>431</v>
      </c>
      <c r="J170" s="16" t="s">
        <v>720</v>
      </c>
      <c r="K170" s="21" t="s">
        <v>433</v>
      </c>
      <c r="L170" s="16" t="s">
        <v>434</v>
      </c>
      <c r="M170" s="21" t="s">
        <v>435</v>
      </c>
      <c r="N170" s="48" t="n">
        <v>0.95</v>
      </c>
      <c r="O170" s="48" t="n">
        <v>0.85</v>
      </c>
      <c r="P170" s="16" t="s">
        <v>436</v>
      </c>
      <c r="Q170" s="16" t="s">
        <v>437</v>
      </c>
      <c r="R170" s="16" t="s">
        <v>265</v>
      </c>
    </row>
    <row r="171" customFormat="false" ht="35.05" hidden="false" customHeight="false" outlineLevel="0" collapsed="false">
      <c r="A171" s="45" t="s">
        <v>721</v>
      </c>
      <c r="B171" s="21" t="n">
        <v>3</v>
      </c>
      <c r="C171" s="16" t="s">
        <v>238</v>
      </c>
      <c r="D171" s="21" t="s">
        <v>260</v>
      </c>
      <c r="E171" s="16" t="s">
        <v>261</v>
      </c>
      <c r="F171" s="21" t="s">
        <v>50</v>
      </c>
      <c r="G171" s="16" t="s">
        <v>51</v>
      </c>
      <c r="H171" s="46" t="n">
        <f aca="false">INDEX(A_Scoring_Model!$C$5:$C$10,MATCH(F171,A_Scoring_Model!$A$5:$A$10,0))</f>
        <v>0.3</v>
      </c>
      <c r="I171" s="16" t="s">
        <v>431</v>
      </c>
      <c r="J171" s="16" t="s">
        <v>722</v>
      </c>
      <c r="K171" s="21" t="s">
        <v>433</v>
      </c>
      <c r="L171" s="16" t="s">
        <v>434</v>
      </c>
      <c r="M171" s="21" t="s">
        <v>435</v>
      </c>
      <c r="N171" s="48" t="n">
        <v>1</v>
      </c>
      <c r="O171" s="48" t="n">
        <v>0.98</v>
      </c>
      <c r="P171" s="16" t="s">
        <v>436</v>
      </c>
      <c r="Q171" s="16" t="s">
        <v>437</v>
      </c>
      <c r="R171" s="16" t="s">
        <v>265</v>
      </c>
    </row>
    <row r="172" customFormat="false" ht="35.05" hidden="false" customHeight="false" outlineLevel="0" collapsed="false">
      <c r="A172" s="45" t="s">
        <v>723</v>
      </c>
      <c r="B172" s="21" t="n">
        <v>3</v>
      </c>
      <c r="C172" s="16" t="s">
        <v>238</v>
      </c>
      <c r="D172" s="21" t="s">
        <v>260</v>
      </c>
      <c r="E172" s="16" t="s">
        <v>261</v>
      </c>
      <c r="F172" s="21" t="s">
        <v>50</v>
      </c>
      <c r="G172" s="16" t="s">
        <v>51</v>
      </c>
      <c r="H172" s="46" t="n">
        <f aca="false">INDEX(A_Scoring_Model!$C$5:$C$10,MATCH(F172,A_Scoring_Model!$A$5:$A$10,0))</f>
        <v>0.3</v>
      </c>
      <c r="I172" s="16" t="s">
        <v>431</v>
      </c>
      <c r="J172" s="16" t="s">
        <v>724</v>
      </c>
      <c r="K172" s="21" t="s">
        <v>433</v>
      </c>
      <c r="L172" s="16" t="s">
        <v>461</v>
      </c>
      <c r="M172" s="21" t="s">
        <v>462</v>
      </c>
      <c r="N172" s="48" t="n">
        <v>0.05</v>
      </c>
      <c r="O172" s="48" t="n">
        <v>0.1</v>
      </c>
      <c r="P172" s="16" t="s">
        <v>436</v>
      </c>
      <c r="Q172" s="16" t="s">
        <v>437</v>
      </c>
      <c r="R172" s="16" t="s">
        <v>265</v>
      </c>
    </row>
    <row r="173" customFormat="false" ht="35.05" hidden="false" customHeight="false" outlineLevel="0" collapsed="false">
      <c r="A173" s="45" t="s">
        <v>725</v>
      </c>
      <c r="B173" s="21" t="n">
        <v>3</v>
      </c>
      <c r="C173" s="16" t="s">
        <v>238</v>
      </c>
      <c r="D173" s="21" t="s">
        <v>260</v>
      </c>
      <c r="E173" s="16" t="s">
        <v>261</v>
      </c>
      <c r="F173" s="21" t="s">
        <v>50</v>
      </c>
      <c r="G173" s="16" t="s">
        <v>51</v>
      </c>
      <c r="H173" s="46" t="n">
        <f aca="false">INDEX(A_Scoring_Model!$C$5:$C$10,MATCH(F173,A_Scoring_Model!$A$5:$A$10,0))</f>
        <v>0.3</v>
      </c>
      <c r="I173" s="16" t="s">
        <v>431</v>
      </c>
      <c r="J173" s="16" t="s">
        <v>726</v>
      </c>
      <c r="K173" s="21" t="s">
        <v>433</v>
      </c>
      <c r="L173" s="16" t="s">
        <v>434</v>
      </c>
      <c r="M173" s="21" t="s">
        <v>435</v>
      </c>
      <c r="N173" s="48" t="n">
        <v>0.9</v>
      </c>
      <c r="O173" s="48" t="n">
        <v>0.75</v>
      </c>
      <c r="P173" s="16" t="s">
        <v>436</v>
      </c>
      <c r="Q173" s="16" t="s">
        <v>437</v>
      </c>
      <c r="R173" s="16" t="s">
        <v>265</v>
      </c>
    </row>
    <row r="174" customFormat="false" ht="23.85" hidden="false" customHeight="false" outlineLevel="0" collapsed="false">
      <c r="A174" s="45" t="s">
        <v>727</v>
      </c>
      <c r="B174" s="21" t="n">
        <v>3</v>
      </c>
      <c r="C174" s="16" t="s">
        <v>238</v>
      </c>
      <c r="D174" s="21" t="s">
        <v>260</v>
      </c>
      <c r="E174" s="16" t="s">
        <v>261</v>
      </c>
      <c r="F174" s="21" t="s">
        <v>53</v>
      </c>
      <c r="G174" s="16" t="s">
        <v>54</v>
      </c>
      <c r="H174" s="46" t="n">
        <f aca="false">INDEX(A_Scoring_Model!$C$5:$C$10,MATCH(F174,A_Scoring_Model!$A$5:$A$10,0))</f>
        <v>0.2</v>
      </c>
      <c r="I174" s="16" t="s">
        <v>431</v>
      </c>
      <c r="J174" s="16" t="s">
        <v>728</v>
      </c>
      <c r="K174" s="21" t="s">
        <v>451</v>
      </c>
      <c r="L174" s="16" t="s">
        <v>434</v>
      </c>
      <c r="M174" s="21" t="s">
        <v>435</v>
      </c>
      <c r="N174" s="49" t="n">
        <v>3</v>
      </c>
      <c r="O174" s="49" t="n">
        <v>2</v>
      </c>
      <c r="P174" s="16" t="s">
        <v>436</v>
      </c>
      <c r="Q174" s="16" t="s">
        <v>447</v>
      </c>
      <c r="R174" s="16"/>
    </row>
    <row r="175" customFormat="false" ht="23.85" hidden="false" customHeight="false" outlineLevel="0" collapsed="false">
      <c r="A175" s="45" t="s">
        <v>729</v>
      </c>
      <c r="B175" s="21" t="n">
        <v>3</v>
      </c>
      <c r="C175" s="16" t="s">
        <v>238</v>
      </c>
      <c r="D175" s="21" t="s">
        <v>260</v>
      </c>
      <c r="E175" s="16" t="s">
        <v>261</v>
      </c>
      <c r="F175" s="21" t="s">
        <v>53</v>
      </c>
      <c r="G175" s="16" t="s">
        <v>54</v>
      </c>
      <c r="H175" s="46" t="n">
        <f aca="false">INDEX(A_Scoring_Model!$C$5:$C$10,MATCH(F175,A_Scoring_Model!$A$5:$A$10,0))</f>
        <v>0.2</v>
      </c>
      <c r="I175" s="16" t="s">
        <v>431</v>
      </c>
      <c r="J175" s="16" t="s">
        <v>730</v>
      </c>
      <c r="K175" s="21" t="s">
        <v>451</v>
      </c>
      <c r="L175" s="16" t="s">
        <v>434</v>
      </c>
      <c r="M175" s="21" t="s">
        <v>435</v>
      </c>
      <c r="N175" s="49" t="n">
        <v>4</v>
      </c>
      <c r="O175" s="49" t="n">
        <v>3</v>
      </c>
      <c r="P175" s="16" t="s">
        <v>436</v>
      </c>
      <c r="Q175" s="16" t="s">
        <v>447</v>
      </c>
      <c r="R175" s="16"/>
    </row>
    <row r="176" customFormat="false" ht="23.85" hidden="false" customHeight="false" outlineLevel="0" collapsed="false">
      <c r="A176" s="45" t="s">
        <v>731</v>
      </c>
      <c r="B176" s="21" t="n">
        <v>3</v>
      </c>
      <c r="C176" s="16" t="s">
        <v>238</v>
      </c>
      <c r="D176" s="21" t="s">
        <v>260</v>
      </c>
      <c r="E176" s="16" t="s">
        <v>261</v>
      </c>
      <c r="F176" s="21" t="s">
        <v>53</v>
      </c>
      <c r="G176" s="16" t="s">
        <v>54</v>
      </c>
      <c r="H176" s="46" t="n">
        <f aca="false">INDEX(A_Scoring_Model!$C$5:$C$10,MATCH(F176,A_Scoring_Model!$A$5:$A$10,0))</f>
        <v>0.2</v>
      </c>
      <c r="I176" s="16" t="s">
        <v>431</v>
      </c>
      <c r="J176" s="16" t="s">
        <v>732</v>
      </c>
      <c r="K176" s="21" t="s">
        <v>445</v>
      </c>
      <c r="L176" s="16" t="s">
        <v>434</v>
      </c>
      <c r="M176" s="21" t="s">
        <v>435</v>
      </c>
      <c r="N176" s="19" t="n">
        <v>1</v>
      </c>
      <c r="O176" s="19"/>
      <c r="P176" s="16" t="s">
        <v>446</v>
      </c>
      <c r="Q176" s="16" t="s">
        <v>447</v>
      </c>
      <c r="R176" s="16"/>
    </row>
    <row r="177" customFormat="false" ht="23.85" hidden="false" customHeight="false" outlineLevel="0" collapsed="false">
      <c r="A177" s="45" t="s">
        <v>733</v>
      </c>
      <c r="B177" s="21" t="n">
        <v>3</v>
      </c>
      <c r="C177" s="16" t="s">
        <v>238</v>
      </c>
      <c r="D177" s="21" t="s">
        <v>260</v>
      </c>
      <c r="E177" s="16" t="s">
        <v>261</v>
      </c>
      <c r="F177" s="21" t="s">
        <v>53</v>
      </c>
      <c r="G177" s="16" t="s">
        <v>54</v>
      </c>
      <c r="H177" s="46" t="n">
        <f aca="false">INDEX(A_Scoring_Model!$C$5:$C$10,MATCH(F177,A_Scoring_Model!$A$5:$A$10,0))</f>
        <v>0.2</v>
      </c>
      <c r="I177" s="16" t="s">
        <v>431</v>
      </c>
      <c r="J177" s="16" t="s">
        <v>734</v>
      </c>
      <c r="K177" s="21" t="s">
        <v>735</v>
      </c>
      <c r="L177" s="16" t="s">
        <v>434</v>
      </c>
      <c r="M177" s="21" t="s">
        <v>435</v>
      </c>
      <c r="N177" s="49" t="n">
        <v>2</v>
      </c>
      <c r="O177" s="49" t="n">
        <v>1</v>
      </c>
      <c r="P177" s="16" t="s">
        <v>436</v>
      </c>
      <c r="Q177" s="16" t="s">
        <v>447</v>
      </c>
      <c r="R177" s="16"/>
    </row>
    <row r="178" customFormat="false" ht="23.85" hidden="false" customHeight="false" outlineLevel="0" collapsed="false">
      <c r="A178" s="45" t="s">
        <v>736</v>
      </c>
      <c r="B178" s="21" t="n">
        <v>3</v>
      </c>
      <c r="C178" s="16" t="s">
        <v>238</v>
      </c>
      <c r="D178" s="21" t="s">
        <v>260</v>
      </c>
      <c r="E178" s="16" t="s">
        <v>261</v>
      </c>
      <c r="F178" s="21" t="s">
        <v>53</v>
      </c>
      <c r="G178" s="16" t="s">
        <v>54</v>
      </c>
      <c r="H178" s="46" t="n">
        <f aca="false">INDEX(A_Scoring_Model!$C$5:$C$10,MATCH(F178,A_Scoring_Model!$A$5:$A$10,0))</f>
        <v>0.2</v>
      </c>
      <c r="I178" s="16" t="s">
        <v>449</v>
      </c>
      <c r="J178" s="16" t="s">
        <v>450</v>
      </c>
      <c r="K178" s="21" t="s">
        <v>451</v>
      </c>
      <c r="L178" s="16" t="s">
        <v>434</v>
      </c>
      <c r="M178" s="21" t="s">
        <v>435</v>
      </c>
      <c r="N178" s="49" t="n">
        <v>3</v>
      </c>
      <c r="O178" s="49" t="n">
        <v>2</v>
      </c>
      <c r="P178" s="16" t="s">
        <v>436</v>
      </c>
      <c r="Q178" s="16" t="s">
        <v>447</v>
      </c>
      <c r="R178" s="16"/>
    </row>
    <row r="179" customFormat="false" ht="23.85" hidden="false" customHeight="false" outlineLevel="0" collapsed="false">
      <c r="A179" s="45" t="s">
        <v>737</v>
      </c>
      <c r="B179" s="21" t="n">
        <v>3</v>
      </c>
      <c r="C179" s="16" t="s">
        <v>238</v>
      </c>
      <c r="D179" s="21" t="s">
        <v>260</v>
      </c>
      <c r="E179" s="16" t="s">
        <v>261</v>
      </c>
      <c r="F179" s="21" t="s">
        <v>53</v>
      </c>
      <c r="G179" s="16" t="s">
        <v>54</v>
      </c>
      <c r="H179" s="46" t="n">
        <f aca="false">INDEX(A_Scoring_Model!$C$5:$C$10,MATCH(F179,A_Scoring_Model!$A$5:$A$10,0))</f>
        <v>0.2</v>
      </c>
      <c r="I179" s="16" t="s">
        <v>449</v>
      </c>
      <c r="J179" s="16" t="s">
        <v>453</v>
      </c>
      <c r="K179" s="21" t="s">
        <v>445</v>
      </c>
      <c r="L179" s="16" t="s">
        <v>434</v>
      </c>
      <c r="M179" s="21" t="s">
        <v>435</v>
      </c>
      <c r="N179" s="19" t="n">
        <v>1</v>
      </c>
      <c r="O179" s="19"/>
      <c r="P179" s="16" t="s">
        <v>446</v>
      </c>
      <c r="Q179" s="16" t="s">
        <v>447</v>
      </c>
      <c r="R179" s="16"/>
    </row>
    <row r="180" customFormat="false" ht="23.85" hidden="false" customHeight="false" outlineLevel="0" collapsed="false">
      <c r="A180" s="45" t="s">
        <v>738</v>
      </c>
      <c r="B180" s="21" t="n">
        <v>3</v>
      </c>
      <c r="C180" s="16" t="s">
        <v>238</v>
      </c>
      <c r="D180" s="21" t="s">
        <v>260</v>
      </c>
      <c r="E180" s="16" t="s">
        <v>261</v>
      </c>
      <c r="F180" s="21" t="s">
        <v>56</v>
      </c>
      <c r="G180" s="16" t="s">
        <v>57</v>
      </c>
      <c r="H180" s="46" t="n">
        <f aca="false">INDEX(A_Scoring_Model!$C$5:$C$10,MATCH(F180,A_Scoring_Model!$A$5:$A$10,0))</f>
        <v>0.15</v>
      </c>
      <c r="I180" s="16" t="s">
        <v>431</v>
      </c>
      <c r="J180" s="16" t="s">
        <v>739</v>
      </c>
      <c r="K180" s="21" t="s">
        <v>503</v>
      </c>
      <c r="L180" s="16" t="s">
        <v>461</v>
      </c>
      <c r="M180" s="21" t="s">
        <v>462</v>
      </c>
      <c r="N180" s="49" t="n">
        <v>5</v>
      </c>
      <c r="O180" s="49" t="n">
        <v>10</v>
      </c>
      <c r="P180" s="16" t="s">
        <v>436</v>
      </c>
      <c r="Q180" s="16" t="s">
        <v>457</v>
      </c>
      <c r="R180" s="16"/>
    </row>
    <row r="181" customFormat="false" ht="23.85" hidden="false" customHeight="false" outlineLevel="0" collapsed="false">
      <c r="A181" s="45" t="s">
        <v>740</v>
      </c>
      <c r="B181" s="21" t="n">
        <v>3</v>
      </c>
      <c r="C181" s="16" t="s">
        <v>238</v>
      </c>
      <c r="D181" s="21" t="s">
        <v>260</v>
      </c>
      <c r="E181" s="16" t="s">
        <v>261</v>
      </c>
      <c r="F181" s="21" t="s">
        <v>56</v>
      </c>
      <c r="G181" s="16" t="s">
        <v>57</v>
      </c>
      <c r="H181" s="46" t="n">
        <f aca="false">INDEX(A_Scoring_Model!$C$5:$C$10,MATCH(F181,A_Scoring_Model!$A$5:$A$10,0))</f>
        <v>0.15</v>
      </c>
      <c r="I181" s="16" t="s">
        <v>431</v>
      </c>
      <c r="J181" s="16" t="s">
        <v>741</v>
      </c>
      <c r="K181" s="21" t="s">
        <v>742</v>
      </c>
      <c r="L181" s="16" t="s">
        <v>434</v>
      </c>
      <c r="M181" s="21" t="s">
        <v>435</v>
      </c>
      <c r="N181" s="49" t="n">
        <v>100</v>
      </c>
      <c r="O181" s="49" t="n">
        <v>50</v>
      </c>
      <c r="P181" s="16" t="s">
        <v>436</v>
      </c>
      <c r="Q181" s="16" t="s">
        <v>457</v>
      </c>
      <c r="R181" s="16"/>
    </row>
    <row r="182" customFormat="false" ht="23.85" hidden="false" customHeight="false" outlineLevel="0" collapsed="false">
      <c r="A182" s="45" t="s">
        <v>743</v>
      </c>
      <c r="B182" s="21" t="n">
        <v>3</v>
      </c>
      <c r="C182" s="16" t="s">
        <v>238</v>
      </c>
      <c r="D182" s="21" t="s">
        <v>260</v>
      </c>
      <c r="E182" s="16" t="s">
        <v>261</v>
      </c>
      <c r="F182" s="21" t="s">
        <v>56</v>
      </c>
      <c r="G182" s="16" t="s">
        <v>57</v>
      </c>
      <c r="H182" s="46" t="n">
        <f aca="false">INDEX(A_Scoring_Model!$C$5:$C$10,MATCH(F182,A_Scoring_Model!$A$5:$A$10,0))</f>
        <v>0.15</v>
      </c>
      <c r="I182" s="16" t="s">
        <v>431</v>
      </c>
      <c r="J182" s="16" t="s">
        <v>744</v>
      </c>
      <c r="K182" s="21" t="s">
        <v>745</v>
      </c>
      <c r="L182" s="16" t="s">
        <v>461</v>
      </c>
      <c r="M182" s="21" t="s">
        <v>462</v>
      </c>
      <c r="N182" s="49" t="n">
        <v>50000</v>
      </c>
      <c r="O182" s="49" t="n">
        <v>75000</v>
      </c>
      <c r="P182" s="16" t="s">
        <v>436</v>
      </c>
      <c r="Q182" s="16" t="s">
        <v>457</v>
      </c>
      <c r="R182" s="16"/>
    </row>
    <row r="183" customFormat="false" ht="23.85" hidden="false" customHeight="false" outlineLevel="0" collapsed="false">
      <c r="A183" s="45" t="s">
        <v>746</v>
      </c>
      <c r="B183" s="21" t="n">
        <v>3</v>
      </c>
      <c r="C183" s="16" t="s">
        <v>238</v>
      </c>
      <c r="D183" s="21" t="s">
        <v>260</v>
      </c>
      <c r="E183" s="16" t="s">
        <v>261</v>
      </c>
      <c r="F183" s="21" t="s">
        <v>56</v>
      </c>
      <c r="G183" s="16" t="s">
        <v>57</v>
      </c>
      <c r="H183" s="46" t="n">
        <f aca="false">INDEX(A_Scoring_Model!$C$5:$C$10,MATCH(F183,A_Scoring_Model!$A$5:$A$10,0))</f>
        <v>0.15</v>
      </c>
      <c r="I183" s="16" t="s">
        <v>431</v>
      </c>
      <c r="J183" s="16" t="s">
        <v>747</v>
      </c>
      <c r="K183" s="21" t="s">
        <v>748</v>
      </c>
      <c r="L183" s="16" t="s">
        <v>461</v>
      </c>
      <c r="M183" s="21" t="s">
        <v>462</v>
      </c>
      <c r="N183" s="49" t="n">
        <v>100</v>
      </c>
      <c r="O183" s="49" t="n">
        <v>200</v>
      </c>
      <c r="P183" s="16" t="s">
        <v>436</v>
      </c>
      <c r="Q183" s="16" t="s">
        <v>457</v>
      </c>
      <c r="R183" s="16"/>
    </row>
    <row r="184" customFormat="false" ht="23.85" hidden="false" customHeight="false" outlineLevel="0" collapsed="false">
      <c r="A184" s="45" t="s">
        <v>749</v>
      </c>
      <c r="B184" s="21" t="n">
        <v>3</v>
      </c>
      <c r="C184" s="16" t="s">
        <v>238</v>
      </c>
      <c r="D184" s="21" t="s">
        <v>260</v>
      </c>
      <c r="E184" s="16" t="s">
        <v>261</v>
      </c>
      <c r="F184" s="21" t="s">
        <v>56</v>
      </c>
      <c r="G184" s="16" t="s">
        <v>57</v>
      </c>
      <c r="H184" s="46" t="n">
        <f aca="false">INDEX(A_Scoring_Model!$C$5:$C$10,MATCH(F184,A_Scoring_Model!$A$5:$A$10,0))</f>
        <v>0.15</v>
      </c>
      <c r="I184" s="16" t="s">
        <v>449</v>
      </c>
      <c r="J184" s="16" t="s">
        <v>464</v>
      </c>
      <c r="K184" s="21" t="s">
        <v>433</v>
      </c>
      <c r="L184" s="16" t="s">
        <v>461</v>
      </c>
      <c r="M184" s="21" t="s">
        <v>462</v>
      </c>
      <c r="N184" s="48" t="n">
        <v>0.2</v>
      </c>
      <c r="O184" s="48" t="n">
        <v>0.4</v>
      </c>
      <c r="P184" s="16" t="s">
        <v>436</v>
      </c>
      <c r="Q184" s="16" t="s">
        <v>457</v>
      </c>
      <c r="R184" s="16"/>
    </row>
    <row r="185" customFormat="false" ht="23.85" hidden="false" customHeight="false" outlineLevel="0" collapsed="false">
      <c r="A185" s="45" t="s">
        <v>750</v>
      </c>
      <c r="B185" s="21" t="n">
        <v>3</v>
      </c>
      <c r="C185" s="16" t="s">
        <v>238</v>
      </c>
      <c r="D185" s="21" t="s">
        <v>260</v>
      </c>
      <c r="E185" s="16" t="s">
        <v>261</v>
      </c>
      <c r="F185" s="21" t="s">
        <v>59</v>
      </c>
      <c r="G185" s="16" t="s">
        <v>60</v>
      </c>
      <c r="H185" s="46" t="n">
        <f aca="false">INDEX(A_Scoring_Model!$C$5:$C$10,MATCH(F185,A_Scoring_Model!$A$5:$A$10,0))</f>
        <v>0.1</v>
      </c>
      <c r="I185" s="16" t="s">
        <v>431</v>
      </c>
      <c r="J185" s="16" t="s">
        <v>751</v>
      </c>
      <c r="K185" s="21" t="s">
        <v>433</v>
      </c>
      <c r="L185" s="16" t="s">
        <v>461</v>
      </c>
      <c r="M185" s="21" t="s">
        <v>462</v>
      </c>
      <c r="N185" s="48" t="n">
        <v>0.02</v>
      </c>
      <c r="O185" s="48" t="n">
        <v>0.05</v>
      </c>
      <c r="P185" s="16" t="s">
        <v>436</v>
      </c>
      <c r="Q185" s="16" t="s">
        <v>467</v>
      </c>
      <c r="R185" s="16"/>
    </row>
    <row r="186" customFormat="false" ht="23.85" hidden="false" customHeight="false" outlineLevel="0" collapsed="false">
      <c r="A186" s="45" t="s">
        <v>752</v>
      </c>
      <c r="B186" s="21" t="n">
        <v>3</v>
      </c>
      <c r="C186" s="16" t="s">
        <v>238</v>
      </c>
      <c r="D186" s="21" t="s">
        <v>260</v>
      </c>
      <c r="E186" s="16" t="s">
        <v>261</v>
      </c>
      <c r="F186" s="21" t="s">
        <v>59</v>
      </c>
      <c r="G186" s="16" t="s">
        <v>60</v>
      </c>
      <c r="H186" s="46" t="n">
        <f aca="false">INDEX(A_Scoring_Model!$C$5:$C$10,MATCH(F186,A_Scoring_Model!$A$5:$A$10,0))</f>
        <v>0.1</v>
      </c>
      <c r="I186" s="16" t="s">
        <v>431</v>
      </c>
      <c r="J186" s="16" t="s">
        <v>753</v>
      </c>
      <c r="K186" s="21" t="s">
        <v>433</v>
      </c>
      <c r="L186" s="16" t="s">
        <v>434</v>
      </c>
      <c r="M186" s="21" t="s">
        <v>435</v>
      </c>
      <c r="N186" s="48" t="n">
        <v>1</v>
      </c>
      <c r="O186" s="48" t="n">
        <v>0.95</v>
      </c>
      <c r="P186" s="16" t="s">
        <v>436</v>
      </c>
      <c r="Q186" s="16" t="s">
        <v>467</v>
      </c>
      <c r="R186" s="16"/>
    </row>
    <row r="187" customFormat="false" ht="23.85" hidden="false" customHeight="false" outlineLevel="0" collapsed="false">
      <c r="A187" s="45" t="s">
        <v>754</v>
      </c>
      <c r="B187" s="21" t="n">
        <v>3</v>
      </c>
      <c r="C187" s="16" t="s">
        <v>238</v>
      </c>
      <c r="D187" s="21" t="s">
        <v>260</v>
      </c>
      <c r="E187" s="16" t="s">
        <v>261</v>
      </c>
      <c r="F187" s="21" t="s">
        <v>59</v>
      </c>
      <c r="G187" s="16" t="s">
        <v>60</v>
      </c>
      <c r="H187" s="46" t="n">
        <f aca="false">INDEX(A_Scoring_Model!$C$5:$C$10,MATCH(F187,A_Scoring_Model!$A$5:$A$10,0))</f>
        <v>0.1</v>
      </c>
      <c r="I187" s="16" t="s">
        <v>431</v>
      </c>
      <c r="J187" s="16" t="s">
        <v>755</v>
      </c>
      <c r="K187" s="21" t="s">
        <v>433</v>
      </c>
      <c r="L187" s="16" t="s">
        <v>434</v>
      </c>
      <c r="M187" s="21" t="s">
        <v>435</v>
      </c>
      <c r="N187" s="48" t="n">
        <v>0.95</v>
      </c>
      <c r="O187" s="48" t="n">
        <v>0.9</v>
      </c>
      <c r="P187" s="16" t="s">
        <v>436</v>
      </c>
      <c r="Q187" s="16" t="s">
        <v>467</v>
      </c>
      <c r="R187" s="16"/>
    </row>
    <row r="188" customFormat="false" ht="23.85" hidden="false" customHeight="false" outlineLevel="0" collapsed="false">
      <c r="A188" s="45" t="s">
        <v>756</v>
      </c>
      <c r="B188" s="21" t="n">
        <v>3</v>
      </c>
      <c r="C188" s="16" t="s">
        <v>238</v>
      </c>
      <c r="D188" s="21" t="s">
        <v>260</v>
      </c>
      <c r="E188" s="16" t="s">
        <v>261</v>
      </c>
      <c r="F188" s="21" t="s">
        <v>59</v>
      </c>
      <c r="G188" s="16" t="s">
        <v>60</v>
      </c>
      <c r="H188" s="46" t="n">
        <f aca="false">INDEX(A_Scoring_Model!$C$5:$C$10,MATCH(F188,A_Scoring_Model!$A$5:$A$10,0))</f>
        <v>0.1</v>
      </c>
      <c r="I188" s="16" t="s">
        <v>431</v>
      </c>
      <c r="J188" s="16" t="s">
        <v>757</v>
      </c>
      <c r="K188" s="21" t="s">
        <v>445</v>
      </c>
      <c r="L188" s="16" t="s">
        <v>434</v>
      </c>
      <c r="M188" s="21" t="s">
        <v>435</v>
      </c>
      <c r="N188" s="19" t="n">
        <v>1</v>
      </c>
      <c r="O188" s="19"/>
      <c r="P188" s="16" t="s">
        <v>446</v>
      </c>
      <c r="Q188" s="16" t="s">
        <v>467</v>
      </c>
      <c r="R188" s="16"/>
    </row>
    <row r="189" customFormat="false" ht="23.85" hidden="false" customHeight="false" outlineLevel="0" collapsed="false">
      <c r="A189" s="45" t="s">
        <v>758</v>
      </c>
      <c r="B189" s="21" t="n">
        <v>3</v>
      </c>
      <c r="C189" s="16" t="s">
        <v>238</v>
      </c>
      <c r="D189" s="21" t="s">
        <v>260</v>
      </c>
      <c r="E189" s="16" t="s">
        <v>261</v>
      </c>
      <c r="F189" s="21" t="s">
        <v>59</v>
      </c>
      <c r="G189" s="16" t="s">
        <v>60</v>
      </c>
      <c r="H189" s="46" t="n">
        <f aca="false">INDEX(A_Scoring_Model!$C$5:$C$10,MATCH(F189,A_Scoring_Model!$A$5:$A$10,0))</f>
        <v>0.1</v>
      </c>
      <c r="I189" s="16" t="s">
        <v>449</v>
      </c>
      <c r="J189" s="16" t="s">
        <v>471</v>
      </c>
      <c r="K189" s="21" t="s">
        <v>433</v>
      </c>
      <c r="L189" s="16" t="s">
        <v>434</v>
      </c>
      <c r="M189" s="21" t="s">
        <v>435</v>
      </c>
      <c r="N189" s="48" t="n">
        <v>0.995</v>
      </c>
      <c r="O189" s="48" t="n">
        <v>0.99</v>
      </c>
      <c r="P189" s="16" t="s">
        <v>436</v>
      </c>
      <c r="Q189" s="16" t="s">
        <v>467</v>
      </c>
      <c r="R189" s="16"/>
    </row>
    <row r="190" customFormat="false" ht="23.85" hidden="false" customHeight="false" outlineLevel="0" collapsed="false">
      <c r="A190" s="45" t="s">
        <v>759</v>
      </c>
      <c r="B190" s="21" t="n">
        <v>3</v>
      </c>
      <c r="C190" s="16" t="s">
        <v>238</v>
      </c>
      <c r="D190" s="21" t="s">
        <v>260</v>
      </c>
      <c r="E190" s="16" t="s">
        <v>261</v>
      </c>
      <c r="F190" s="21" t="s">
        <v>62</v>
      </c>
      <c r="G190" s="16" t="s">
        <v>63</v>
      </c>
      <c r="H190" s="46" t="n">
        <f aca="false">INDEX(A_Scoring_Model!$C$5:$C$10,MATCH(F190,A_Scoring_Model!$A$5:$A$10,0))</f>
        <v>0.15</v>
      </c>
      <c r="I190" s="16" t="s">
        <v>431</v>
      </c>
      <c r="J190" s="16" t="s">
        <v>760</v>
      </c>
      <c r="K190" s="21" t="s">
        <v>433</v>
      </c>
      <c r="L190" s="16" t="s">
        <v>434</v>
      </c>
      <c r="M190" s="21" t="s">
        <v>435</v>
      </c>
      <c r="N190" s="48" t="n">
        <v>0.6</v>
      </c>
      <c r="O190" s="48" t="n">
        <v>0.4</v>
      </c>
      <c r="P190" s="16" t="s">
        <v>436</v>
      </c>
      <c r="Q190" s="16" t="s">
        <v>474</v>
      </c>
      <c r="R190" s="16"/>
    </row>
    <row r="191" customFormat="false" ht="23.85" hidden="false" customHeight="false" outlineLevel="0" collapsed="false">
      <c r="A191" s="45" t="s">
        <v>761</v>
      </c>
      <c r="B191" s="21" t="n">
        <v>3</v>
      </c>
      <c r="C191" s="16" t="s">
        <v>238</v>
      </c>
      <c r="D191" s="21" t="s">
        <v>260</v>
      </c>
      <c r="E191" s="16" t="s">
        <v>261</v>
      </c>
      <c r="F191" s="21" t="s">
        <v>62</v>
      </c>
      <c r="G191" s="16" t="s">
        <v>63</v>
      </c>
      <c r="H191" s="46" t="n">
        <f aca="false">INDEX(A_Scoring_Model!$C$5:$C$10,MATCH(F191,A_Scoring_Model!$A$5:$A$10,0))</f>
        <v>0.15</v>
      </c>
      <c r="I191" s="16" t="s">
        <v>431</v>
      </c>
      <c r="J191" s="16" t="s">
        <v>762</v>
      </c>
      <c r="K191" s="21" t="s">
        <v>763</v>
      </c>
      <c r="L191" s="16" t="s">
        <v>434</v>
      </c>
      <c r="M191" s="21" t="s">
        <v>435</v>
      </c>
      <c r="N191" s="49" t="n">
        <v>40</v>
      </c>
      <c r="O191" s="49" t="n">
        <v>20</v>
      </c>
      <c r="P191" s="16" t="s">
        <v>436</v>
      </c>
      <c r="Q191" s="16" t="s">
        <v>474</v>
      </c>
      <c r="R191" s="16"/>
    </row>
    <row r="192" customFormat="false" ht="23.85" hidden="false" customHeight="false" outlineLevel="0" collapsed="false">
      <c r="A192" s="45" t="s">
        <v>764</v>
      </c>
      <c r="B192" s="21" t="n">
        <v>3</v>
      </c>
      <c r="C192" s="16" t="s">
        <v>238</v>
      </c>
      <c r="D192" s="21" t="s">
        <v>260</v>
      </c>
      <c r="E192" s="16" t="s">
        <v>261</v>
      </c>
      <c r="F192" s="21" t="s">
        <v>62</v>
      </c>
      <c r="G192" s="16" t="s">
        <v>63</v>
      </c>
      <c r="H192" s="46" t="n">
        <f aca="false">INDEX(A_Scoring_Model!$C$5:$C$10,MATCH(F192,A_Scoring_Model!$A$5:$A$10,0))</f>
        <v>0.15</v>
      </c>
      <c r="I192" s="16" t="s">
        <v>431</v>
      </c>
      <c r="J192" s="16" t="s">
        <v>765</v>
      </c>
      <c r="K192" s="21" t="s">
        <v>433</v>
      </c>
      <c r="L192" s="16" t="s">
        <v>434</v>
      </c>
      <c r="M192" s="21" t="s">
        <v>435</v>
      </c>
      <c r="N192" s="48" t="n">
        <v>0.7</v>
      </c>
      <c r="O192" s="48" t="n">
        <v>0.5</v>
      </c>
      <c r="P192" s="16" t="s">
        <v>436</v>
      </c>
      <c r="Q192" s="16" t="s">
        <v>474</v>
      </c>
      <c r="R192" s="16"/>
    </row>
    <row r="193" customFormat="false" ht="23.85" hidden="false" customHeight="false" outlineLevel="0" collapsed="false">
      <c r="A193" s="45" t="s">
        <v>766</v>
      </c>
      <c r="B193" s="21" t="n">
        <v>3</v>
      </c>
      <c r="C193" s="16" t="s">
        <v>238</v>
      </c>
      <c r="D193" s="21" t="s">
        <v>260</v>
      </c>
      <c r="E193" s="16" t="s">
        <v>261</v>
      </c>
      <c r="F193" s="21" t="s">
        <v>62</v>
      </c>
      <c r="G193" s="16" t="s">
        <v>63</v>
      </c>
      <c r="H193" s="46" t="n">
        <f aca="false">INDEX(A_Scoring_Model!$C$5:$C$10,MATCH(F193,A_Scoring_Model!$A$5:$A$10,0))</f>
        <v>0.15</v>
      </c>
      <c r="I193" s="16" t="s">
        <v>431</v>
      </c>
      <c r="J193" s="16" t="s">
        <v>767</v>
      </c>
      <c r="K193" s="21" t="s">
        <v>433</v>
      </c>
      <c r="L193" s="16" t="s">
        <v>434</v>
      </c>
      <c r="M193" s="21" t="s">
        <v>435</v>
      </c>
      <c r="N193" s="48" t="n">
        <v>0.5</v>
      </c>
      <c r="O193" s="48" t="n">
        <v>0.3</v>
      </c>
      <c r="P193" s="16" t="s">
        <v>436</v>
      </c>
      <c r="Q193" s="16" t="s">
        <v>474</v>
      </c>
      <c r="R193" s="16"/>
    </row>
    <row r="194" customFormat="false" ht="23.85" hidden="false" customHeight="false" outlineLevel="0" collapsed="false">
      <c r="A194" s="45" t="s">
        <v>768</v>
      </c>
      <c r="B194" s="21" t="n">
        <v>3</v>
      </c>
      <c r="C194" s="16" t="s">
        <v>238</v>
      </c>
      <c r="D194" s="21" t="s">
        <v>260</v>
      </c>
      <c r="E194" s="16" t="s">
        <v>261</v>
      </c>
      <c r="F194" s="21" t="s">
        <v>65</v>
      </c>
      <c r="G194" s="16" t="s">
        <v>66</v>
      </c>
      <c r="H194" s="46" t="n">
        <f aca="false">INDEX(A_Scoring_Model!$C$5:$C$10,MATCH(F194,A_Scoring_Model!$A$5:$A$10,0))</f>
        <v>0.1</v>
      </c>
      <c r="I194" s="16" t="s">
        <v>431</v>
      </c>
      <c r="J194" s="16" t="s">
        <v>769</v>
      </c>
      <c r="K194" s="21" t="s">
        <v>445</v>
      </c>
      <c r="L194" s="16" t="s">
        <v>434</v>
      </c>
      <c r="M194" s="21" t="s">
        <v>435</v>
      </c>
      <c r="N194" s="19" t="n">
        <v>1</v>
      </c>
      <c r="O194" s="19"/>
      <c r="P194" s="16" t="s">
        <v>446</v>
      </c>
      <c r="Q194" s="16" t="s">
        <v>479</v>
      </c>
      <c r="R194" s="16"/>
    </row>
    <row r="195" customFormat="false" ht="23.85" hidden="false" customHeight="false" outlineLevel="0" collapsed="false">
      <c r="A195" s="45" t="s">
        <v>770</v>
      </c>
      <c r="B195" s="21" t="n">
        <v>3</v>
      </c>
      <c r="C195" s="16" t="s">
        <v>238</v>
      </c>
      <c r="D195" s="21" t="s">
        <v>260</v>
      </c>
      <c r="E195" s="16" t="s">
        <v>261</v>
      </c>
      <c r="F195" s="21" t="s">
        <v>65</v>
      </c>
      <c r="G195" s="16" t="s">
        <v>66</v>
      </c>
      <c r="H195" s="46" t="n">
        <f aca="false">INDEX(A_Scoring_Model!$C$5:$C$10,MATCH(F195,A_Scoring_Model!$A$5:$A$10,0))</f>
        <v>0.1</v>
      </c>
      <c r="I195" s="16" t="s">
        <v>431</v>
      </c>
      <c r="J195" s="16" t="s">
        <v>771</v>
      </c>
      <c r="K195" s="21" t="s">
        <v>445</v>
      </c>
      <c r="L195" s="16" t="s">
        <v>434</v>
      </c>
      <c r="M195" s="21" t="s">
        <v>435</v>
      </c>
      <c r="N195" s="19" t="n">
        <v>1</v>
      </c>
      <c r="O195" s="19"/>
      <c r="P195" s="16" t="s">
        <v>446</v>
      </c>
      <c r="Q195" s="16" t="s">
        <v>479</v>
      </c>
      <c r="R195" s="16"/>
    </row>
    <row r="196" customFormat="false" ht="23.85" hidden="false" customHeight="false" outlineLevel="0" collapsed="false">
      <c r="A196" s="45" t="s">
        <v>772</v>
      </c>
      <c r="B196" s="21" t="n">
        <v>3</v>
      </c>
      <c r="C196" s="16" t="s">
        <v>238</v>
      </c>
      <c r="D196" s="21" t="s">
        <v>260</v>
      </c>
      <c r="E196" s="16" t="s">
        <v>261</v>
      </c>
      <c r="F196" s="21" t="s">
        <v>65</v>
      </c>
      <c r="G196" s="16" t="s">
        <v>66</v>
      </c>
      <c r="H196" s="46" t="n">
        <f aca="false">INDEX(A_Scoring_Model!$C$5:$C$10,MATCH(F196,A_Scoring_Model!$A$5:$A$10,0))</f>
        <v>0.1</v>
      </c>
      <c r="I196" s="16" t="s">
        <v>449</v>
      </c>
      <c r="J196" s="16" t="s">
        <v>478</v>
      </c>
      <c r="K196" s="21" t="s">
        <v>433</v>
      </c>
      <c r="L196" s="16" t="s">
        <v>434</v>
      </c>
      <c r="M196" s="21" t="s">
        <v>435</v>
      </c>
      <c r="N196" s="48" t="n">
        <v>0.8</v>
      </c>
      <c r="O196" s="48" t="n">
        <v>0.6</v>
      </c>
      <c r="P196" s="16" t="s">
        <v>436</v>
      </c>
      <c r="Q196" s="16" t="s">
        <v>479</v>
      </c>
      <c r="R196" s="16"/>
    </row>
    <row r="197" customFormat="false" ht="23.85" hidden="false" customHeight="false" outlineLevel="0" collapsed="false">
      <c r="A197" s="45" t="s">
        <v>773</v>
      </c>
      <c r="B197" s="21" t="n">
        <v>3</v>
      </c>
      <c r="C197" s="16" t="s">
        <v>238</v>
      </c>
      <c r="D197" s="21" t="s">
        <v>260</v>
      </c>
      <c r="E197" s="16" t="s">
        <v>261</v>
      </c>
      <c r="F197" s="21" t="s">
        <v>65</v>
      </c>
      <c r="G197" s="16" t="s">
        <v>66</v>
      </c>
      <c r="H197" s="46" t="n">
        <f aca="false">INDEX(A_Scoring_Model!$C$5:$C$10,MATCH(F197,A_Scoring_Model!$A$5:$A$10,0))</f>
        <v>0.1</v>
      </c>
      <c r="I197" s="16" t="s">
        <v>449</v>
      </c>
      <c r="J197" s="16" t="s">
        <v>481</v>
      </c>
      <c r="K197" s="21" t="s">
        <v>451</v>
      </c>
      <c r="L197" s="16" t="s">
        <v>461</v>
      </c>
      <c r="M197" s="21" t="s">
        <v>462</v>
      </c>
      <c r="N197" s="49" t="n">
        <v>0</v>
      </c>
      <c r="O197" s="49"/>
      <c r="P197" s="16" t="s">
        <v>446</v>
      </c>
      <c r="Q197" s="16" t="s">
        <v>479</v>
      </c>
      <c r="R197" s="16"/>
    </row>
    <row r="198" customFormat="false" ht="23.85" hidden="false" customHeight="false" outlineLevel="0" collapsed="false">
      <c r="A198" s="45" t="s">
        <v>774</v>
      </c>
      <c r="B198" s="21" t="n">
        <v>3</v>
      </c>
      <c r="C198" s="16" t="s">
        <v>238</v>
      </c>
      <c r="D198" s="21" t="s">
        <v>260</v>
      </c>
      <c r="E198" s="16" t="s">
        <v>261</v>
      </c>
      <c r="F198" s="21" t="s">
        <v>65</v>
      </c>
      <c r="G198" s="16" t="s">
        <v>66</v>
      </c>
      <c r="H198" s="46" t="n">
        <f aca="false">INDEX(A_Scoring_Model!$C$5:$C$10,MATCH(F198,A_Scoring_Model!$A$5:$A$10,0))</f>
        <v>0.1</v>
      </c>
      <c r="I198" s="16" t="s">
        <v>449</v>
      </c>
      <c r="J198" s="16" t="s">
        <v>483</v>
      </c>
      <c r="K198" s="21" t="s">
        <v>451</v>
      </c>
      <c r="L198" s="16" t="s">
        <v>461</v>
      </c>
      <c r="M198" s="21" t="s">
        <v>462</v>
      </c>
      <c r="N198" s="49" t="n">
        <v>0</v>
      </c>
      <c r="O198" s="49"/>
      <c r="P198" s="16" t="s">
        <v>446</v>
      </c>
      <c r="Q198" s="16" t="s">
        <v>479</v>
      </c>
      <c r="R198" s="16"/>
    </row>
    <row r="199" customFormat="false" ht="23.85" hidden="false" customHeight="false" outlineLevel="0" collapsed="false">
      <c r="A199" s="45" t="s">
        <v>775</v>
      </c>
      <c r="B199" s="21" t="n">
        <v>3</v>
      </c>
      <c r="C199" s="16" t="s">
        <v>238</v>
      </c>
      <c r="D199" s="21" t="s">
        <v>260</v>
      </c>
      <c r="E199" s="16" t="s">
        <v>261</v>
      </c>
      <c r="F199" s="21" t="s">
        <v>65</v>
      </c>
      <c r="G199" s="16" t="s">
        <v>66</v>
      </c>
      <c r="H199" s="46" t="n">
        <f aca="false">INDEX(A_Scoring_Model!$C$5:$C$10,MATCH(F199,A_Scoring_Model!$A$5:$A$10,0))</f>
        <v>0.1</v>
      </c>
      <c r="I199" s="16" t="s">
        <v>449</v>
      </c>
      <c r="J199" s="16" t="s">
        <v>485</v>
      </c>
      <c r="K199" s="21" t="s">
        <v>445</v>
      </c>
      <c r="L199" s="16" t="s">
        <v>434</v>
      </c>
      <c r="M199" s="21" t="s">
        <v>435</v>
      </c>
      <c r="N199" s="19" t="n">
        <v>1</v>
      </c>
      <c r="O199" s="19"/>
      <c r="P199" s="16" t="s">
        <v>446</v>
      </c>
      <c r="Q199" s="16" t="s">
        <v>479</v>
      </c>
      <c r="R199" s="16"/>
    </row>
    <row r="200" customFormat="false" ht="23.85" hidden="false" customHeight="false" outlineLevel="0" collapsed="false">
      <c r="A200" s="45" t="s">
        <v>776</v>
      </c>
      <c r="B200" s="21" t="n">
        <v>3</v>
      </c>
      <c r="C200" s="16" t="s">
        <v>238</v>
      </c>
      <c r="D200" s="21" t="s">
        <v>260</v>
      </c>
      <c r="E200" s="16" t="s">
        <v>261</v>
      </c>
      <c r="F200" s="21" t="s">
        <v>65</v>
      </c>
      <c r="G200" s="16" t="s">
        <v>66</v>
      </c>
      <c r="H200" s="46" t="n">
        <f aca="false">INDEX(A_Scoring_Model!$C$5:$C$10,MATCH(F200,A_Scoring_Model!$A$5:$A$10,0))</f>
        <v>0.1</v>
      </c>
      <c r="I200" s="16" t="s">
        <v>449</v>
      </c>
      <c r="J200" s="16" t="s">
        <v>487</v>
      </c>
      <c r="K200" s="21" t="s">
        <v>445</v>
      </c>
      <c r="L200" s="16" t="s">
        <v>434</v>
      </c>
      <c r="M200" s="21" t="s">
        <v>435</v>
      </c>
      <c r="N200" s="19" t="n">
        <v>1</v>
      </c>
      <c r="O200" s="19"/>
      <c r="P200" s="16" t="s">
        <v>446</v>
      </c>
      <c r="Q200" s="16" t="s">
        <v>479</v>
      </c>
      <c r="R200" s="16"/>
    </row>
    <row r="201" customFormat="false" ht="23.85" hidden="false" customHeight="false" outlineLevel="0" collapsed="false">
      <c r="A201" s="37" t="s">
        <v>777</v>
      </c>
      <c r="B201" s="38" t="n">
        <v>4</v>
      </c>
      <c r="C201" s="39" t="s">
        <v>267</v>
      </c>
      <c r="D201" s="38" t="s">
        <v>268</v>
      </c>
      <c r="E201" s="39" t="s">
        <v>269</v>
      </c>
      <c r="F201" s="38" t="s">
        <v>50</v>
      </c>
      <c r="G201" s="39" t="s">
        <v>51</v>
      </c>
      <c r="H201" s="40" t="n">
        <f aca="false">INDEX(A_Scoring_Model!$C$5:$C$10,MATCH(F201,A_Scoring_Model!$A$5:$A$10,0))</f>
        <v>0.3</v>
      </c>
      <c r="I201" s="39" t="s">
        <v>431</v>
      </c>
      <c r="J201" s="39" t="s">
        <v>778</v>
      </c>
      <c r="K201" s="38" t="s">
        <v>433</v>
      </c>
      <c r="L201" s="39" t="s">
        <v>434</v>
      </c>
      <c r="M201" s="38" t="s">
        <v>435</v>
      </c>
      <c r="N201" s="41" t="n">
        <v>1</v>
      </c>
      <c r="O201" s="41" t="n">
        <v>0.98</v>
      </c>
      <c r="P201" s="39" t="s">
        <v>436</v>
      </c>
      <c r="Q201" s="39" t="s">
        <v>437</v>
      </c>
      <c r="R201" s="39" t="s">
        <v>274</v>
      </c>
    </row>
    <row r="202" customFormat="false" ht="23.85" hidden="false" customHeight="false" outlineLevel="0" collapsed="false">
      <c r="A202" s="37" t="s">
        <v>779</v>
      </c>
      <c r="B202" s="38" t="n">
        <v>4</v>
      </c>
      <c r="C202" s="39" t="s">
        <v>267</v>
      </c>
      <c r="D202" s="38" t="s">
        <v>268</v>
      </c>
      <c r="E202" s="39" t="s">
        <v>269</v>
      </c>
      <c r="F202" s="38" t="s">
        <v>50</v>
      </c>
      <c r="G202" s="39" t="s">
        <v>51</v>
      </c>
      <c r="H202" s="40" t="n">
        <f aca="false">INDEX(A_Scoring_Model!$C$5:$C$10,MATCH(F202,A_Scoring_Model!$A$5:$A$10,0))</f>
        <v>0.3</v>
      </c>
      <c r="I202" s="39" t="s">
        <v>431</v>
      </c>
      <c r="J202" s="39" t="s">
        <v>780</v>
      </c>
      <c r="K202" s="38" t="s">
        <v>433</v>
      </c>
      <c r="L202" s="39" t="s">
        <v>434</v>
      </c>
      <c r="M202" s="38" t="s">
        <v>435</v>
      </c>
      <c r="N202" s="41" t="n">
        <v>0.95</v>
      </c>
      <c r="O202" s="41" t="n">
        <v>0.85</v>
      </c>
      <c r="P202" s="39" t="s">
        <v>436</v>
      </c>
      <c r="Q202" s="39" t="s">
        <v>437</v>
      </c>
      <c r="R202" s="39" t="s">
        <v>274</v>
      </c>
    </row>
    <row r="203" customFormat="false" ht="23.85" hidden="false" customHeight="false" outlineLevel="0" collapsed="false">
      <c r="A203" s="37" t="s">
        <v>781</v>
      </c>
      <c r="B203" s="38" t="n">
        <v>4</v>
      </c>
      <c r="C203" s="39" t="s">
        <v>267</v>
      </c>
      <c r="D203" s="38" t="s">
        <v>268</v>
      </c>
      <c r="E203" s="39" t="s">
        <v>269</v>
      </c>
      <c r="F203" s="38" t="s">
        <v>50</v>
      </c>
      <c r="G203" s="39" t="s">
        <v>51</v>
      </c>
      <c r="H203" s="40" t="n">
        <f aca="false">INDEX(A_Scoring_Model!$C$5:$C$10,MATCH(F203,A_Scoring_Model!$A$5:$A$10,0))</f>
        <v>0.3</v>
      </c>
      <c r="I203" s="39" t="s">
        <v>431</v>
      </c>
      <c r="J203" s="39" t="s">
        <v>782</v>
      </c>
      <c r="K203" s="38" t="s">
        <v>433</v>
      </c>
      <c r="L203" s="39" t="s">
        <v>434</v>
      </c>
      <c r="M203" s="38" t="s">
        <v>435</v>
      </c>
      <c r="N203" s="41" t="n">
        <v>1</v>
      </c>
      <c r="O203" s="41" t="n">
        <v>1</v>
      </c>
      <c r="P203" s="39" t="s">
        <v>436</v>
      </c>
      <c r="Q203" s="39" t="s">
        <v>437</v>
      </c>
      <c r="R203" s="39" t="s">
        <v>274</v>
      </c>
    </row>
    <row r="204" customFormat="false" ht="23.85" hidden="false" customHeight="false" outlineLevel="0" collapsed="false">
      <c r="A204" s="37" t="s">
        <v>783</v>
      </c>
      <c r="B204" s="38" t="n">
        <v>4</v>
      </c>
      <c r="C204" s="39" t="s">
        <v>267</v>
      </c>
      <c r="D204" s="38" t="s">
        <v>268</v>
      </c>
      <c r="E204" s="39" t="s">
        <v>269</v>
      </c>
      <c r="F204" s="38" t="s">
        <v>53</v>
      </c>
      <c r="G204" s="39" t="s">
        <v>54</v>
      </c>
      <c r="H204" s="40" t="n">
        <f aca="false">INDEX(A_Scoring_Model!$C$5:$C$10,MATCH(F204,A_Scoring_Model!$A$5:$A$10,0))</f>
        <v>0.2</v>
      </c>
      <c r="I204" s="39" t="s">
        <v>431</v>
      </c>
      <c r="J204" s="39" t="s">
        <v>784</v>
      </c>
      <c r="K204" s="38" t="s">
        <v>445</v>
      </c>
      <c r="L204" s="39" t="s">
        <v>434</v>
      </c>
      <c r="M204" s="38" t="s">
        <v>435</v>
      </c>
      <c r="N204" s="43" t="n">
        <v>1</v>
      </c>
      <c r="O204" s="43"/>
      <c r="P204" s="39" t="s">
        <v>446</v>
      </c>
      <c r="Q204" s="39" t="s">
        <v>447</v>
      </c>
      <c r="R204" s="39"/>
    </row>
    <row r="205" customFormat="false" ht="23.85" hidden="false" customHeight="false" outlineLevel="0" collapsed="false">
      <c r="A205" s="37" t="s">
        <v>785</v>
      </c>
      <c r="B205" s="38" t="n">
        <v>4</v>
      </c>
      <c r="C205" s="39" t="s">
        <v>267</v>
      </c>
      <c r="D205" s="38" t="s">
        <v>268</v>
      </c>
      <c r="E205" s="39" t="s">
        <v>269</v>
      </c>
      <c r="F205" s="38" t="s">
        <v>53</v>
      </c>
      <c r="G205" s="39" t="s">
        <v>54</v>
      </c>
      <c r="H205" s="40" t="n">
        <f aca="false">INDEX(A_Scoring_Model!$C$5:$C$10,MATCH(F205,A_Scoring_Model!$A$5:$A$10,0))</f>
        <v>0.2</v>
      </c>
      <c r="I205" s="39" t="s">
        <v>449</v>
      </c>
      <c r="J205" s="39" t="s">
        <v>450</v>
      </c>
      <c r="K205" s="38" t="s">
        <v>451</v>
      </c>
      <c r="L205" s="39" t="s">
        <v>434</v>
      </c>
      <c r="M205" s="38" t="s">
        <v>435</v>
      </c>
      <c r="N205" s="44" t="n">
        <v>3</v>
      </c>
      <c r="O205" s="44" t="n">
        <v>2</v>
      </c>
      <c r="P205" s="39" t="s">
        <v>436</v>
      </c>
      <c r="Q205" s="39" t="s">
        <v>447</v>
      </c>
      <c r="R205" s="39"/>
    </row>
    <row r="206" customFormat="false" ht="23.85" hidden="false" customHeight="false" outlineLevel="0" collapsed="false">
      <c r="A206" s="37" t="s">
        <v>786</v>
      </c>
      <c r="B206" s="38" t="n">
        <v>4</v>
      </c>
      <c r="C206" s="39" t="s">
        <v>267</v>
      </c>
      <c r="D206" s="38" t="s">
        <v>268</v>
      </c>
      <c r="E206" s="39" t="s">
        <v>269</v>
      </c>
      <c r="F206" s="38" t="s">
        <v>53</v>
      </c>
      <c r="G206" s="39" t="s">
        <v>54</v>
      </c>
      <c r="H206" s="40" t="n">
        <f aca="false">INDEX(A_Scoring_Model!$C$5:$C$10,MATCH(F206,A_Scoring_Model!$A$5:$A$10,0))</f>
        <v>0.2</v>
      </c>
      <c r="I206" s="39" t="s">
        <v>449</v>
      </c>
      <c r="J206" s="39" t="s">
        <v>453</v>
      </c>
      <c r="K206" s="38" t="s">
        <v>445</v>
      </c>
      <c r="L206" s="39" t="s">
        <v>434</v>
      </c>
      <c r="M206" s="38" t="s">
        <v>435</v>
      </c>
      <c r="N206" s="43" t="n">
        <v>1</v>
      </c>
      <c r="O206" s="43"/>
      <c r="P206" s="39" t="s">
        <v>446</v>
      </c>
      <c r="Q206" s="39" t="s">
        <v>447</v>
      </c>
      <c r="R206" s="39"/>
    </row>
    <row r="207" customFormat="false" ht="23.85" hidden="false" customHeight="false" outlineLevel="0" collapsed="false">
      <c r="A207" s="37" t="s">
        <v>787</v>
      </c>
      <c r="B207" s="38" t="n">
        <v>4</v>
      </c>
      <c r="C207" s="39" t="s">
        <v>267</v>
      </c>
      <c r="D207" s="38" t="s">
        <v>268</v>
      </c>
      <c r="E207" s="39" t="s">
        <v>269</v>
      </c>
      <c r="F207" s="38" t="s">
        <v>56</v>
      </c>
      <c r="G207" s="39" t="s">
        <v>57</v>
      </c>
      <c r="H207" s="40" t="n">
        <f aca="false">INDEX(A_Scoring_Model!$C$5:$C$10,MATCH(F207,A_Scoring_Model!$A$5:$A$10,0))</f>
        <v>0.15</v>
      </c>
      <c r="I207" s="39" t="s">
        <v>431</v>
      </c>
      <c r="J207" s="39" t="s">
        <v>788</v>
      </c>
      <c r="K207" s="38" t="s">
        <v>451</v>
      </c>
      <c r="L207" s="39" t="s">
        <v>434</v>
      </c>
      <c r="M207" s="38" t="s">
        <v>435</v>
      </c>
      <c r="N207" s="44" t="n">
        <v>50</v>
      </c>
      <c r="O207" s="44"/>
      <c r="P207" s="39" t="s">
        <v>446</v>
      </c>
      <c r="Q207" s="39" t="s">
        <v>457</v>
      </c>
      <c r="R207" s="39"/>
    </row>
    <row r="208" customFormat="false" ht="23.85" hidden="false" customHeight="false" outlineLevel="0" collapsed="false">
      <c r="A208" s="37" t="s">
        <v>789</v>
      </c>
      <c r="B208" s="38" t="n">
        <v>4</v>
      </c>
      <c r="C208" s="39" t="s">
        <v>267</v>
      </c>
      <c r="D208" s="38" t="s">
        <v>268</v>
      </c>
      <c r="E208" s="39" t="s">
        <v>269</v>
      </c>
      <c r="F208" s="38" t="s">
        <v>56</v>
      </c>
      <c r="G208" s="39" t="s">
        <v>57</v>
      </c>
      <c r="H208" s="40" t="n">
        <f aca="false">INDEX(A_Scoring_Model!$C$5:$C$10,MATCH(F208,A_Scoring_Model!$A$5:$A$10,0))</f>
        <v>0.15</v>
      </c>
      <c r="I208" s="39" t="s">
        <v>431</v>
      </c>
      <c r="J208" s="39" t="s">
        <v>790</v>
      </c>
      <c r="K208" s="38" t="s">
        <v>503</v>
      </c>
      <c r="L208" s="39" t="s">
        <v>461</v>
      </c>
      <c r="M208" s="38" t="s">
        <v>462</v>
      </c>
      <c r="N208" s="44" t="n">
        <v>30</v>
      </c>
      <c r="O208" s="44"/>
      <c r="P208" s="39" t="s">
        <v>446</v>
      </c>
      <c r="Q208" s="39" t="s">
        <v>457</v>
      </c>
      <c r="R208" s="39"/>
    </row>
    <row r="209" customFormat="false" ht="23.85" hidden="false" customHeight="false" outlineLevel="0" collapsed="false">
      <c r="A209" s="37" t="s">
        <v>791</v>
      </c>
      <c r="B209" s="38" t="n">
        <v>4</v>
      </c>
      <c r="C209" s="39" t="s">
        <v>267</v>
      </c>
      <c r="D209" s="38" t="s">
        <v>268</v>
      </c>
      <c r="E209" s="39" t="s">
        <v>269</v>
      </c>
      <c r="F209" s="38" t="s">
        <v>56</v>
      </c>
      <c r="G209" s="39" t="s">
        <v>57</v>
      </c>
      <c r="H209" s="40" t="n">
        <f aca="false">INDEX(A_Scoring_Model!$C$5:$C$10,MATCH(F209,A_Scoring_Model!$A$5:$A$10,0))</f>
        <v>0.15</v>
      </c>
      <c r="I209" s="39" t="s">
        <v>449</v>
      </c>
      <c r="J209" s="39" t="s">
        <v>464</v>
      </c>
      <c r="K209" s="38" t="s">
        <v>433</v>
      </c>
      <c r="L209" s="39" t="s">
        <v>461</v>
      </c>
      <c r="M209" s="38" t="s">
        <v>462</v>
      </c>
      <c r="N209" s="41" t="n">
        <v>0.2</v>
      </c>
      <c r="O209" s="41" t="n">
        <v>0.4</v>
      </c>
      <c r="P209" s="39" t="s">
        <v>436</v>
      </c>
      <c r="Q209" s="39" t="s">
        <v>457</v>
      </c>
      <c r="R209" s="39"/>
    </row>
    <row r="210" customFormat="false" ht="23.85" hidden="false" customHeight="false" outlineLevel="0" collapsed="false">
      <c r="A210" s="37" t="s">
        <v>792</v>
      </c>
      <c r="B210" s="38" t="n">
        <v>4</v>
      </c>
      <c r="C210" s="39" t="s">
        <v>267</v>
      </c>
      <c r="D210" s="38" t="s">
        <v>268</v>
      </c>
      <c r="E210" s="39" t="s">
        <v>269</v>
      </c>
      <c r="F210" s="38" t="s">
        <v>59</v>
      </c>
      <c r="G210" s="39" t="s">
        <v>60</v>
      </c>
      <c r="H210" s="40" t="n">
        <f aca="false">INDEX(A_Scoring_Model!$C$5:$C$10,MATCH(F210,A_Scoring_Model!$A$5:$A$10,0))</f>
        <v>0.1</v>
      </c>
      <c r="I210" s="39" t="s">
        <v>431</v>
      </c>
      <c r="J210" s="39" t="s">
        <v>793</v>
      </c>
      <c r="K210" s="38" t="s">
        <v>433</v>
      </c>
      <c r="L210" s="39" t="s">
        <v>434</v>
      </c>
      <c r="M210" s="38" t="s">
        <v>435</v>
      </c>
      <c r="N210" s="41" t="n">
        <v>1</v>
      </c>
      <c r="O210" s="41"/>
      <c r="P210" s="39" t="s">
        <v>446</v>
      </c>
      <c r="Q210" s="39" t="s">
        <v>467</v>
      </c>
      <c r="R210" s="39"/>
    </row>
    <row r="211" customFormat="false" ht="23.85" hidden="false" customHeight="false" outlineLevel="0" collapsed="false">
      <c r="A211" s="37" t="s">
        <v>794</v>
      </c>
      <c r="B211" s="38" t="n">
        <v>4</v>
      </c>
      <c r="C211" s="39" t="s">
        <v>267</v>
      </c>
      <c r="D211" s="38" t="s">
        <v>268</v>
      </c>
      <c r="E211" s="39" t="s">
        <v>269</v>
      </c>
      <c r="F211" s="38" t="s">
        <v>59</v>
      </c>
      <c r="G211" s="39" t="s">
        <v>60</v>
      </c>
      <c r="H211" s="40" t="n">
        <f aca="false">INDEX(A_Scoring_Model!$C$5:$C$10,MATCH(F211,A_Scoring_Model!$A$5:$A$10,0))</f>
        <v>0.1</v>
      </c>
      <c r="I211" s="39" t="s">
        <v>431</v>
      </c>
      <c r="J211" s="39" t="s">
        <v>795</v>
      </c>
      <c r="K211" s="38" t="s">
        <v>433</v>
      </c>
      <c r="L211" s="39" t="s">
        <v>434</v>
      </c>
      <c r="M211" s="38" t="s">
        <v>435</v>
      </c>
      <c r="N211" s="41" t="n">
        <v>1</v>
      </c>
      <c r="O211" s="41"/>
      <c r="P211" s="39" t="s">
        <v>446</v>
      </c>
      <c r="Q211" s="39" t="s">
        <v>467</v>
      </c>
      <c r="R211" s="39"/>
    </row>
    <row r="212" customFormat="false" ht="23.85" hidden="false" customHeight="false" outlineLevel="0" collapsed="false">
      <c r="A212" s="37" t="s">
        <v>796</v>
      </c>
      <c r="B212" s="38" t="n">
        <v>4</v>
      </c>
      <c r="C212" s="39" t="s">
        <v>267</v>
      </c>
      <c r="D212" s="38" t="s">
        <v>268</v>
      </c>
      <c r="E212" s="39" t="s">
        <v>269</v>
      </c>
      <c r="F212" s="38" t="s">
        <v>59</v>
      </c>
      <c r="G212" s="39" t="s">
        <v>60</v>
      </c>
      <c r="H212" s="40" t="n">
        <f aca="false">INDEX(A_Scoring_Model!$C$5:$C$10,MATCH(F212,A_Scoring_Model!$A$5:$A$10,0))</f>
        <v>0.1</v>
      </c>
      <c r="I212" s="39" t="s">
        <v>449</v>
      </c>
      <c r="J212" s="39" t="s">
        <v>471</v>
      </c>
      <c r="K212" s="38" t="s">
        <v>433</v>
      </c>
      <c r="L212" s="39" t="s">
        <v>434</v>
      </c>
      <c r="M212" s="38" t="s">
        <v>435</v>
      </c>
      <c r="N212" s="41" t="n">
        <v>0.995</v>
      </c>
      <c r="O212" s="41" t="n">
        <v>0.99</v>
      </c>
      <c r="P212" s="39" t="s">
        <v>436</v>
      </c>
      <c r="Q212" s="39" t="s">
        <v>467</v>
      </c>
      <c r="R212" s="39"/>
    </row>
    <row r="213" customFormat="false" ht="23.85" hidden="false" customHeight="false" outlineLevel="0" collapsed="false">
      <c r="A213" s="37" t="s">
        <v>797</v>
      </c>
      <c r="B213" s="38" t="n">
        <v>4</v>
      </c>
      <c r="C213" s="39" t="s">
        <v>267</v>
      </c>
      <c r="D213" s="38" t="s">
        <v>268</v>
      </c>
      <c r="E213" s="39" t="s">
        <v>269</v>
      </c>
      <c r="F213" s="38" t="s">
        <v>62</v>
      </c>
      <c r="G213" s="39" t="s">
        <v>63</v>
      </c>
      <c r="H213" s="40" t="n">
        <f aca="false">INDEX(A_Scoring_Model!$C$5:$C$10,MATCH(F213,A_Scoring_Model!$A$5:$A$10,0))</f>
        <v>0.15</v>
      </c>
      <c r="I213" s="39" t="s">
        <v>431</v>
      </c>
      <c r="J213" s="39" t="s">
        <v>798</v>
      </c>
      <c r="K213" s="38" t="s">
        <v>433</v>
      </c>
      <c r="L213" s="39" t="s">
        <v>434</v>
      </c>
      <c r="M213" s="38" t="s">
        <v>435</v>
      </c>
      <c r="N213" s="41" t="n">
        <v>0.7</v>
      </c>
      <c r="O213" s="41"/>
      <c r="P213" s="39" t="s">
        <v>446</v>
      </c>
      <c r="Q213" s="39" t="s">
        <v>474</v>
      </c>
      <c r="R213" s="39"/>
    </row>
    <row r="214" customFormat="false" ht="23.85" hidden="false" customHeight="false" outlineLevel="0" collapsed="false">
      <c r="A214" s="37" t="s">
        <v>799</v>
      </c>
      <c r="B214" s="38" t="n">
        <v>4</v>
      </c>
      <c r="C214" s="39" t="s">
        <v>267</v>
      </c>
      <c r="D214" s="38" t="s">
        <v>268</v>
      </c>
      <c r="E214" s="39" t="s">
        <v>269</v>
      </c>
      <c r="F214" s="38" t="s">
        <v>65</v>
      </c>
      <c r="G214" s="39" t="s">
        <v>66</v>
      </c>
      <c r="H214" s="40" t="n">
        <f aca="false">INDEX(A_Scoring_Model!$C$5:$C$10,MATCH(F214,A_Scoring_Model!$A$5:$A$10,0))</f>
        <v>0.1</v>
      </c>
      <c r="I214" s="39" t="s">
        <v>449</v>
      </c>
      <c r="J214" s="39" t="s">
        <v>478</v>
      </c>
      <c r="K214" s="38" t="s">
        <v>433</v>
      </c>
      <c r="L214" s="39" t="s">
        <v>434</v>
      </c>
      <c r="M214" s="38" t="s">
        <v>435</v>
      </c>
      <c r="N214" s="41" t="n">
        <v>0.8</v>
      </c>
      <c r="O214" s="41" t="n">
        <v>0.6</v>
      </c>
      <c r="P214" s="39" t="s">
        <v>436</v>
      </c>
      <c r="Q214" s="39" t="s">
        <v>479</v>
      </c>
      <c r="R214" s="39"/>
    </row>
    <row r="215" customFormat="false" ht="23.85" hidden="false" customHeight="false" outlineLevel="0" collapsed="false">
      <c r="A215" s="37" t="s">
        <v>800</v>
      </c>
      <c r="B215" s="38" t="n">
        <v>4</v>
      </c>
      <c r="C215" s="39" t="s">
        <v>267</v>
      </c>
      <c r="D215" s="38" t="s">
        <v>268</v>
      </c>
      <c r="E215" s="39" t="s">
        <v>269</v>
      </c>
      <c r="F215" s="38" t="s">
        <v>65</v>
      </c>
      <c r="G215" s="39" t="s">
        <v>66</v>
      </c>
      <c r="H215" s="40" t="n">
        <f aca="false">INDEX(A_Scoring_Model!$C$5:$C$10,MATCH(F215,A_Scoring_Model!$A$5:$A$10,0))</f>
        <v>0.1</v>
      </c>
      <c r="I215" s="39" t="s">
        <v>449</v>
      </c>
      <c r="J215" s="39" t="s">
        <v>481</v>
      </c>
      <c r="K215" s="38" t="s">
        <v>451</v>
      </c>
      <c r="L215" s="39" t="s">
        <v>461</v>
      </c>
      <c r="M215" s="38" t="s">
        <v>462</v>
      </c>
      <c r="N215" s="44" t="n">
        <v>0</v>
      </c>
      <c r="O215" s="44"/>
      <c r="P215" s="39" t="s">
        <v>446</v>
      </c>
      <c r="Q215" s="39" t="s">
        <v>479</v>
      </c>
      <c r="R215" s="39"/>
    </row>
    <row r="216" customFormat="false" ht="23.85" hidden="false" customHeight="false" outlineLevel="0" collapsed="false">
      <c r="A216" s="37" t="s">
        <v>801</v>
      </c>
      <c r="B216" s="38" t="n">
        <v>4</v>
      </c>
      <c r="C216" s="39" t="s">
        <v>267</v>
      </c>
      <c r="D216" s="38" t="s">
        <v>268</v>
      </c>
      <c r="E216" s="39" t="s">
        <v>269</v>
      </c>
      <c r="F216" s="38" t="s">
        <v>65</v>
      </c>
      <c r="G216" s="39" t="s">
        <v>66</v>
      </c>
      <c r="H216" s="40" t="n">
        <f aca="false">INDEX(A_Scoring_Model!$C$5:$C$10,MATCH(F216,A_Scoring_Model!$A$5:$A$10,0))</f>
        <v>0.1</v>
      </c>
      <c r="I216" s="39" t="s">
        <v>449</v>
      </c>
      <c r="J216" s="39" t="s">
        <v>483</v>
      </c>
      <c r="K216" s="38" t="s">
        <v>451</v>
      </c>
      <c r="L216" s="39" t="s">
        <v>461</v>
      </c>
      <c r="M216" s="38" t="s">
        <v>462</v>
      </c>
      <c r="N216" s="44" t="n">
        <v>0</v>
      </c>
      <c r="O216" s="44"/>
      <c r="P216" s="39" t="s">
        <v>446</v>
      </c>
      <c r="Q216" s="39" t="s">
        <v>479</v>
      </c>
      <c r="R216" s="39"/>
    </row>
    <row r="217" customFormat="false" ht="23.85" hidden="false" customHeight="false" outlineLevel="0" collapsed="false">
      <c r="A217" s="37" t="s">
        <v>802</v>
      </c>
      <c r="B217" s="38" t="n">
        <v>4</v>
      </c>
      <c r="C217" s="39" t="s">
        <v>267</v>
      </c>
      <c r="D217" s="38" t="s">
        <v>268</v>
      </c>
      <c r="E217" s="39" t="s">
        <v>269</v>
      </c>
      <c r="F217" s="38" t="s">
        <v>65</v>
      </c>
      <c r="G217" s="39" t="s">
        <v>66</v>
      </c>
      <c r="H217" s="40" t="n">
        <f aca="false">INDEX(A_Scoring_Model!$C$5:$C$10,MATCH(F217,A_Scoring_Model!$A$5:$A$10,0))</f>
        <v>0.1</v>
      </c>
      <c r="I217" s="39" t="s">
        <v>449</v>
      </c>
      <c r="J217" s="39" t="s">
        <v>485</v>
      </c>
      <c r="K217" s="38" t="s">
        <v>445</v>
      </c>
      <c r="L217" s="39" t="s">
        <v>434</v>
      </c>
      <c r="M217" s="38" t="s">
        <v>435</v>
      </c>
      <c r="N217" s="43" t="n">
        <v>1</v>
      </c>
      <c r="O217" s="43"/>
      <c r="P217" s="39" t="s">
        <v>446</v>
      </c>
      <c r="Q217" s="39" t="s">
        <v>479</v>
      </c>
      <c r="R217" s="39"/>
    </row>
    <row r="218" customFormat="false" ht="23.85" hidden="false" customHeight="false" outlineLevel="0" collapsed="false">
      <c r="A218" s="37" t="s">
        <v>803</v>
      </c>
      <c r="B218" s="38" t="n">
        <v>4</v>
      </c>
      <c r="C218" s="39" t="s">
        <v>267</v>
      </c>
      <c r="D218" s="38" t="s">
        <v>268</v>
      </c>
      <c r="E218" s="39" t="s">
        <v>269</v>
      </c>
      <c r="F218" s="38" t="s">
        <v>65</v>
      </c>
      <c r="G218" s="39" t="s">
        <v>66</v>
      </c>
      <c r="H218" s="40" t="n">
        <f aca="false">INDEX(A_Scoring_Model!$C$5:$C$10,MATCH(F218,A_Scoring_Model!$A$5:$A$10,0))</f>
        <v>0.1</v>
      </c>
      <c r="I218" s="39" t="s">
        <v>449</v>
      </c>
      <c r="J218" s="39" t="s">
        <v>487</v>
      </c>
      <c r="K218" s="38" t="s">
        <v>445</v>
      </c>
      <c r="L218" s="39" t="s">
        <v>434</v>
      </c>
      <c r="M218" s="38" t="s">
        <v>435</v>
      </c>
      <c r="N218" s="43" t="n">
        <v>1</v>
      </c>
      <c r="O218" s="43"/>
      <c r="P218" s="39" t="s">
        <v>446</v>
      </c>
      <c r="Q218" s="39" t="s">
        <v>479</v>
      </c>
      <c r="R218" s="39"/>
    </row>
    <row r="219" customFormat="false" ht="23.85" hidden="false" customHeight="false" outlineLevel="0" collapsed="false">
      <c r="A219" s="45" t="s">
        <v>804</v>
      </c>
      <c r="B219" s="21" t="n">
        <v>4</v>
      </c>
      <c r="C219" s="16" t="s">
        <v>267</v>
      </c>
      <c r="D219" s="21" t="s">
        <v>276</v>
      </c>
      <c r="E219" s="16" t="s">
        <v>277</v>
      </c>
      <c r="F219" s="21" t="s">
        <v>50</v>
      </c>
      <c r="G219" s="16" t="s">
        <v>51</v>
      </c>
      <c r="H219" s="46" t="n">
        <f aca="false">INDEX(A_Scoring_Model!$C$5:$C$10,MATCH(F219,A_Scoring_Model!$A$5:$A$10,0))</f>
        <v>0.3</v>
      </c>
      <c r="I219" s="16" t="s">
        <v>431</v>
      </c>
      <c r="J219" s="16" t="s">
        <v>805</v>
      </c>
      <c r="K219" s="21" t="s">
        <v>433</v>
      </c>
      <c r="L219" s="16" t="s">
        <v>434</v>
      </c>
      <c r="M219" s="21" t="s">
        <v>435</v>
      </c>
      <c r="N219" s="48" t="n">
        <v>0.95</v>
      </c>
      <c r="O219" s="48" t="n">
        <v>0.88</v>
      </c>
      <c r="P219" s="16" t="s">
        <v>436</v>
      </c>
      <c r="Q219" s="16" t="s">
        <v>437</v>
      </c>
      <c r="R219" s="16" t="s">
        <v>282</v>
      </c>
    </row>
    <row r="220" customFormat="false" ht="23.85" hidden="false" customHeight="false" outlineLevel="0" collapsed="false">
      <c r="A220" s="45" t="s">
        <v>806</v>
      </c>
      <c r="B220" s="21" t="n">
        <v>4</v>
      </c>
      <c r="C220" s="16" t="s">
        <v>267</v>
      </c>
      <c r="D220" s="21" t="s">
        <v>276</v>
      </c>
      <c r="E220" s="16" t="s">
        <v>277</v>
      </c>
      <c r="F220" s="21" t="s">
        <v>50</v>
      </c>
      <c r="G220" s="16" t="s">
        <v>51</v>
      </c>
      <c r="H220" s="46" t="n">
        <f aca="false">INDEX(A_Scoring_Model!$C$5:$C$10,MATCH(F220,A_Scoring_Model!$A$5:$A$10,0))</f>
        <v>0.3</v>
      </c>
      <c r="I220" s="16" t="s">
        <v>431</v>
      </c>
      <c r="J220" s="16" t="s">
        <v>807</v>
      </c>
      <c r="K220" s="21" t="s">
        <v>433</v>
      </c>
      <c r="L220" s="16" t="s">
        <v>434</v>
      </c>
      <c r="M220" s="21" t="s">
        <v>435</v>
      </c>
      <c r="N220" s="48" t="n">
        <v>0.9</v>
      </c>
      <c r="O220" s="48" t="n">
        <v>0.8</v>
      </c>
      <c r="P220" s="16" t="s">
        <v>436</v>
      </c>
      <c r="Q220" s="16" t="s">
        <v>437</v>
      </c>
      <c r="R220" s="16" t="s">
        <v>282</v>
      </c>
    </row>
    <row r="221" customFormat="false" ht="23.85" hidden="false" customHeight="false" outlineLevel="0" collapsed="false">
      <c r="A221" s="45" t="s">
        <v>808</v>
      </c>
      <c r="B221" s="21" t="n">
        <v>4</v>
      </c>
      <c r="C221" s="16" t="s">
        <v>267</v>
      </c>
      <c r="D221" s="21" t="s">
        <v>276</v>
      </c>
      <c r="E221" s="16" t="s">
        <v>277</v>
      </c>
      <c r="F221" s="21" t="s">
        <v>50</v>
      </c>
      <c r="G221" s="16" t="s">
        <v>51</v>
      </c>
      <c r="H221" s="46" t="n">
        <f aca="false">INDEX(A_Scoring_Model!$C$5:$C$10,MATCH(F221,A_Scoring_Model!$A$5:$A$10,0))</f>
        <v>0.3</v>
      </c>
      <c r="I221" s="16" t="s">
        <v>431</v>
      </c>
      <c r="J221" s="16" t="s">
        <v>809</v>
      </c>
      <c r="K221" s="21" t="s">
        <v>433</v>
      </c>
      <c r="L221" s="16" t="s">
        <v>461</v>
      </c>
      <c r="M221" s="21" t="s">
        <v>462</v>
      </c>
      <c r="N221" s="48" t="n">
        <v>0.02</v>
      </c>
      <c r="O221" s="48" t="n">
        <v>0.05</v>
      </c>
      <c r="P221" s="16" t="s">
        <v>436</v>
      </c>
      <c r="Q221" s="16" t="s">
        <v>437</v>
      </c>
      <c r="R221" s="16" t="s">
        <v>282</v>
      </c>
    </row>
    <row r="222" customFormat="false" ht="23.85" hidden="false" customHeight="false" outlineLevel="0" collapsed="false">
      <c r="A222" s="45" t="s">
        <v>810</v>
      </c>
      <c r="B222" s="21" t="n">
        <v>4</v>
      </c>
      <c r="C222" s="16" t="s">
        <v>267</v>
      </c>
      <c r="D222" s="21" t="s">
        <v>276</v>
      </c>
      <c r="E222" s="16" t="s">
        <v>277</v>
      </c>
      <c r="F222" s="21" t="s">
        <v>53</v>
      </c>
      <c r="G222" s="16" t="s">
        <v>54</v>
      </c>
      <c r="H222" s="46" t="n">
        <f aca="false">INDEX(A_Scoring_Model!$C$5:$C$10,MATCH(F222,A_Scoring_Model!$A$5:$A$10,0))</f>
        <v>0.2</v>
      </c>
      <c r="I222" s="16" t="s">
        <v>431</v>
      </c>
      <c r="J222" s="16" t="s">
        <v>811</v>
      </c>
      <c r="K222" s="21" t="s">
        <v>445</v>
      </c>
      <c r="L222" s="16" t="s">
        <v>434</v>
      </c>
      <c r="M222" s="21" t="s">
        <v>435</v>
      </c>
      <c r="N222" s="19" t="n">
        <v>1</v>
      </c>
      <c r="O222" s="19"/>
      <c r="P222" s="16" t="s">
        <v>446</v>
      </c>
      <c r="Q222" s="16" t="s">
        <v>447</v>
      </c>
      <c r="R222" s="16"/>
    </row>
    <row r="223" customFormat="false" ht="23.85" hidden="false" customHeight="false" outlineLevel="0" collapsed="false">
      <c r="A223" s="45" t="s">
        <v>812</v>
      </c>
      <c r="B223" s="21" t="n">
        <v>4</v>
      </c>
      <c r="C223" s="16" t="s">
        <v>267</v>
      </c>
      <c r="D223" s="21" t="s">
        <v>276</v>
      </c>
      <c r="E223" s="16" t="s">
        <v>277</v>
      </c>
      <c r="F223" s="21" t="s">
        <v>53</v>
      </c>
      <c r="G223" s="16" t="s">
        <v>54</v>
      </c>
      <c r="H223" s="46" t="n">
        <f aca="false">INDEX(A_Scoring_Model!$C$5:$C$10,MATCH(F223,A_Scoring_Model!$A$5:$A$10,0))</f>
        <v>0.2</v>
      </c>
      <c r="I223" s="16" t="s">
        <v>449</v>
      </c>
      <c r="J223" s="16" t="s">
        <v>450</v>
      </c>
      <c r="K223" s="21" t="s">
        <v>451</v>
      </c>
      <c r="L223" s="16" t="s">
        <v>434</v>
      </c>
      <c r="M223" s="21" t="s">
        <v>435</v>
      </c>
      <c r="N223" s="49" t="n">
        <v>3</v>
      </c>
      <c r="O223" s="49" t="n">
        <v>2</v>
      </c>
      <c r="P223" s="16" t="s">
        <v>436</v>
      </c>
      <c r="Q223" s="16" t="s">
        <v>447</v>
      </c>
      <c r="R223" s="16"/>
    </row>
    <row r="224" customFormat="false" ht="23.85" hidden="false" customHeight="false" outlineLevel="0" collapsed="false">
      <c r="A224" s="45" t="s">
        <v>813</v>
      </c>
      <c r="B224" s="21" t="n">
        <v>4</v>
      </c>
      <c r="C224" s="16" t="s">
        <v>267</v>
      </c>
      <c r="D224" s="21" t="s">
        <v>276</v>
      </c>
      <c r="E224" s="16" t="s">
        <v>277</v>
      </c>
      <c r="F224" s="21" t="s">
        <v>53</v>
      </c>
      <c r="G224" s="16" t="s">
        <v>54</v>
      </c>
      <c r="H224" s="46" t="n">
        <f aca="false">INDEX(A_Scoring_Model!$C$5:$C$10,MATCH(F224,A_Scoring_Model!$A$5:$A$10,0))</f>
        <v>0.2</v>
      </c>
      <c r="I224" s="16" t="s">
        <v>449</v>
      </c>
      <c r="J224" s="16" t="s">
        <v>453</v>
      </c>
      <c r="K224" s="21" t="s">
        <v>445</v>
      </c>
      <c r="L224" s="16" t="s">
        <v>434</v>
      </c>
      <c r="M224" s="21" t="s">
        <v>435</v>
      </c>
      <c r="N224" s="19" t="n">
        <v>1</v>
      </c>
      <c r="O224" s="19"/>
      <c r="P224" s="16" t="s">
        <v>446</v>
      </c>
      <c r="Q224" s="16" t="s">
        <v>447</v>
      </c>
      <c r="R224" s="16"/>
    </row>
    <row r="225" customFormat="false" ht="23.85" hidden="false" customHeight="false" outlineLevel="0" collapsed="false">
      <c r="A225" s="45" t="s">
        <v>814</v>
      </c>
      <c r="B225" s="21" t="n">
        <v>4</v>
      </c>
      <c r="C225" s="16" t="s">
        <v>267</v>
      </c>
      <c r="D225" s="21" t="s">
        <v>276</v>
      </c>
      <c r="E225" s="16" t="s">
        <v>277</v>
      </c>
      <c r="F225" s="21" t="s">
        <v>56</v>
      </c>
      <c r="G225" s="16" t="s">
        <v>57</v>
      </c>
      <c r="H225" s="46" t="n">
        <f aca="false">INDEX(A_Scoring_Model!$C$5:$C$10,MATCH(F225,A_Scoring_Model!$A$5:$A$10,0))</f>
        <v>0.15</v>
      </c>
      <c r="I225" s="16" t="s">
        <v>431</v>
      </c>
      <c r="J225" s="16" t="s">
        <v>815</v>
      </c>
      <c r="K225" s="21" t="s">
        <v>503</v>
      </c>
      <c r="L225" s="16" t="s">
        <v>461</v>
      </c>
      <c r="M225" s="21" t="s">
        <v>462</v>
      </c>
      <c r="N225" s="49" t="n">
        <v>5</v>
      </c>
      <c r="O225" s="49"/>
      <c r="P225" s="16" t="s">
        <v>446</v>
      </c>
      <c r="Q225" s="16" t="s">
        <v>457</v>
      </c>
      <c r="R225" s="16"/>
    </row>
    <row r="226" customFormat="false" ht="23.85" hidden="false" customHeight="false" outlineLevel="0" collapsed="false">
      <c r="A226" s="45" t="s">
        <v>816</v>
      </c>
      <c r="B226" s="21" t="n">
        <v>4</v>
      </c>
      <c r="C226" s="16" t="s">
        <v>267</v>
      </c>
      <c r="D226" s="21" t="s">
        <v>276</v>
      </c>
      <c r="E226" s="16" t="s">
        <v>277</v>
      </c>
      <c r="F226" s="21" t="s">
        <v>56</v>
      </c>
      <c r="G226" s="16" t="s">
        <v>57</v>
      </c>
      <c r="H226" s="46" t="n">
        <f aca="false">INDEX(A_Scoring_Model!$C$5:$C$10,MATCH(F226,A_Scoring_Model!$A$5:$A$10,0))</f>
        <v>0.15</v>
      </c>
      <c r="I226" s="16" t="s">
        <v>449</v>
      </c>
      <c r="J226" s="16" t="s">
        <v>464</v>
      </c>
      <c r="K226" s="21" t="s">
        <v>433</v>
      </c>
      <c r="L226" s="16" t="s">
        <v>461</v>
      </c>
      <c r="M226" s="21" t="s">
        <v>462</v>
      </c>
      <c r="N226" s="48" t="n">
        <v>0.2</v>
      </c>
      <c r="O226" s="48" t="n">
        <v>0.4</v>
      </c>
      <c r="P226" s="16" t="s">
        <v>436</v>
      </c>
      <c r="Q226" s="16" t="s">
        <v>457</v>
      </c>
      <c r="R226" s="16"/>
    </row>
    <row r="227" customFormat="false" ht="23.85" hidden="false" customHeight="false" outlineLevel="0" collapsed="false">
      <c r="A227" s="45" t="s">
        <v>817</v>
      </c>
      <c r="B227" s="21" t="n">
        <v>4</v>
      </c>
      <c r="C227" s="16" t="s">
        <v>267</v>
      </c>
      <c r="D227" s="21" t="s">
        <v>276</v>
      </c>
      <c r="E227" s="16" t="s">
        <v>277</v>
      </c>
      <c r="F227" s="21" t="s">
        <v>59</v>
      </c>
      <c r="G227" s="16" t="s">
        <v>60</v>
      </c>
      <c r="H227" s="46" t="n">
        <f aca="false">INDEX(A_Scoring_Model!$C$5:$C$10,MATCH(F227,A_Scoring_Model!$A$5:$A$10,0))</f>
        <v>0.1</v>
      </c>
      <c r="I227" s="16" t="s">
        <v>431</v>
      </c>
      <c r="J227" s="16" t="s">
        <v>818</v>
      </c>
      <c r="K227" s="21" t="s">
        <v>433</v>
      </c>
      <c r="L227" s="16" t="s">
        <v>434</v>
      </c>
      <c r="M227" s="21" t="s">
        <v>435</v>
      </c>
      <c r="N227" s="48" t="n">
        <v>1</v>
      </c>
      <c r="O227" s="48"/>
      <c r="P227" s="16" t="s">
        <v>446</v>
      </c>
      <c r="Q227" s="16" t="s">
        <v>467</v>
      </c>
      <c r="R227" s="16"/>
    </row>
    <row r="228" customFormat="false" ht="23.85" hidden="false" customHeight="false" outlineLevel="0" collapsed="false">
      <c r="A228" s="45" t="s">
        <v>819</v>
      </c>
      <c r="B228" s="21" t="n">
        <v>4</v>
      </c>
      <c r="C228" s="16" t="s">
        <v>267</v>
      </c>
      <c r="D228" s="21" t="s">
        <v>276</v>
      </c>
      <c r="E228" s="16" t="s">
        <v>277</v>
      </c>
      <c r="F228" s="21" t="s">
        <v>59</v>
      </c>
      <c r="G228" s="16" t="s">
        <v>60</v>
      </c>
      <c r="H228" s="46" t="n">
        <f aca="false">INDEX(A_Scoring_Model!$C$5:$C$10,MATCH(F228,A_Scoring_Model!$A$5:$A$10,0))</f>
        <v>0.1</v>
      </c>
      <c r="I228" s="16" t="s">
        <v>449</v>
      </c>
      <c r="J228" s="16" t="s">
        <v>471</v>
      </c>
      <c r="K228" s="21" t="s">
        <v>433</v>
      </c>
      <c r="L228" s="16" t="s">
        <v>434</v>
      </c>
      <c r="M228" s="21" t="s">
        <v>435</v>
      </c>
      <c r="N228" s="48" t="n">
        <v>0.995</v>
      </c>
      <c r="O228" s="48" t="n">
        <v>0.99</v>
      </c>
      <c r="P228" s="16" t="s">
        <v>436</v>
      </c>
      <c r="Q228" s="16" t="s">
        <v>467</v>
      </c>
      <c r="R228" s="16"/>
    </row>
    <row r="229" customFormat="false" ht="23.85" hidden="false" customHeight="false" outlineLevel="0" collapsed="false">
      <c r="A229" s="45" t="s">
        <v>820</v>
      </c>
      <c r="B229" s="21" t="n">
        <v>4</v>
      </c>
      <c r="C229" s="16" t="s">
        <v>267</v>
      </c>
      <c r="D229" s="21" t="s">
        <v>276</v>
      </c>
      <c r="E229" s="16" t="s">
        <v>277</v>
      </c>
      <c r="F229" s="21" t="s">
        <v>62</v>
      </c>
      <c r="G229" s="16" t="s">
        <v>63</v>
      </c>
      <c r="H229" s="46" t="n">
        <f aca="false">INDEX(A_Scoring_Model!$C$5:$C$10,MATCH(F229,A_Scoring_Model!$A$5:$A$10,0))</f>
        <v>0.15</v>
      </c>
      <c r="I229" s="16" t="s">
        <v>431</v>
      </c>
      <c r="J229" s="16" t="s">
        <v>821</v>
      </c>
      <c r="K229" s="21" t="s">
        <v>433</v>
      </c>
      <c r="L229" s="16" t="s">
        <v>434</v>
      </c>
      <c r="M229" s="21" t="s">
        <v>435</v>
      </c>
      <c r="N229" s="48" t="n">
        <v>0.6</v>
      </c>
      <c r="O229" s="48"/>
      <c r="P229" s="16" t="s">
        <v>446</v>
      </c>
      <c r="Q229" s="16" t="s">
        <v>474</v>
      </c>
      <c r="R229" s="16"/>
    </row>
    <row r="230" customFormat="false" ht="23.85" hidden="false" customHeight="false" outlineLevel="0" collapsed="false">
      <c r="A230" s="45" t="s">
        <v>822</v>
      </c>
      <c r="B230" s="21" t="n">
        <v>4</v>
      </c>
      <c r="C230" s="16" t="s">
        <v>267</v>
      </c>
      <c r="D230" s="21" t="s">
        <v>276</v>
      </c>
      <c r="E230" s="16" t="s">
        <v>277</v>
      </c>
      <c r="F230" s="21" t="s">
        <v>65</v>
      </c>
      <c r="G230" s="16" t="s">
        <v>66</v>
      </c>
      <c r="H230" s="46" t="n">
        <f aca="false">INDEX(A_Scoring_Model!$C$5:$C$10,MATCH(F230,A_Scoring_Model!$A$5:$A$10,0))</f>
        <v>0.1</v>
      </c>
      <c r="I230" s="16" t="s">
        <v>449</v>
      </c>
      <c r="J230" s="16" t="s">
        <v>478</v>
      </c>
      <c r="K230" s="21" t="s">
        <v>433</v>
      </c>
      <c r="L230" s="16" t="s">
        <v>434</v>
      </c>
      <c r="M230" s="21" t="s">
        <v>435</v>
      </c>
      <c r="N230" s="48" t="n">
        <v>0.8</v>
      </c>
      <c r="O230" s="48" t="n">
        <v>0.6</v>
      </c>
      <c r="P230" s="16" t="s">
        <v>436</v>
      </c>
      <c r="Q230" s="16" t="s">
        <v>479</v>
      </c>
      <c r="R230" s="16"/>
    </row>
    <row r="231" customFormat="false" ht="23.85" hidden="false" customHeight="false" outlineLevel="0" collapsed="false">
      <c r="A231" s="45" t="s">
        <v>823</v>
      </c>
      <c r="B231" s="21" t="n">
        <v>4</v>
      </c>
      <c r="C231" s="16" t="s">
        <v>267</v>
      </c>
      <c r="D231" s="21" t="s">
        <v>276</v>
      </c>
      <c r="E231" s="16" t="s">
        <v>277</v>
      </c>
      <c r="F231" s="21" t="s">
        <v>65</v>
      </c>
      <c r="G231" s="16" t="s">
        <v>66</v>
      </c>
      <c r="H231" s="46" t="n">
        <f aca="false">INDEX(A_Scoring_Model!$C$5:$C$10,MATCH(F231,A_Scoring_Model!$A$5:$A$10,0))</f>
        <v>0.1</v>
      </c>
      <c r="I231" s="16" t="s">
        <v>449</v>
      </c>
      <c r="J231" s="16" t="s">
        <v>481</v>
      </c>
      <c r="K231" s="21" t="s">
        <v>451</v>
      </c>
      <c r="L231" s="16" t="s">
        <v>461</v>
      </c>
      <c r="M231" s="21" t="s">
        <v>462</v>
      </c>
      <c r="N231" s="49" t="n">
        <v>0</v>
      </c>
      <c r="O231" s="49"/>
      <c r="P231" s="16" t="s">
        <v>446</v>
      </c>
      <c r="Q231" s="16" t="s">
        <v>479</v>
      </c>
      <c r="R231" s="16"/>
    </row>
    <row r="232" customFormat="false" ht="23.85" hidden="false" customHeight="false" outlineLevel="0" collapsed="false">
      <c r="A232" s="45" t="s">
        <v>824</v>
      </c>
      <c r="B232" s="21" t="n">
        <v>4</v>
      </c>
      <c r="C232" s="16" t="s">
        <v>267</v>
      </c>
      <c r="D232" s="21" t="s">
        <v>276</v>
      </c>
      <c r="E232" s="16" t="s">
        <v>277</v>
      </c>
      <c r="F232" s="21" t="s">
        <v>65</v>
      </c>
      <c r="G232" s="16" t="s">
        <v>66</v>
      </c>
      <c r="H232" s="46" t="n">
        <f aca="false">INDEX(A_Scoring_Model!$C$5:$C$10,MATCH(F232,A_Scoring_Model!$A$5:$A$10,0))</f>
        <v>0.1</v>
      </c>
      <c r="I232" s="16" t="s">
        <v>449</v>
      </c>
      <c r="J232" s="16" t="s">
        <v>483</v>
      </c>
      <c r="K232" s="21" t="s">
        <v>451</v>
      </c>
      <c r="L232" s="16" t="s">
        <v>461</v>
      </c>
      <c r="M232" s="21" t="s">
        <v>462</v>
      </c>
      <c r="N232" s="49" t="n">
        <v>0</v>
      </c>
      <c r="O232" s="49"/>
      <c r="P232" s="16" t="s">
        <v>446</v>
      </c>
      <c r="Q232" s="16" t="s">
        <v>479</v>
      </c>
      <c r="R232" s="16"/>
    </row>
    <row r="233" customFormat="false" ht="23.85" hidden="false" customHeight="false" outlineLevel="0" collapsed="false">
      <c r="A233" s="45" t="s">
        <v>825</v>
      </c>
      <c r="B233" s="21" t="n">
        <v>4</v>
      </c>
      <c r="C233" s="16" t="s">
        <v>267</v>
      </c>
      <c r="D233" s="21" t="s">
        <v>276</v>
      </c>
      <c r="E233" s="16" t="s">
        <v>277</v>
      </c>
      <c r="F233" s="21" t="s">
        <v>65</v>
      </c>
      <c r="G233" s="16" t="s">
        <v>66</v>
      </c>
      <c r="H233" s="46" t="n">
        <f aca="false">INDEX(A_Scoring_Model!$C$5:$C$10,MATCH(F233,A_Scoring_Model!$A$5:$A$10,0))</f>
        <v>0.1</v>
      </c>
      <c r="I233" s="16" t="s">
        <v>449</v>
      </c>
      <c r="J233" s="16" t="s">
        <v>485</v>
      </c>
      <c r="K233" s="21" t="s">
        <v>445</v>
      </c>
      <c r="L233" s="16" t="s">
        <v>434</v>
      </c>
      <c r="M233" s="21" t="s">
        <v>435</v>
      </c>
      <c r="N233" s="19" t="n">
        <v>1</v>
      </c>
      <c r="O233" s="19"/>
      <c r="P233" s="16" t="s">
        <v>446</v>
      </c>
      <c r="Q233" s="16" t="s">
        <v>479</v>
      </c>
      <c r="R233" s="16"/>
    </row>
    <row r="234" customFormat="false" ht="23.85" hidden="false" customHeight="false" outlineLevel="0" collapsed="false">
      <c r="A234" s="45" t="s">
        <v>826</v>
      </c>
      <c r="B234" s="21" t="n">
        <v>4</v>
      </c>
      <c r="C234" s="16" t="s">
        <v>267</v>
      </c>
      <c r="D234" s="21" t="s">
        <v>276</v>
      </c>
      <c r="E234" s="16" t="s">
        <v>277</v>
      </c>
      <c r="F234" s="21" t="s">
        <v>65</v>
      </c>
      <c r="G234" s="16" t="s">
        <v>66</v>
      </c>
      <c r="H234" s="46" t="n">
        <f aca="false">INDEX(A_Scoring_Model!$C$5:$C$10,MATCH(F234,A_Scoring_Model!$A$5:$A$10,0))</f>
        <v>0.1</v>
      </c>
      <c r="I234" s="16" t="s">
        <v>449</v>
      </c>
      <c r="J234" s="16" t="s">
        <v>487</v>
      </c>
      <c r="K234" s="21" t="s">
        <v>445</v>
      </c>
      <c r="L234" s="16" t="s">
        <v>434</v>
      </c>
      <c r="M234" s="21" t="s">
        <v>435</v>
      </c>
      <c r="N234" s="19" t="n">
        <v>1</v>
      </c>
      <c r="O234" s="19"/>
      <c r="P234" s="16" t="s">
        <v>446</v>
      </c>
      <c r="Q234" s="16" t="s">
        <v>479</v>
      </c>
      <c r="R234" s="16"/>
    </row>
    <row r="235" customFormat="false" ht="23.85" hidden="false" customHeight="false" outlineLevel="0" collapsed="false">
      <c r="A235" s="37" t="s">
        <v>827</v>
      </c>
      <c r="B235" s="38" t="n">
        <v>4</v>
      </c>
      <c r="C235" s="39" t="s">
        <v>267</v>
      </c>
      <c r="D235" s="38" t="s">
        <v>284</v>
      </c>
      <c r="E235" s="39" t="s">
        <v>285</v>
      </c>
      <c r="F235" s="38" t="s">
        <v>50</v>
      </c>
      <c r="G235" s="39" t="s">
        <v>51</v>
      </c>
      <c r="H235" s="40" t="n">
        <f aca="false">INDEX(A_Scoring_Model!$C$5:$C$10,MATCH(F235,A_Scoring_Model!$A$5:$A$10,0))</f>
        <v>0.3</v>
      </c>
      <c r="I235" s="39" t="s">
        <v>431</v>
      </c>
      <c r="J235" s="39" t="s">
        <v>828</v>
      </c>
      <c r="K235" s="38" t="s">
        <v>433</v>
      </c>
      <c r="L235" s="39" t="s">
        <v>434</v>
      </c>
      <c r="M235" s="38" t="s">
        <v>435</v>
      </c>
      <c r="N235" s="41" t="n">
        <v>0.95</v>
      </c>
      <c r="O235" s="41" t="n">
        <v>0.85</v>
      </c>
      <c r="P235" s="39" t="s">
        <v>436</v>
      </c>
      <c r="Q235" s="39" t="s">
        <v>437</v>
      </c>
      <c r="R235" s="39" t="s">
        <v>290</v>
      </c>
    </row>
    <row r="236" customFormat="false" ht="23.85" hidden="false" customHeight="false" outlineLevel="0" collapsed="false">
      <c r="A236" s="37" t="s">
        <v>829</v>
      </c>
      <c r="B236" s="38" t="n">
        <v>4</v>
      </c>
      <c r="C236" s="39" t="s">
        <v>267</v>
      </c>
      <c r="D236" s="38" t="s">
        <v>284</v>
      </c>
      <c r="E236" s="39" t="s">
        <v>285</v>
      </c>
      <c r="F236" s="38" t="s">
        <v>50</v>
      </c>
      <c r="G236" s="39" t="s">
        <v>51</v>
      </c>
      <c r="H236" s="40" t="n">
        <f aca="false">INDEX(A_Scoring_Model!$C$5:$C$10,MATCH(F236,A_Scoring_Model!$A$5:$A$10,0))</f>
        <v>0.3</v>
      </c>
      <c r="I236" s="39" t="s">
        <v>431</v>
      </c>
      <c r="J236" s="39" t="s">
        <v>830</v>
      </c>
      <c r="K236" s="38" t="s">
        <v>433</v>
      </c>
      <c r="L236" s="39" t="s">
        <v>434</v>
      </c>
      <c r="M236" s="38" t="s">
        <v>435</v>
      </c>
      <c r="N236" s="41" t="n">
        <v>0.8</v>
      </c>
      <c r="O236" s="41" t="n">
        <v>0.65</v>
      </c>
      <c r="P236" s="39" t="s">
        <v>436</v>
      </c>
      <c r="Q236" s="39" t="s">
        <v>437</v>
      </c>
      <c r="R236" s="39" t="s">
        <v>290</v>
      </c>
    </row>
    <row r="237" customFormat="false" ht="23.85" hidden="false" customHeight="false" outlineLevel="0" collapsed="false">
      <c r="A237" s="37" t="s">
        <v>831</v>
      </c>
      <c r="B237" s="38" t="n">
        <v>4</v>
      </c>
      <c r="C237" s="39" t="s">
        <v>267</v>
      </c>
      <c r="D237" s="38" t="s">
        <v>284</v>
      </c>
      <c r="E237" s="39" t="s">
        <v>285</v>
      </c>
      <c r="F237" s="38" t="s">
        <v>50</v>
      </c>
      <c r="G237" s="39" t="s">
        <v>51</v>
      </c>
      <c r="H237" s="40" t="n">
        <f aca="false">INDEX(A_Scoring_Model!$C$5:$C$10,MATCH(F237,A_Scoring_Model!$A$5:$A$10,0))</f>
        <v>0.3</v>
      </c>
      <c r="I237" s="39" t="s">
        <v>431</v>
      </c>
      <c r="J237" s="39" t="s">
        <v>832</v>
      </c>
      <c r="K237" s="38" t="s">
        <v>433</v>
      </c>
      <c r="L237" s="39" t="s">
        <v>434</v>
      </c>
      <c r="M237" s="38" t="s">
        <v>435</v>
      </c>
      <c r="N237" s="41" t="n">
        <v>1</v>
      </c>
      <c r="O237" s="41" t="n">
        <v>1</v>
      </c>
      <c r="P237" s="39" t="s">
        <v>436</v>
      </c>
      <c r="Q237" s="39" t="s">
        <v>437</v>
      </c>
      <c r="R237" s="39" t="s">
        <v>290</v>
      </c>
    </row>
    <row r="238" customFormat="false" ht="23.85" hidden="false" customHeight="false" outlineLevel="0" collapsed="false">
      <c r="A238" s="37" t="s">
        <v>833</v>
      </c>
      <c r="B238" s="38" t="n">
        <v>4</v>
      </c>
      <c r="C238" s="39" t="s">
        <v>267</v>
      </c>
      <c r="D238" s="38" t="s">
        <v>284</v>
      </c>
      <c r="E238" s="39" t="s">
        <v>285</v>
      </c>
      <c r="F238" s="38" t="s">
        <v>53</v>
      </c>
      <c r="G238" s="39" t="s">
        <v>54</v>
      </c>
      <c r="H238" s="40" t="n">
        <f aca="false">INDEX(A_Scoring_Model!$C$5:$C$10,MATCH(F238,A_Scoring_Model!$A$5:$A$10,0))</f>
        <v>0.2</v>
      </c>
      <c r="I238" s="39" t="s">
        <v>431</v>
      </c>
      <c r="J238" s="39" t="s">
        <v>834</v>
      </c>
      <c r="K238" s="38" t="s">
        <v>445</v>
      </c>
      <c r="L238" s="39" t="s">
        <v>434</v>
      </c>
      <c r="M238" s="38" t="s">
        <v>435</v>
      </c>
      <c r="N238" s="43" t="n">
        <v>1</v>
      </c>
      <c r="O238" s="43"/>
      <c r="P238" s="39" t="s">
        <v>446</v>
      </c>
      <c r="Q238" s="39" t="s">
        <v>447</v>
      </c>
      <c r="R238" s="39"/>
    </row>
    <row r="239" customFormat="false" ht="23.85" hidden="false" customHeight="false" outlineLevel="0" collapsed="false">
      <c r="A239" s="37" t="s">
        <v>835</v>
      </c>
      <c r="B239" s="38" t="n">
        <v>4</v>
      </c>
      <c r="C239" s="39" t="s">
        <v>267</v>
      </c>
      <c r="D239" s="38" t="s">
        <v>284</v>
      </c>
      <c r="E239" s="39" t="s">
        <v>285</v>
      </c>
      <c r="F239" s="38" t="s">
        <v>53</v>
      </c>
      <c r="G239" s="39" t="s">
        <v>54</v>
      </c>
      <c r="H239" s="40" t="n">
        <f aca="false">INDEX(A_Scoring_Model!$C$5:$C$10,MATCH(F239,A_Scoring_Model!$A$5:$A$10,0))</f>
        <v>0.2</v>
      </c>
      <c r="I239" s="39" t="s">
        <v>449</v>
      </c>
      <c r="J239" s="39" t="s">
        <v>450</v>
      </c>
      <c r="K239" s="38" t="s">
        <v>451</v>
      </c>
      <c r="L239" s="39" t="s">
        <v>434</v>
      </c>
      <c r="M239" s="38" t="s">
        <v>435</v>
      </c>
      <c r="N239" s="44" t="n">
        <v>3</v>
      </c>
      <c r="O239" s="44" t="n">
        <v>2</v>
      </c>
      <c r="P239" s="39" t="s">
        <v>436</v>
      </c>
      <c r="Q239" s="39" t="s">
        <v>447</v>
      </c>
      <c r="R239" s="39"/>
    </row>
    <row r="240" customFormat="false" ht="23.85" hidden="false" customHeight="false" outlineLevel="0" collapsed="false">
      <c r="A240" s="37" t="s">
        <v>836</v>
      </c>
      <c r="B240" s="38" t="n">
        <v>4</v>
      </c>
      <c r="C240" s="39" t="s">
        <v>267</v>
      </c>
      <c r="D240" s="38" t="s">
        <v>284</v>
      </c>
      <c r="E240" s="39" t="s">
        <v>285</v>
      </c>
      <c r="F240" s="38" t="s">
        <v>53</v>
      </c>
      <c r="G240" s="39" t="s">
        <v>54</v>
      </c>
      <c r="H240" s="40" t="n">
        <f aca="false">INDEX(A_Scoring_Model!$C$5:$C$10,MATCH(F240,A_Scoring_Model!$A$5:$A$10,0))</f>
        <v>0.2</v>
      </c>
      <c r="I240" s="39" t="s">
        <v>449</v>
      </c>
      <c r="J240" s="39" t="s">
        <v>453</v>
      </c>
      <c r="K240" s="38" t="s">
        <v>445</v>
      </c>
      <c r="L240" s="39" t="s">
        <v>434</v>
      </c>
      <c r="M240" s="38" t="s">
        <v>435</v>
      </c>
      <c r="N240" s="43" t="n">
        <v>1</v>
      </c>
      <c r="O240" s="43"/>
      <c r="P240" s="39" t="s">
        <v>446</v>
      </c>
      <c r="Q240" s="39" t="s">
        <v>447</v>
      </c>
      <c r="R240" s="39"/>
    </row>
    <row r="241" customFormat="false" ht="23.85" hidden="false" customHeight="false" outlineLevel="0" collapsed="false">
      <c r="A241" s="37" t="s">
        <v>837</v>
      </c>
      <c r="B241" s="38" t="n">
        <v>4</v>
      </c>
      <c r="C241" s="39" t="s">
        <v>267</v>
      </c>
      <c r="D241" s="38" t="s">
        <v>284</v>
      </c>
      <c r="E241" s="39" t="s">
        <v>285</v>
      </c>
      <c r="F241" s="38" t="s">
        <v>56</v>
      </c>
      <c r="G241" s="39" t="s">
        <v>57</v>
      </c>
      <c r="H241" s="40" t="n">
        <f aca="false">INDEX(A_Scoring_Model!$C$5:$C$10,MATCH(F241,A_Scoring_Model!$A$5:$A$10,0))</f>
        <v>0.15</v>
      </c>
      <c r="I241" s="39" t="s">
        <v>431</v>
      </c>
      <c r="J241" s="39" t="s">
        <v>838</v>
      </c>
      <c r="K241" s="38" t="s">
        <v>503</v>
      </c>
      <c r="L241" s="39" t="s">
        <v>461</v>
      </c>
      <c r="M241" s="38" t="s">
        <v>462</v>
      </c>
      <c r="N241" s="44" t="n">
        <v>5</v>
      </c>
      <c r="O241" s="44"/>
      <c r="P241" s="39" t="s">
        <v>446</v>
      </c>
      <c r="Q241" s="39" t="s">
        <v>457</v>
      </c>
      <c r="R241" s="39"/>
    </row>
    <row r="242" customFormat="false" ht="23.85" hidden="false" customHeight="false" outlineLevel="0" collapsed="false">
      <c r="A242" s="37" t="s">
        <v>839</v>
      </c>
      <c r="B242" s="38" t="n">
        <v>4</v>
      </c>
      <c r="C242" s="39" t="s">
        <v>267</v>
      </c>
      <c r="D242" s="38" t="s">
        <v>284</v>
      </c>
      <c r="E242" s="39" t="s">
        <v>285</v>
      </c>
      <c r="F242" s="38" t="s">
        <v>56</v>
      </c>
      <c r="G242" s="39" t="s">
        <v>57</v>
      </c>
      <c r="H242" s="40" t="n">
        <f aca="false">INDEX(A_Scoring_Model!$C$5:$C$10,MATCH(F242,A_Scoring_Model!$A$5:$A$10,0))</f>
        <v>0.15</v>
      </c>
      <c r="I242" s="39" t="s">
        <v>449</v>
      </c>
      <c r="J242" s="39" t="s">
        <v>464</v>
      </c>
      <c r="K242" s="38" t="s">
        <v>433</v>
      </c>
      <c r="L242" s="39" t="s">
        <v>461</v>
      </c>
      <c r="M242" s="38" t="s">
        <v>462</v>
      </c>
      <c r="N242" s="41" t="n">
        <v>0.2</v>
      </c>
      <c r="O242" s="41" t="n">
        <v>0.4</v>
      </c>
      <c r="P242" s="39" t="s">
        <v>436</v>
      </c>
      <c r="Q242" s="39" t="s">
        <v>457</v>
      </c>
      <c r="R242" s="39"/>
    </row>
    <row r="243" customFormat="false" ht="23.85" hidden="false" customHeight="false" outlineLevel="0" collapsed="false">
      <c r="A243" s="37" t="s">
        <v>840</v>
      </c>
      <c r="B243" s="38" t="n">
        <v>4</v>
      </c>
      <c r="C243" s="39" t="s">
        <v>267</v>
      </c>
      <c r="D243" s="38" t="s">
        <v>284</v>
      </c>
      <c r="E243" s="39" t="s">
        <v>285</v>
      </c>
      <c r="F243" s="38" t="s">
        <v>59</v>
      </c>
      <c r="G243" s="39" t="s">
        <v>60</v>
      </c>
      <c r="H243" s="40" t="n">
        <f aca="false">INDEX(A_Scoring_Model!$C$5:$C$10,MATCH(F243,A_Scoring_Model!$A$5:$A$10,0))</f>
        <v>0.1</v>
      </c>
      <c r="I243" s="39" t="s">
        <v>431</v>
      </c>
      <c r="J243" s="39" t="s">
        <v>841</v>
      </c>
      <c r="K243" s="38" t="s">
        <v>451</v>
      </c>
      <c r="L243" s="39" t="s">
        <v>461</v>
      </c>
      <c r="M243" s="38" t="s">
        <v>462</v>
      </c>
      <c r="N243" s="44" t="n">
        <v>0</v>
      </c>
      <c r="O243" s="44"/>
      <c r="P243" s="39" t="s">
        <v>446</v>
      </c>
      <c r="Q243" s="39" t="s">
        <v>467</v>
      </c>
      <c r="R243" s="39"/>
    </row>
    <row r="244" customFormat="false" ht="23.85" hidden="false" customHeight="false" outlineLevel="0" collapsed="false">
      <c r="A244" s="37" t="s">
        <v>842</v>
      </c>
      <c r="B244" s="38" t="n">
        <v>4</v>
      </c>
      <c r="C244" s="39" t="s">
        <v>267</v>
      </c>
      <c r="D244" s="38" t="s">
        <v>284</v>
      </c>
      <c r="E244" s="39" t="s">
        <v>285</v>
      </c>
      <c r="F244" s="38" t="s">
        <v>59</v>
      </c>
      <c r="G244" s="39" t="s">
        <v>60</v>
      </c>
      <c r="H244" s="40" t="n">
        <f aca="false">INDEX(A_Scoring_Model!$C$5:$C$10,MATCH(F244,A_Scoring_Model!$A$5:$A$10,0))</f>
        <v>0.1</v>
      </c>
      <c r="I244" s="39" t="s">
        <v>449</v>
      </c>
      <c r="J244" s="39" t="s">
        <v>471</v>
      </c>
      <c r="K244" s="38" t="s">
        <v>433</v>
      </c>
      <c r="L244" s="39" t="s">
        <v>434</v>
      </c>
      <c r="M244" s="38" t="s">
        <v>435</v>
      </c>
      <c r="N244" s="41" t="n">
        <v>0.995</v>
      </c>
      <c r="O244" s="41" t="n">
        <v>0.99</v>
      </c>
      <c r="P244" s="39" t="s">
        <v>436</v>
      </c>
      <c r="Q244" s="39" t="s">
        <v>467</v>
      </c>
      <c r="R244" s="39"/>
    </row>
    <row r="245" customFormat="false" ht="23.85" hidden="false" customHeight="false" outlineLevel="0" collapsed="false">
      <c r="A245" s="37" t="s">
        <v>843</v>
      </c>
      <c r="B245" s="38" t="n">
        <v>4</v>
      </c>
      <c r="C245" s="39" t="s">
        <v>267</v>
      </c>
      <c r="D245" s="38" t="s">
        <v>284</v>
      </c>
      <c r="E245" s="39" t="s">
        <v>285</v>
      </c>
      <c r="F245" s="38" t="s">
        <v>62</v>
      </c>
      <c r="G245" s="39" t="s">
        <v>63</v>
      </c>
      <c r="H245" s="40" t="n">
        <f aca="false">INDEX(A_Scoring_Model!$C$5:$C$10,MATCH(F245,A_Scoring_Model!$A$5:$A$10,0))</f>
        <v>0.15</v>
      </c>
      <c r="I245" s="39" t="s">
        <v>431</v>
      </c>
      <c r="J245" s="39" t="s">
        <v>844</v>
      </c>
      <c r="K245" s="38" t="s">
        <v>433</v>
      </c>
      <c r="L245" s="39" t="s">
        <v>434</v>
      </c>
      <c r="M245" s="38" t="s">
        <v>435</v>
      </c>
      <c r="N245" s="41" t="n">
        <v>0.5</v>
      </c>
      <c r="O245" s="41"/>
      <c r="P245" s="39" t="s">
        <v>446</v>
      </c>
      <c r="Q245" s="39" t="s">
        <v>474</v>
      </c>
      <c r="R245" s="39"/>
    </row>
    <row r="246" customFormat="false" ht="23.85" hidden="false" customHeight="false" outlineLevel="0" collapsed="false">
      <c r="A246" s="37" t="s">
        <v>845</v>
      </c>
      <c r="B246" s="38" t="n">
        <v>4</v>
      </c>
      <c r="C246" s="39" t="s">
        <v>267</v>
      </c>
      <c r="D246" s="38" t="s">
        <v>284</v>
      </c>
      <c r="E246" s="39" t="s">
        <v>285</v>
      </c>
      <c r="F246" s="38" t="s">
        <v>65</v>
      </c>
      <c r="G246" s="39" t="s">
        <v>66</v>
      </c>
      <c r="H246" s="40" t="n">
        <f aca="false">INDEX(A_Scoring_Model!$C$5:$C$10,MATCH(F246,A_Scoring_Model!$A$5:$A$10,0))</f>
        <v>0.1</v>
      </c>
      <c r="I246" s="39" t="s">
        <v>449</v>
      </c>
      <c r="J246" s="39" t="s">
        <v>478</v>
      </c>
      <c r="K246" s="38" t="s">
        <v>433</v>
      </c>
      <c r="L246" s="39" t="s">
        <v>434</v>
      </c>
      <c r="M246" s="38" t="s">
        <v>435</v>
      </c>
      <c r="N246" s="41" t="n">
        <v>0.8</v>
      </c>
      <c r="O246" s="41" t="n">
        <v>0.6</v>
      </c>
      <c r="P246" s="39" t="s">
        <v>436</v>
      </c>
      <c r="Q246" s="39" t="s">
        <v>479</v>
      </c>
      <c r="R246" s="39"/>
    </row>
    <row r="247" customFormat="false" ht="23.85" hidden="false" customHeight="false" outlineLevel="0" collapsed="false">
      <c r="A247" s="37" t="s">
        <v>846</v>
      </c>
      <c r="B247" s="38" t="n">
        <v>4</v>
      </c>
      <c r="C247" s="39" t="s">
        <v>267</v>
      </c>
      <c r="D247" s="38" t="s">
        <v>284</v>
      </c>
      <c r="E247" s="39" t="s">
        <v>285</v>
      </c>
      <c r="F247" s="38" t="s">
        <v>65</v>
      </c>
      <c r="G247" s="39" t="s">
        <v>66</v>
      </c>
      <c r="H247" s="40" t="n">
        <f aca="false">INDEX(A_Scoring_Model!$C$5:$C$10,MATCH(F247,A_Scoring_Model!$A$5:$A$10,0))</f>
        <v>0.1</v>
      </c>
      <c r="I247" s="39" t="s">
        <v>449</v>
      </c>
      <c r="J247" s="39" t="s">
        <v>481</v>
      </c>
      <c r="K247" s="38" t="s">
        <v>451</v>
      </c>
      <c r="L247" s="39" t="s">
        <v>461</v>
      </c>
      <c r="M247" s="38" t="s">
        <v>462</v>
      </c>
      <c r="N247" s="44" t="n">
        <v>0</v>
      </c>
      <c r="O247" s="44"/>
      <c r="P247" s="39" t="s">
        <v>446</v>
      </c>
      <c r="Q247" s="39" t="s">
        <v>479</v>
      </c>
      <c r="R247" s="39"/>
    </row>
    <row r="248" customFormat="false" ht="23.85" hidden="false" customHeight="false" outlineLevel="0" collapsed="false">
      <c r="A248" s="37" t="s">
        <v>847</v>
      </c>
      <c r="B248" s="38" t="n">
        <v>4</v>
      </c>
      <c r="C248" s="39" t="s">
        <v>267</v>
      </c>
      <c r="D248" s="38" t="s">
        <v>284</v>
      </c>
      <c r="E248" s="39" t="s">
        <v>285</v>
      </c>
      <c r="F248" s="38" t="s">
        <v>65</v>
      </c>
      <c r="G248" s="39" t="s">
        <v>66</v>
      </c>
      <c r="H248" s="40" t="n">
        <f aca="false">INDEX(A_Scoring_Model!$C$5:$C$10,MATCH(F248,A_Scoring_Model!$A$5:$A$10,0))</f>
        <v>0.1</v>
      </c>
      <c r="I248" s="39" t="s">
        <v>449</v>
      </c>
      <c r="J248" s="39" t="s">
        <v>483</v>
      </c>
      <c r="K248" s="38" t="s">
        <v>451</v>
      </c>
      <c r="L248" s="39" t="s">
        <v>461</v>
      </c>
      <c r="M248" s="38" t="s">
        <v>462</v>
      </c>
      <c r="N248" s="44" t="n">
        <v>0</v>
      </c>
      <c r="O248" s="44"/>
      <c r="P248" s="39" t="s">
        <v>446</v>
      </c>
      <c r="Q248" s="39" t="s">
        <v>479</v>
      </c>
      <c r="R248" s="39"/>
    </row>
    <row r="249" customFormat="false" ht="23.85" hidden="false" customHeight="false" outlineLevel="0" collapsed="false">
      <c r="A249" s="37" t="s">
        <v>848</v>
      </c>
      <c r="B249" s="38" t="n">
        <v>4</v>
      </c>
      <c r="C249" s="39" t="s">
        <v>267</v>
      </c>
      <c r="D249" s="38" t="s">
        <v>284</v>
      </c>
      <c r="E249" s="39" t="s">
        <v>285</v>
      </c>
      <c r="F249" s="38" t="s">
        <v>65</v>
      </c>
      <c r="G249" s="39" t="s">
        <v>66</v>
      </c>
      <c r="H249" s="40" t="n">
        <f aca="false">INDEX(A_Scoring_Model!$C$5:$C$10,MATCH(F249,A_Scoring_Model!$A$5:$A$10,0))</f>
        <v>0.1</v>
      </c>
      <c r="I249" s="39" t="s">
        <v>449</v>
      </c>
      <c r="J249" s="39" t="s">
        <v>485</v>
      </c>
      <c r="K249" s="38" t="s">
        <v>445</v>
      </c>
      <c r="L249" s="39" t="s">
        <v>434</v>
      </c>
      <c r="M249" s="38" t="s">
        <v>435</v>
      </c>
      <c r="N249" s="43" t="n">
        <v>1</v>
      </c>
      <c r="O249" s="43"/>
      <c r="P249" s="39" t="s">
        <v>446</v>
      </c>
      <c r="Q249" s="39" t="s">
        <v>479</v>
      </c>
      <c r="R249" s="39"/>
    </row>
    <row r="250" customFormat="false" ht="23.85" hidden="false" customHeight="false" outlineLevel="0" collapsed="false">
      <c r="A250" s="37" t="s">
        <v>849</v>
      </c>
      <c r="B250" s="38" t="n">
        <v>4</v>
      </c>
      <c r="C250" s="39" t="s">
        <v>267</v>
      </c>
      <c r="D250" s="38" t="s">
        <v>284</v>
      </c>
      <c r="E250" s="39" t="s">
        <v>285</v>
      </c>
      <c r="F250" s="38" t="s">
        <v>65</v>
      </c>
      <c r="G250" s="39" t="s">
        <v>66</v>
      </c>
      <c r="H250" s="40" t="n">
        <f aca="false">INDEX(A_Scoring_Model!$C$5:$C$10,MATCH(F250,A_Scoring_Model!$A$5:$A$10,0))</f>
        <v>0.1</v>
      </c>
      <c r="I250" s="39" t="s">
        <v>449</v>
      </c>
      <c r="J250" s="39" t="s">
        <v>487</v>
      </c>
      <c r="K250" s="38" t="s">
        <v>445</v>
      </c>
      <c r="L250" s="39" t="s">
        <v>434</v>
      </c>
      <c r="M250" s="38" t="s">
        <v>435</v>
      </c>
      <c r="N250" s="43" t="n">
        <v>1</v>
      </c>
      <c r="O250" s="43"/>
      <c r="P250" s="39" t="s">
        <v>446</v>
      </c>
      <c r="Q250" s="39" t="s">
        <v>479</v>
      </c>
      <c r="R250" s="39"/>
    </row>
    <row r="251" customFormat="false" ht="23.85" hidden="false" customHeight="false" outlineLevel="0" collapsed="false">
      <c r="A251" s="45" t="s">
        <v>850</v>
      </c>
      <c r="B251" s="21" t="n">
        <v>5</v>
      </c>
      <c r="C251" s="16" t="s">
        <v>291</v>
      </c>
      <c r="D251" s="21" t="s">
        <v>292</v>
      </c>
      <c r="E251" s="16" t="s">
        <v>293</v>
      </c>
      <c r="F251" s="21" t="s">
        <v>50</v>
      </c>
      <c r="G251" s="16" t="s">
        <v>51</v>
      </c>
      <c r="H251" s="46" t="n">
        <f aca="false">INDEX(A_Scoring_Model!$C$5:$C$10,MATCH(F251,A_Scoring_Model!$A$5:$A$10,0))</f>
        <v>0.3</v>
      </c>
      <c r="I251" s="16" t="s">
        <v>431</v>
      </c>
      <c r="J251" s="16" t="s">
        <v>851</v>
      </c>
      <c r="K251" s="21" t="s">
        <v>433</v>
      </c>
      <c r="L251" s="16" t="s">
        <v>434</v>
      </c>
      <c r="M251" s="21" t="s">
        <v>435</v>
      </c>
      <c r="N251" s="48" t="n">
        <v>0.98</v>
      </c>
      <c r="O251" s="48" t="n">
        <v>0.95</v>
      </c>
      <c r="P251" s="16" t="s">
        <v>436</v>
      </c>
      <c r="Q251" s="16" t="s">
        <v>437</v>
      </c>
      <c r="R251" s="16" t="s">
        <v>297</v>
      </c>
    </row>
    <row r="252" customFormat="false" ht="23.85" hidden="false" customHeight="false" outlineLevel="0" collapsed="false">
      <c r="A252" s="45" t="s">
        <v>852</v>
      </c>
      <c r="B252" s="21" t="n">
        <v>5</v>
      </c>
      <c r="C252" s="16" t="s">
        <v>291</v>
      </c>
      <c r="D252" s="21" t="s">
        <v>292</v>
      </c>
      <c r="E252" s="16" t="s">
        <v>293</v>
      </c>
      <c r="F252" s="21" t="s">
        <v>50</v>
      </c>
      <c r="G252" s="16" t="s">
        <v>51</v>
      </c>
      <c r="H252" s="46" t="n">
        <f aca="false">INDEX(A_Scoring_Model!$C$5:$C$10,MATCH(F252,A_Scoring_Model!$A$5:$A$10,0))</f>
        <v>0.3</v>
      </c>
      <c r="I252" s="16" t="s">
        <v>431</v>
      </c>
      <c r="J252" s="16" t="s">
        <v>853</v>
      </c>
      <c r="K252" s="21" t="s">
        <v>433</v>
      </c>
      <c r="L252" s="16" t="s">
        <v>434</v>
      </c>
      <c r="M252" s="21" t="s">
        <v>435</v>
      </c>
      <c r="N252" s="48" t="n">
        <v>0.85</v>
      </c>
      <c r="O252" s="48" t="n">
        <v>0.7</v>
      </c>
      <c r="P252" s="16" t="s">
        <v>436</v>
      </c>
      <c r="Q252" s="16" t="s">
        <v>437</v>
      </c>
      <c r="R252" s="16" t="s">
        <v>297</v>
      </c>
    </row>
    <row r="253" customFormat="false" ht="23.85" hidden="false" customHeight="false" outlineLevel="0" collapsed="false">
      <c r="A253" s="45" t="s">
        <v>854</v>
      </c>
      <c r="B253" s="21" t="n">
        <v>5</v>
      </c>
      <c r="C253" s="16" t="s">
        <v>291</v>
      </c>
      <c r="D253" s="21" t="s">
        <v>292</v>
      </c>
      <c r="E253" s="16" t="s">
        <v>293</v>
      </c>
      <c r="F253" s="21" t="s">
        <v>50</v>
      </c>
      <c r="G253" s="16" t="s">
        <v>51</v>
      </c>
      <c r="H253" s="46" t="n">
        <f aca="false">INDEX(A_Scoring_Model!$C$5:$C$10,MATCH(F253,A_Scoring_Model!$A$5:$A$10,0))</f>
        <v>0.3</v>
      </c>
      <c r="I253" s="16" t="s">
        <v>431</v>
      </c>
      <c r="J253" s="16" t="s">
        <v>855</v>
      </c>
      <c r="K253" s="21" t="s">
        <v>433</v>
      </c>
      <c r="L253" s="16" t="s">
        <v>434</v>
      </c>
      <c r="M253" s="21" t="s">
        <v>435</v>
      </c>
      <c r="N253" s="48" t="n">
        <v>0.25</v>
      </c>
      <c r="O253" s="48" t="n">
        <v>0.1</v>
      </c>
      <c r="P253" s="16" t="s">
        <v>436</v>
      </c>
      <c r="Q253" s="16" t="s">
        <v>437</v>
      </c>
      <c r="R253" s="16" t="s">
        <v>297</v>
      </c>
    </row>
    <row r="254" customFormat="false" ht="23.85" hidden="false" customHeight="false" outlineLevel="0" collapsed="false">
      <c r="A254" s="45" t="s">
        <v>856</v>
      </c>
      <c r="B254" s="21" t="n">
        <v>5</v>
      </c>
      <c r="C254" s="16" t="s">
        <v>291</v>
      </c>
      <c r="D254" s="21" t="s">
        <v>292</v>
      </c>
      <c r="E254" s="16" t="s">
        <v>293</v>
      </c>
      <c r="F254" s="21" t="s">
        <v>53</v>
      </c>
      <c r="G254" s="16" t="s">
        <v>54</v>
      </c>
      <c r="H254" s="46" t="n">
        <f aca="false">INDEX(A_Scoring_Model!$C$5:$C$10,MATCH(F254,A_Scoring_Model!$A$5:$A$10,0))</f>
        <v>0.2</v>
      </c>
      <c r="I254" s="16" t="s">
        <v>431</v>
      </c>
      <c r="J254" s="16" t="s">
        <v>857</v>
      </c>
      <c r="K254" s="21" t="s">
        <v>451</v>
      </c>
      <c r="L254" s="16" t="s">
        <v>434</v>
      </c>
      <c r="M254" s="21" t="s">
        <v>435</v>
      </c>
      <c r="N254" s="49" t="n">
        <v>3</v>
      </c>
      <c r="O254" s="49"/>
      <c r="P254" s="16" t="s">
        <v>446</v>
      </c>
      <c r="Q254" s="16" t="s">
        <v>447</v>
      </c>
      <c r="R254" s="16"/>
    </row>
    <row r="255" customFormat="false" ht="23.85" hidden="false" customHeight="false" outlineLevel="0" collapsed="false">
      <c r="A255" s="45" t="s">
        <v>858</v>
      </c>
      <c r="B255" s="21" t="n">
        <v>5</v>
      </c>
      <c r="C255" s="16" t="s">
        <v>291</v>
      </c>
      <c r="D255" s="21" t="s">
        <v>292</v>
      </c>
      <c r="E255" s="16" t="s">
        <v>293</v>
      </c>
      <c r="F255" s="21" t="s">
        <v>53</v>
      </c>
      <c r="G255" s="16" t="s">
        <v>54</v>
      </c>
      <c r="H255" s="46" t="n">
        <f aca="false">INDEX(A_Scoring_Model!$C$5:$C$10,MATCH(F255,A_Scoring_Model!$A$5:$A$10,0))</f>
        <v>0.2</v>
      </c>
      <c r="I255" s="16" t="s">
        <v>449</v>
      </c>
      <c r="J255" s="16" t="s">
        <v>450</v>
      </c>
      <c r="K255" s="21" t="s">
        <v>451</v>
      </c>
      <c r="L255" s="16" t="s">
        <v>434</v>
      </c>
      <c r="M255" s="21" t="s">
        <v>435</v>
      </c>
      <c r="N255" s="49" t="n">
        <v>3</v>
      </c>
      <c r="O255" s="49" t="n">
        <v>2</v>
      </c>
      <c r="P255" s="16" t="s">
        <v>436</v>
      </c>
      <c r="Q255" s="16" t="s">
        <v>447</v>
      </c>
      <c r="R255" s="16"/>
    </row>
    <row r="256" customFormat="false" ht="23.85" hidden="false" customHeight="false" outlineLevel="0" collapsed="false">
      <c r="A256" s="45" t="s">
        <v>859</v>
      </c>
      <c r="B256" s="21" t="n">
        <v>5</v>
      </c>
      <c r="C256" s="16" t="s">
        <v>291</v>
      </c>
      <c r="D256" s="21" t="s">
        <v>292</v>
      </c>
      <c r="E256" s="16" t="s">
        <v>293</v>
      </c>
      <c r="F256" s="21" t="s">
        <v>53</v>
      </c>
      <c r="G256" s="16" t="s">
        <v>54</v>
      </c>
      <c r="H256" s="46" t="n">
        <f aca="false">INDEX(A_Scoring_Model!$C$5:$C$10,MATCH(F256,A_Scoring_Model!$A$5:$A$10,0))</f>
        <v>0.2</v>
      </c>
      <c r="I256" s="16" t="s">
        <v>449</v>
      </c>
      <c r="J256" s="16" t="s">
        <v>453</v>
      </c>
      <c r="K256" s="21" t="s">
        <v>445</v>
      </c>
      <c r="L256" s="16" t="s">
        <v>434</v>
      </c>
      <c r="M256" s="21" t="s">
        <v>435</v>
      </c>
      <c r="N256" s="19" t="n">
        <v>1</v>
      </c>
      <c r="O256" s="19"/>
      <c r="P256" s="16" t="s">
        <v>446</v>
      </c>
      <c r="Q256" s="16" t="s">
        <v>447</v>
      </c>
      <c r="R256" s="16"/>
    </row>
    <row r="257" customFormat="false" ht="23.85" hidden="false" customHeight="false" outlineLevel="0" collapsed="false">
      <c r="A257" s="45" t="s">
        <v>860</v>
      </c>
      <c r="B257" s="21" t="n">
        <v>5</v>
      </c>
      <c r="C257" s="16" t="s">
        <v>291</v>
      </c>
      <c r="D257" s="21" t="s">
        <v>292</v>
      </c>
      <c r="E257" s="16" t="s">
        <v>293</v>
      </c>
      <c r="F257" s="21" t="s">
        <v>56</v>
      </c>
      <c r="G257" s="16" t="s">
        <v>57</v>
      </c>
      <c r="H257" s="46" t="n">
        <f aca="false">INDEX(A_Scoring_Model!$C$5:$C$10,MATCH(F257,A_Scoring_Model!$A$5:$A$10,0))</f>
        <v>0.15</v>
      </c>
      <c r="I257" s="16" t="s">
        <v>431</v>
      </c>
      <c r="J257" s="16" t="s">
        <v>861</v>
      </c>
      <c r="K257" s="21" t="s">
        <v>862</v>
      </c>
      <c r="L257" s="16" t="s">
        <v>434</v>
      </c>
      <c r="M257" s="21" t="s">
        <v>435</v>
      </c>
      <c r="N257" s="49" t="n">
        <v>10000</v>
      </c>
      <c r="O257" s="49"/>
      <c r="P257" s="16" t="s">
        <v>446</v>
      </c>
      <c r="Q257" s="16" t="s">
        <v>457</v>
      </c>
      <c r="R257" s="16"/>
    </row>
    <row r="258" customFormat="false" ht="23.85" hidden="false" customHeight="false" outlineLevel="0" collapsed="false">
      <c r="A258" s="45" t="s">
        <v>863</v>
      </c>
      <c r="B258" s="21" t="n">
        <v>5</v>
      </c>
      <c r="C258" s="16" t="s">
        <v>291</v>
      </c>
      <c r="D258" s="21" t="s">
        <v>292</v>
      </c>
      <c r="E258" s="16" t="s">
        <v>293</v>
      </c>
      <c r="F258" s="21" t="s">
        <v>56</v>
      </c>
      <c r="G258" s="16" t="s">
        <v>57</v>
      </c>
      <c r="H258" s="46" t="n">
        <f aca="false">INDEX(A_Scoring_Model!$C$5:$C$10,MATCH(F258,A_Scoring_Model!$A$5:$A$10,0))</f>
        <v>0.15</v>
      </c>
      <c r="I258" s="16" t="s">
        <v>431</v>
      </c>
      <c r="J258" s="16" t="s">
        <v>864</v>
      </c>
      <c r="K258" s="21" t="s">
        <v>460</v>
      </c>
      <c r="L258" s="16" t="s">
        <v>461</v>
      </c>
      <c r="M258" s="21" t="s">
        <v>462</v>
      </c>
      <c r="N258" s="49" t="n">
        <v>1</v>
      </c>
      <c r="O258" s="49"/>
      <c r="P258" s="16" t="s">
        <v>446</v>
      </c>
      <c r="Q258" s="16" t="s">
        <v>457</v>
      </c>
      <c r="R258" s="16"/>
    </row>
    <row r="259" customFormat="false" ht="23.85" hidden="false" customHeight="false" outlineLevel="0" collapsed="false">
      <c r="A259" s="45" t="s">
        <v>865</v>
      </c>
      <c r="B259" s="21" t="n">
        <v>5</v>
      </c>
      <c r="C259" s="16" t="s">
        <v>291</v>
      </c>
      <c r="D259" s="21" t="s">
        <v>292</v>
      </c>
      <c r="E259" s="16" t="s">
        <v>293</v>
      </c>
      <c r="F259" s="21" t="s">
        <v>56</v>
      </c>
      <c r="G259" s="16" t="s">
        <v>57</v>
      </c>
      <c r="H259" s="46" t="n">
        <f aca="false">INDEX(A_Scoring_Model!$C$5:$C$10,MATCH(F259,A_Scoring_Model!$A$5:$A$10,0))</f>
        <v>0.15</v>
      </c>
      <c r="I259" s="16" t="s">
        <v>449</v>
      </c>
      <c r="J259" s="16" t="s">
        <v>464</v>
      </c>
      <c r="K259" s="21" t="s">
        <v>433</v>
      </c>
      <c r="L259" s="16" t="s">
        <v>461</v>
      </c>
      <c r="M259" s="21" t="s">
        <v>462</v>
      </c>
      <c r="N259" s="48" t="n">
        <v>0.2</v>
      </c>
      <c r="O259" s="48" t="n">
        <v>0.4</v>
      </c>
      <c r="P259" s="16" t="s">
        <v>436</v>
      </c>
      <c r="Q259" s="16" t="s">
        <v>457</v>
      </c>
      <c r="R259" s="16"/>
    </row>
    <row r="260" customFormat="false" ht="23.85" hidden="false" customHeight="false" outlineLevel="0" collapsed="false">
      <c r="A260" s="45" t="s">
        <v>866</v>
      </c>
      <c r="B260" s="21" t="n">
        <v>5</v>
      </c>
      <c r="C260" s="16" t="s">
        <v>291</v>
      </c>
      <c r="D260" s="21" t="s">
        <v>292</v>
      </c>
      <c r="E260" s="16" t="s">
        <v>293</v>
      </c>
      <c r="F260" s="21" t="s">
        <v>59</v>
      </c>
      <c r="G260" s="16" t="s">
        <v>60</v>
      </c>
      <c r="H260" s="46" t="n">
        <f aca="false">INDEX(A_Scoring_Model!$C$5:$C$10,MATCH(F260,A_Scoring_Model!$A$5:$A$10,0))</f>
        <v>0.1</v>
      </c>
      <c r="I260" s="16" t="s">
        <v>431</v>
      </c>
      <c r="J260" s="16" t="s">
        <v>867</v>
      </c>
      <c r="K260" s="21" t="s">
        <v>445</v>
      </c>
      <c r="L260" s="16" t="s">
        <v>434</v>
      </c>
      <c r="M260" s="21" t="s">
        <v>435</v>
      </c>
      <c r="N260" s="19" t="n">
        <v>1</v>
      </c>
      <c r="O260" s="19"/>
      <c r="P260" s="16" t="s">
        <v>446</v>
      </c>
      <c r="Q260" s="16" t="s">
        <v>467</v>
      </c>
      <c r="R260" s="16"/>
    </row>
    <row r="261" customFormat="false" ht="23.85" hidden="false" customHeight="false" outlineLevel="0" collapsed="false">
      <c r="A261" s="45" t="s">
        <v>868</v>
      </c>
      <c r="B261" s="21" t="n">
        <v>5</v>
      </c>
      <c r="C261" s="16" t="s">
        <v>291</v>
      </c>
      <c r="D261" s="21" t="s">
        <v>292</v>
      </c>
      <c r="E261" s="16" t="s">
        <v>293</v>
      </c>
      <c r="F261" s="21" t="s">
        <v>59</v>
      </c>
      <c r="G261" s="16" t="s">
        <v>60</v>
      </c>
      <c r="H261" s="46" t="n">
        <f aca="false">INDEX(A_Scoring_Model!$C$5:$C$10,MATCH(F261,A_Scoring_Model!$A$5:$A$10,0))</f>
        <v>0.1</v>
      </c>
      <c r="I261" s="16" t="s">
        <v>449</v>
      </c>
      <c r="J261" s="16" t="s">
        <v>471</v>
      </c>
      <c r="K261" s="21" t="s">
        <v>433</v>
      </c>
      <c r="L261" s="16" t="s">
        <v>434</v>
      </c>
      <c r="M261" s="21" t="s">
        <v>435</v>
      </c>
      <c r="N261" s="48" t="n">
        <v>0.995</v>
      </c>
      <c r="O261" s="48" t="n">
        <v>0.99</v>
      </c>
      <c r="P261" s="16" t="s">
        <v>436</v>
      </c>
      <c r="Q261" s="16" t="s">
        <v>467</v>
      </c>
      <c r="R261" s="16"/>
    </row>
    <row r="262" customFormat="false" ht="23.85" hidden="false" customHeight="false" outlineLevel="0" collapsed="false">
      <c r="A262" s="45" t="s">
        <v>869</v>
      </c>
      <c r="B262" s="21" t="n">
        <v>5</v>
      </c>
      <c r="C262" s="16" t="s">
        <v>291</v>
      </c>
      <c r="D262" s="21" t="s">
        <v>292</v>
      </c>
      <c r="E262" s="16" t="s">
        <v>293</v>
      </c>
      <c r="F262" s="21" t="s">
        <v>62</v>
      </c>
      <c r="G262" s="16" t="s">
        <v>63</v>
      </c>
      <c r="H262" s="46" t="n">
        <f aca="false">INDEX(A_Scoring_Model!$C$5:$C$10,MATCH(F262,A_Scoring_Model!$A$5:$A$10,0))</f>
        <v>0.15</v>
      </c>
      <c r="I262" s="16" t="s">
        <v>431</v>
      </c>
      <c r="J262" s="16" t="s">
        <v>870</v>
      </c>
      <c r="K262" s="21" t="s">
        <v>433</v>
      </c>
      <c r="L262" s="16" t="s">
        <v>434</v>
      </c>
      <c r="M262" s="21" t="s">
        <v>435</v>
      </c>
      <c r="N262" s="48" t="n">
        <v>0.4</v>
      </c>
      <c r="O262" s="48"/>
      <c r="P262" s="16" t="s">
        <v>446</v>
      </c>
      <c r="Q262" s="16" t="s">
        <v>474</v>
      </c>
      <c r="R262" s="16"/>
    </row>
    <row r="263" customFormat="false" ht="23.85" hidden="false" customHeight="false" outlineLevel="0" collapsed="false">
      <c r="A263" s="45" t="s">
        <v>871</v>
      </c>
      <c r="B263" s="21" t="n">
        <v>5</v>
      </c>
      <c r="C263" s="16" t="s">
        <v>291</v>
      </c>
      <c r="D263" s="21" t="s">
        <v>292</v>
      </c>
      <c r="E263" s="16" t="s">
        <v>293</v>
      </c>
      <c r="F263" s="21" t="s">
        <v>65</v>
      </c>
      <c r="G263" s="16" t="s">
        <v>66</v>
      </c>
      <c r="H263" s="46" t="n">
        <f aca="false">INDEX(A_Scoring_Model!$C$5:$C$10,MATCH(F263,A_Scoring_Model!$A$5:$A$10,0))</f>
        <v>0.1</v>
      </c>
      <c r="I263" s="16" t="s">
        <v>449</v>
      </c>
      <c r="J263" s="16" t="s">
        <v>478</v>
      </c>
      <c r="K263" s="21" t="s">
        <v>433</v>
      </c>
      <c r="L263" s="16" t="s">
        <v>434</v>
      </c>
      <c r="M263" s="21" t="s">
        <v>435</v>
      </c>
      <c r="N263" s="48" t="n">
        <v>0.8</v>
      </c>
      <c r="O263" s="48" t="n">
        <v>0.6</v>
      </c>
      <c r="P263" s="16" t="s">
        <v>436</v>
      </c>
      <c r="Q263" s="16" t="s">
        <v>479</v>
      </c>
      <c r="R263" s="16"/>
    </row>
    <row r="264" customFormat="false" ht="23.85" hidden="false" customHeight="false" outlineLevel="0" collapsed="false">
      <c r="A264" s="45" t="s">
        <v>872</v>
      </c>
      <c r="B264" s="21" t="n">
        <v>5</v>
      </c>
      <c r="C264" s="16" t="s">
        <v>291</v>
      </c>
      <c r="D264" s="21" t="s">
        <v>292</v>
      </c>
      <c r="E264" s="16" t="s">
        <v>293</v>
      </c>
      <c r="F264" s="21" t="s">
        <v>65</v>
      </c>
      <c r="G264" s="16" t="s">
        <v>66</v>
      </c>
      <c r="H264" s="46" t="n">
        <f aca="false">INDEX(A_Scoring_Model!$C$5:$C$10,MATCH(F264,A_Scoring_Model!$A$5:$A$10,0))</f>
        <v>0.1</v>
      </c>
      <c r="I264" s="16" t="s">
        <v>449</v>
      </c>
      <c r="J264" s="16" t="s">
        <v>481</v>
      </c>
      <c r="K264" s="21" t="s">
        <v>451</v>
      </c>
      <c r="L264" s="16" t="s">
        <v>461</v>
      </c>
      <c r="M264" s="21" t="s">
        <v>462</v>
      </c>
      <c r="N264" s="49" t="n">
        <v>0</v>
      </c>
      <c r="O264" s="49"/>
      <c r="P264" s="16" t="s">
        <v>446</v>
      </c>
      <c r="Q264" s="16" t="s">
        <v>479</v>
      </c>
      <c r="R264" s="16"/>
    </row>
    <row r="265" customFormat="false" ht="23.85" hidden="false" customHeight="false" outlineLevel="0" collapsed="false">
      <c r="A265" s="45" t="s">
        <v>873</v>
      </c>
      <c r="B265" s="21" t="n">
        <v>5</v>
      </c>
      <c r="C265" s="16" t="s">
        <v>291</v>
      </c>
      <c r="D265" s="21" t="s">
        <v>292</v>
      </c>
      <c r="E265" s="16" t="s">
        <v>293</v>
      </c>
      <c r="F265" s="21" t="s">
        <v>65</v>
      </c>
      <c r="G265" s="16" t="s">
        <v>66</v>
      </c>
      <c r="H265" s="46" t="n">
        <f aca="false">INDEX(A_Scoring_Model!$C$5:$C$10,MATCH(F265,A_Scoring_Model!$A$5:$A$10,0))</f>
        <v>0.1</v>
      </c>
      <c r="I265" s="16" t="s">
        <v>449</v>
      </c>
      <c r="J265" s="16" t="s">
        <v>483</v>
      </c>
      <c r="K265" s="21" t="s">
        <v>451</v>
      </c>
      <c r="L265" s="16" t="s">
        <v>461</v>
      </c>
      <c r="M265" s="21" t="s">
        <v>462</v>
      </c>
      <c r="N265" s="49" t="n">
        <v>0</v>
      </c>
      <c r="O265" s="49"/>
      <c r="P265" s="16" t="s">
        <v>446</v>
      </c>
      <c r="Q265" s="16" t="s">
        <v>479</v>
      </c>
      <c r="R265" s="16"/>
    </row>
    <row r="266" customFormat="false" ht="23.85" hidden="false" customHeight="false" outlineLevel="0" collapsed="false">
      <c r="A266" s="45" t="s">
        <v>874</v>
      </c>
      <c r="B266" s="21" t="n">
        <v>5</v>
      </c>
      <c r="C266" s="16" t="s">
        <v>291</v>
      </c>
      <c r="D266" s="21" t="s">
        <v>292</v>
      </c>
      <c r="E266" s="16" t="s">
        <v>293</v>
      </c>
      <c r="F266" s="21" t="s">
        <v>65</v>
      </c>
      <c r="G266" s="16" t="s">
        <v>66</v>
      </c>
      <c r="H266" s="46" t="n">
        <f aca="false">INDEX(A_Scoring_Model!$C$5:$C$10,MATCH(F266,A_Scoring_Model!$A$5:$A$10,0))</f>
        <v>0.1</v>
      </c>
      <c r="I266" s="16" t="s">
        <v>449</v>
      </c>
      <c r="J266" s="16" t="s">
        <v>485</v>
      </c>
      <c r="K266" s="21" t="s">
        <v>445</v>
      </c>
      <c r="L266" s="16" t="s">
        <v>434</v>
      </c>
      <c r="M266" s="21" t="s">
        <v>435</v>
      </c>
      <c r="N266" s="19" t="n">
        <v>1</v>
      </c>
      <c r="O266" s="19"/>
      <c r="P266" s="16" t="s">
        <v>446</v>
      </c>
      <c r="Q266" s="16" t="s">
        <v>479</v>
      </c>
      <c r="R266" s="16"/>
    </row>
    <row r="267" customFormat="false" ht="23.85" hidden="false" customHeight="false" outlineLevel="0" collapsed="false">
      <c r="A267" s="45" t="s">
        <v>875</v>
      </c>
      <c r="B267" s="21" t="n">
        <v>5</v>
      </c>
      <c r="C267" s="16" t="s">
        <v>291</v>
      </c>
      <c r="D267" s="21" t="s">
        <v>292</v>
      </c>
      <c r="E267" s="16" t="s">
        <v>293</v>
      </c>
      <c r="F267" s="21" t="s">
        <v>65</v>
      </c>
      <c r="G267" s="16" t="s">
        <v>66</v>
      </c>
      <c r="H267" s="46" t="n">
        <f aca="false">INDEX(A_Scoring_Model!$C$5:$C$10,MATCH(F267,A_Scoring_Model!$A$5:$A$10,0))</f>
        <v>0.1</v>
      </c>
      <c r="I267" s="16" t="s">
        <v>449</v>
      </c>
      <c r="J267" s="16" t="s">
        <v>487</v>
      </c>
      <c r="K267" s="21" t="s">
        <v>445</v>
      </c>
      <c r="L267" s="16" t="s">
        <v>434</v>
      </c>
      <c r="M267" s="21" t="s">
        <v>435</v>
      </c>
      <c r="N267" s="19" t="n">
        <v>1</v>
      </c>
      <c r="O267" s="19"/>
      <c r="P267" s="16" t="s">
        <v>446</v>
      </c>
      <c r="Q267" s="16" t="s">
        <v>479</v>
      </c>
      <c r="R267" s="16"/>
    </row>
    <row r="268" customFormat="false" ht="23.85" hidden="false" customHeight="false" outlineLevel="0" collapsed="false">
      <c r="A268" s="37" t="s">
        <v>876</v>
      </c>
      <c r="B268" s="38" t="n">
        <v>5</v>
      </c>
      <c r="C268" s="39" t="s">
        <v>291</v>
      </c>
      <c r="D268" s="38" t="s">
        <v>299</v>
      </c>
      <c r="E268" s="39" t="s">
        <v>300</v>
      </c>
      <c r="F268" s="38" t="s">
        <v>50</v>
      </c>
      <c r="G268" s="39" t="s">
        <v>51</v>
      </c>
      <c r="H268" s="40" t="n">
        <f aca="false">INDEX(A_Scoring_Model!$C$5:$C$10,MATCH(F268,A_Scoring_Model!$A$5:$A$10,0))</f>
        <v>0.3</v>
      </c>
      <c r="I268" s="39" t="s">
        <v>431</v>
      </c>
      <c r="J268" s="39" t="s">
        <v>877</v>
      </c>
      <c r="K268" s="38" t="s">
        <v>433</v>
      </c>
      <c r="L268" s="39" t="s">
        <v>434</v>
      </c>
      <c r="M268" s="38" t="s">
        <v>435</v>
      </c>
      <c r="N268" s="41" t="n">
        <v>0.8</v>
      </c>
      <c r="O268" s="41" t="n">
        <v>0.6</v>
      </c>
      <c r="P268" s="39" t="s">
        <v>436</v>
      </c>
      <c r="Q268" s="39" t="s">
        <v>437</v>
      </c>
      <c r="R268" s="39" t="s">
        <v>304</v>
      </c>
    </row>
    <row r="269" customFormat="false" ht="23.85" hidden="false" customHeight="false" outlineLevel="0" collapsed="false">
      <c r="A269" s="37" t="s">
        <v>878</v>
      </c>
      <c r="B269" s="38" t="n">
        <v>5</v>
      </c>
      <c r="C269" s="39" t="s">
        <v>291</v>
      </c>
      <c r="D269" s="38" t="s">
        <v>299</v>
      </c>
      <c r="E269" s="39" t="s">
        <v>300</v>
      </c>
      <c r="F269" s="38" t="s">
        <v>50</v>
      </c>
      <c r="G269" s="39" t="s">
        <v>51</v>
      </c>
      <c r="H269" s="40" t="n">
        <f aca="false">INDEX(A_Scoring_Model!$C$5:$C$10,MATCH(F269,A_Scoring_Model!$A$5:$A$10,0))</f>
        <v>0.3</v>
      </c>
      <c r="I269" s="39" t="s">
        <v>431</v>
      </c>
      <c r="J269" s="39" t="s">
        <v>879</v>
      </c>
      <c r="K269" s="38" t="s">
        <v>433</v>
      </c>
      <c r="L269" s="39" t="s">
        <v>461</v>
      </c>
      <c r="M269" s="38" t="s">
        <v>462</v>
      </c>
      <c r="N269" s="41" t="n">
        <v>0.01</v>
      </c>
      <c r="O269" s="41" t="n">
        <v>0.02</v>
      </c>
      <c r="P269" s="39" t="s">
        <v>436</v>
      </c>
      <c r="Q269" s="39" t="s">
        <v>437</v>
      </c>
      <c r="R269" s="39" t="s">
        <v>304</v>
      </c>
    </row>
    <row r="270" customFormat="false" ht="23.85" hidden="false" customHeight="false" outlineLevel="0" collapsed="false">
      <c r="A270" s="37" t="s">
        <v>880</v>
      </c>
      <c r="B270" s="38" t="n">
        <v>5</v>
      </c>
      <c r="C270" s="39" t="s">
        <v>291</v>
      </c>
      <c r="D270" s="38" t="s">
        <v>299</v>
      </c>
      <c r="E270" s="39" t="s">
        <v>300</v>
      </c>
      <c r="F270" s="38" t="s">
        <v>50</v>
      </c>
      <c r="G270" s="39" t="s">
        <v>51</v>
      </c>
      <c r="H270" s="40" t="n">
        <f aca="false">INDEX(A_Scoring_Model!$C$5:$C$10,MATCH(F270,A_Scoring_Model!$A$5:$A$10,0))</f>
        <v>0.3</v>
      </c>
      <c r="I270" s="39" t="s">
        <v>431</v>
      </c>
      <c r="J270" s="39" t="s">
        <v>881</v>
      </c>
      <c r="K270" s="38" t="s">
        <v>440</v>
      </c>
      <c r="L270" s="39" t="s">
        <v>434</v>
      </c>
      <c r="M270" s="38" t="s">
        <v>435</v>
      </c>
      <c r="N270" s="42" t="n">
        <v>0.9</v>
      </c>
      <c r="O270" s="42" t="n">
        <v>0.8</v>
      </c>
      <c r="P270" s="39" t="s">
        <v>436</v>
      </c>
      <c r="Q270" s="39" t="s">
        <v>437</v>
      </c>
      <c r="R270" s="39" t="s">
        <v>304</v>
      </c>
    </row>
    <row r="271" customFormat="false" ht="23.85" hidden="false" customHeight="false" outlineLevel="0" collapsed="false">
      <c r="A271" s="37" t="s">
        <v>882</v>
      </c>
      <c r="B271" s="38" t="n">
        <v>5</v>
      </c>
      <c r="C271" s="39" t="s">
        <v>291</v>
      </c>
      <c r="D271" s="38" t="s">
        <v>299</v>
      </c>
      <c r="E271" s="39" t="s">
        <v>300</v>
      </c>
      <c r="F271" s="38" t="s">
        <v>53</v>
      </c>
      <c r="G271" s="39" t="s">
        <v>54</v>
      </c>
      <c r="H271" s="40" t="n">
        <f aca="false">INDEX(A_Scoring_Model!$C$5:$C$10,MATCH(F271,A_Scoring_Model!$A$5:$A$10,0))</f>
        <v>0.2</v>
      </c>
      <c r="I271" s="39" t="s">
        <v>431</v>
      </c>
      <c r="J271" s="39" t="s">
        <v>883</v>
      </c>
      <c r="K271" s="38" t="s">
        <v>445</v>
      </c>
      <c r="L271" s="39" t="s">
        <v>434</v>
      </c>
      <c r="M271" s="38" t="s">
        <v>435</v>
      </c>
      <c r="N271" s="43" t="n">
        <v>1</v>
      </c>
      <c r="O271" s="43"/>
      <c r="P271" s="39" t="s">
        <v>446</v>
      </c>
      <c r="Q271" s="39" t="s">
        <v>447</v>
      </c>
      <c r="R271" s="39"/>
    </row>
    <row r="272" customFormat="false" ht="23.85" hidden="false" customHeight="false" outlineLevel="0" collapsed="false">
      <c r="A272" s="37" t="s">
        <v>884</v>
      </c>
      <c r="B272" s="38" t="n">
        <v>5</v>
      </c>
      <c r="C272" s="39" t="s">
        <v>291</v>
      </c>
      <c r="D272" s="38" t="s">
        <v>299</v>
      </c>
      <c r="E272" s="39" t="s">
        <v>300</v>
      </c>
      <c r="F272" s="38" t="s">
        <v>53</v>
      </c>
      <c r="G272" s="39" t="s">
        <v>54</v>
      </c>
      <c r="H272" s="40" t="n">
        <f aca="false">INDEX(A_Scoring_Model!$C$5:$C$10,MATCH(F272,A_Scoring_Model!$A$5:$A$10,0))</f>
        <v>0.2</v>
      </c>
      <c r="I272" s="39" t="s">
        <v>449</v>
      </c>
      <c r="J272" s="39" t="s">
        <v>450</v>
      </c>
      <c r="K272" s="38" t="s">
        <v>451</v>
      </c>
      <c r="L272" s="39" t="s">
        <v>434</v>
      </c>
      <c r="M272" s="38" t="s">
        <v>435</v>
      </c>
      <c r="N272" s="44" t="n">
        <v>3</v>
      </c>
      <c r="O272" s="44" t="n">
        <v>2</v>
      </c>
      <c r="P272" s="39" t="s">
        <v>436</v>
      </c>
      <c r="Q272" s="39" t="s">
        <v>447</v>
      </c>
      <c r="R272" s="39"/>
    </row>
    <row r="273" customFormat="false" ht="23.85" hidden="false" customHeight="false" outlineLevel="0" collapsed="false">
      <c r="A273" s="37" t="s">
        <v>885</v>
      </c>
      <c r="B273" s="38" t="n">
        <v>5</v>
      </c>
      <c r="C273" s="39" t="s">
        <v>291</v>
      </c>
      <c r="D273" s="38" t="s">
        <v>299</v>
      </c>
      <c r="E273" s="39" t="s">
        <v>300</v>
      </c>
      <c r="F273" s="38" t="s">
        <v>53</v>
      </c>
      <c r="G273" s="39" t="s">
        <v>54</v>
      </c>
      <c r="H273" s="40" t="n">
        <f aca="false">INDEX(A_Scoring_Model!$C$5:$C$10,MATCH(F273,A_Scoring_Model!$A$5:$A$10,0))</f>
        <v>0.2</v>
      </c>
      <c r="I273" s="39" t="s">
        <v>449</v>
      </c>
      <c r="J273" s="39" t="s">
        <v>453</v>
      </c>
      <c r="K273" s="38" t="s">
        <v>445</v>
      </c>
      <c r="L273" s="39" t="s">
        <v>434</v>
      </c>
      <c r="M273" s="38" t="s">
        <v>435</v>
      </c>
      <c r="N273" s="43" t="n">
        <v>1</v>
      </c>
      <c r="O273" s="43"/>
      <c r="P273" s="39" t="s">
        <v>446</v>
      </c>
      <c r="Q273" s="39" t="s">
        <v>447</v>
      </c>
      <c r="R273" s="39"/>
    </row>
    <row r="274" customFormat="false" ht="23.85" hidden="false" customHeight="false" outlineLevel="0" collapsed="false">
      <c r="A274" s="37" t="s">
        <v>886</v>
      </c>
      <c r="B274" s="38" t="n">
        <v>5</v>
      </c>
      <c r="C274" s="39" t="s">
        <v>291</v>
      </c>
      <c r="D274" s="38" t="s">
        <v>299</v>
      </c>
      <c r="E274" s="39" t="s">
        <v>300</v>
      </c>
      <c r="F274" s="38" t="s">
        <v>56</v>
      </c>
      <c r="G274" s="39" t="s">
        <v>57</v>
      </c>
      <c r="H274" s="40" t="n">
        <f aca="false">INDEX(A_Scoring_Model!$C$5:$C$10,MATCH(F274,A_Scoring_Model!$A$5:$A$10,0))</f>
        <v>0.15</v>
      </c>
      <c r="I274" s="39" t="s">
        <v>431</v>
      </c>
      <c r="J274" s="39" t="s">
        <v>887</v>
      </c>
      <c r="K274" s="38" t="s">
        <v>460</v>
      </c>
      <c r="L274" s="39" t="s">
        <v>461</v>
      </c>
      <c r="M274" s="38" t="s">
        <v>462</v>
      </c>
      <c r="N274" s="44" t="n">
        <v>60</v>
      </c>
      <c r="O274" s="44"/>
      <c r="P274" s="39" t="s">
        <v>446</v>
      </c>
      <c r="Q274" s="39" t="s">
        <v>457</v>
      </c>
      <c r="R274" s="39"/>
    </row>
    <row r="275" customFormat="false" ht="23.85" hidden="false" customHeight="false" outlineLevel="0" collapsed="false">
      <c r="A275" s="37" t="s">
        <v>888</v>
      </c>
      <c r="B275" s="38" t="n">
        <v>5</v>
      </c>
      <c r="C275" s="39" t="s">
        <v>291</v>
      </c>
      <c r="D275" s="38" t="s">
        <v>299</v>
      </c>
      <c r="E275" s="39" t="s">
        <v>300</v>
      </c>
      <c r="F275" s="38" t="s">
        <v>56</v>
      </c>
      <c r="G275" s="39" t="s">
        <v>57</v>
      </c>
      <c r="H275" s="40" t="n">
        <f aca="false">INDEX(A_Scoring_Model!$C$5:$C$10,MATCH(F275,A_Scoring_Model!$A$5:$A$10,0))</f>
        <v>0.15</v>
      </c>
      <c r="I275" s="39" t="s">
        <v>449</v>
      </c>
      <c r="J275" s="39" t="s">
        <v>464</v>
      </c>
      <c r="K275" s="38" t="s">
        <v>433</v>
      </c>
      <c r="L275" s="39" t="s">
        <v>461</v>
      </c>
      <c r="M275" s="38" t="s">
        <v>462</v>
      </c>
      <c r="N275" s="41" t="n">
        <v>0.2</v>
      </c>
      <c r="O275" s="41" t="n">
        <v>0.4</v>
      </c>
      <c r="P275" s="39" t="s">
        <v>436</v>
      </c>
      <c r="Q275" s="39" t="s">
        <v>457</v>
      </c>
      <c r="R275" s="39"/>
    </row>
    <row r="276" customFormat="false" ht="23.85" hidden="false" customHeight="false" outlineLevel="0" collapsed="false">
      <c r="A276" s="37" t="s">
        <v>889</v>
      </c>
      <c r="B276" s="38" t="n">
        <v>5</v>
      </c>
      <c r="C276" s="39" t="s">
        <v>291</v>
      </c>
      <c r="D276" s="38" t="s">
        <v>299</v>
      </c>
      <c r="E276" s="39" t="s">
        <v>300</v>
      </c>
      <c r="F276" s="38" t="s">
        <v>59</v>
      </c>
      <c r="G276" s="39" t="s">
        <v>60</v>
      </c>
      <c r="H276" s="40" t="n">
        <f aca="false">INDEX(A_Scoring_Model!$C$5:$C$10,MATCH(F276,A_Scoring_Model!$A$5:$A$10,0))</f>
        <v>0.1</v>
      </c>
      <c r="I276" s="39" t="s">
        <v>431</v>
      </c>
      <c r="J276" s="39" t="s">
        <v>890</v>
      </c>
      <c r="K276" s="38" t="s">
        <v>433</v>
      </c>
      <c r="L276" s="39" t="s">
        <v>434</v>
      </c>
      <c r="M276" s="38" t="s">
        <v>435</v>
      </c>
      <c r="N276" s="41" t="n">
        <v>1</v>
      </c>
      <c r="O276" s="41"/>
      <c r="P276" s="39" t="s">
        <v>446</v>
      </c>
      <c r="Q276" s="39" t="s">
        <v>467</v>
      </c>
      <c r="R276" s="39"/>
    </row>
    <row r="277" customFormat="false" ht="23.85" hidden="false" customHeight="false" outlineLevel="0" collapsed="false">
      <c r="A277" s="37" t="s">
        <v>891</v>
      </c>
      <c r="B277" s="38" t="n">
        <v>5</v>
      </c>
      <c r="C277" s="39" t="s">
        <v>291</v>
      </c>
      <c r="D277" s="38" t="s">
        <v>299</v>
      </c>
      <c r="E277" s="39" t="s">
        <v>300</v>
      </c>
      <c r="F277" s="38" t="s">
        <v>59</v>
      </c>
      <c r="G277" s="39" t="s">
        <v>60</v>
      </c>
      <c r="H277" s="40" t="n">
        <f aca="false">INDEX(A_Scoring_Model!$C$5:$C$10,MATCH(F277,A_Scoring_Model!$A$5:$A$10,0))</f>
        <v>0.1</v>
      </c>
      <c r="I277" s="39" t="s">
        <v>449</v>
      </c>
      <c r="J277" s="39" t="s">
        <v>471</v>
      </c>
      <c r="K277" s="38" t="s">
        <v>433</v>
      </c>
      <c r="L277" s="39" t="s">
        <v>434</v>
      </c>
      <c r="M277" s="38" t="s">
        <v>435</v>
      </c>
      <c r="N277" s="41" t="n">
        <v>0.995</v>
      </c>
      <c r="O277" s="41" t="n">
        <v>0.99</v>
      </c>
      <c r="P277" s="39" t="s">
        <v>436</v>
      </c>
      <c r="Q277" s="39" t="s">
        <v>467</v>
      </c>
      <c r="R277" s="39"/>
    </row>
    <row r="278" customFormat="false" ht="23.85" hidden="false" customHeight="false" outlineLevel="0" collapsed="false">
      <c r="A278" s="37" t="s">
        <v>892</v>
      </c>
      <c r="B278" s="38" t="n">
        <v>5</v>
      </c>
      <c r="C278" s="39" t="s">
        <v>291</v>
      </c>
      <c r="D278" s="38" t="s">
        <v>299</v>
      </c>
      <c r="E278" s="39" t="s">
        <v>300</v>
      </c>
      <c r="F278" s="38" t="s">
        <v>62</v>
      </c>
      <c r="G278" s="39" t="s">
        <v>63</v>
      </c>
      <c r="H278" s="40" t="n">
        <f aca="false">INDEX(A_Scoring_Model!$C$5:$C$10,MATCH(F278,A_Scoring_Model!$A$5:$A$10,0))</f>
        <v>0.15</v>
      </c>
      <c r="I278" s="39" t="s">
        <v>431</v>
      </c>
      <c r="J278" s="39" t="s">
        <v>893</v>
      </c>
      <c r="K278" s="38" t="s">
        <v>433</v>
      </c>
      <c r="L278" s="39" t="s">
        <v>434</v>
      </c>
      <c r="M278" s="38" t="s">
        <v>435</v>
      </c>
      <c r="N278" s="41" t="n">
        <v>0.5</v>
      </c>
      <c r="O278" s="41"/>
      <c r="P278" s="39" t="s">
        <v>446</v>
      </c>
      <c r="Q278" s="39" t="s">
        <v>474</v>
      </c>
      <c r="R278" s="39"/>
    </row>
    <row r="279" customFormat="false" ht="23.85" hidden="false" customHeight="false" outlineLevel="0" collapsed="false">
      <c r="A279" s="37" t="s">
        <v>894</v>
      </c>
      <c r="B279" s="38" t="n">
        <v>5</v>
      </c>
      <c r="C279" s="39" t="s">
        <v>291</v>
      </c>
      <c r="D279" s="38" t="s">
        <v>299</v>
      </c>
      <c r="E279" s="39" t="s">
        <v>300</v>
      </c>
      <c r="F279" s="38" t="s">
        <v>65</v>
      </c>
      <c r="G279" s="39" t="s">
        <v>66</v>
      </c>
      <c r="H279" s="40" t="n">
        <f aca="false">INDEX(A_Scoring_Model!$C$5:$C$10,MATCH(F279,A_Scoring_Model!$A$5:$A$10,0))</f>
        <v>0.1</v>
      </c>
      <c r="I279" s="39" t="s">
        <v>449</v>
      </c>
      <c r="J279" s="39" t="s">
        <v>478</v>
      </c>
      <c r="K279" s="38" t="s">
        <v>433</v>
      </c>
      <c r="L279" s="39" t="s">
        <v>434</v>
      </c>
      <c r="M279" s="38" t="s">
        <v>435</v>
      </c>
      <c r="N279" s="41" t="n">
        <v>0.8</v>
      </c>
      <c r="O279" s="41" t="n">
        <v>0.6</v>
      </c>
      <c r="P279" s="39" t="s">
        <v>436</v>
      </c>
      <c r="Q279" s="39" t="s">
        <v>479</v>
      </c>
      <c r="R279" s="39"/>
    </row>
    <row r="280" customFormat="false" ht="23.85" hidden="false" customHeight="false" outlineLevel="0" collapsed="false">
      <c r="A280" s="37" t="s">
        <v>895</v>
      </c>
      <c r="B280" s="38" t="n">
        <v>5</v>
      </c>
      <c r="C280" s="39" t="s">
        <v>291</v>
      </c>
      <c r="D280" s="38" t="s">
        <v>299</v>
      </c>
      <c r="E280" s="39" t="s">
        <v>300</v>
      </c>
      <c r="F280" s="38" t="s">
        <v>65</v>
      </c>
      <c r="G280" s="39" t="s">
        <v>66</v>
      </c>
      <c r="H280" s="40" t="n">
        <f aca="false">INDEX(A_Scoring_Model!$C$5:$C$10,MATCH(F280,A_Scoring_Model!$A$5:$A$10,0))</f>
        <v>0.1</v>
      </c>
      <c r="I280" s="39" t="s">
        <v>449</v>
      </c>
      <c r="J280" s="39" t="s">
        <v>481</v>
      </c>
      <c r="K280" s="38" t="s">
        <v>451</v>
      </c>
      <c r="L280" s="39" t="s">
        <v>461</v>
      </c>
      <c r="M280" s="38" t="s">
        <v>462</v>
      </c>
      <c r="N280" s="44" t="n">
        <v>0</v>
      </c>
      <c r="O280" s="44"/>
      <c r="P280" s="39" t="s">
        <v>446</v>
      </c>
      <c r="Q280" s="39" t="s">
        <v>479</v>
      </c>
      <c r="R280" s="39"/>
    </row>
    <row r="281" customFormat="false" ht="23.85" hidden="false" customHeight="false" outlineLevel="0" collapsed="false">
      <c r="A281" s="37" t="s">
        <v>896</v>
      </c>
      <c r="B281" s="38" t="n">
        <v>5</v>
      </c>
      <c r="C281" s="39" t="s">
        <v>291</v>
      </c>
      <c r="D281" s="38" t="s">
        <v>299</v>
      </c>
      <c r="E281" s="39" t="s">
        <v>300</v>
      </c>
      <c r="F281" s="38" t="s">
        <v>65</v>
      </c>
      <c r="G281" s="39" t="s">
        <v>66</v>
      </c>
      <c r="H281" s="40" t="n">
        <f aca="false">INDEX(A_Scoring_Model!$C$5:$C$10,MATCH(F281,A_Scoring_Model!$A$5:$A$10,0))</f>
        <v>0.1</v>
      </c>
      <c r="I281" s="39" t="s">
        <v>449</v>
      </c>
      <c r="J281" s="39" t="s">
        <v>483</v>
      </c>
      <c r="K281" s="38" t="s">
        <v>451</v>
      </c>
      <c r="L281" s="39" t="s">
        <v>461</v>
      </c>
      <c r="M281" s="38" t="s">
        <v>462</v>
      </c>
      <c r="N281" s="44" t="n">
        <v>0</v>
      </c>
      <c r="O281" s="44"/>
      <c r="P281" s="39" t="s">
        <v>446</v>
      </c>
      <c r="Q281" s="39" t="s">
        <v>479</v>
      </c>
      <c r="R281" s="39"/>
    </row>
    <row r="282" customFormat="false" ht="23.85" hidden="false" customHeight="false" outlineLevel="0" collapsed="false">
      <c r="A282" s="37" t="s">
        <v>897</v>
      </c>
      <c r="B282" s="38" t="n">
        <v>5</v>
      </c>
      <c r="C282" s="39" t="s">
        <v>291</v>
      </c>
      <c r="D282" s="38" t="s">
        <v>299</v>
      </c>
      <c r="E282" s="39" t="s">
        <v>300</v>
      </c>
      <c r="F282" s="38" t="s">
        <v>65</v>
      </c>
      <c r="G282" s="39" t="s">
        <v>66</v>
      </c>
      <c r="H282" s="40" t="n">
        <f aca="false">INDEX(A_Scoring_Model!$C$5:$C$10,MATCH(F282,A_Scoring_Model!$A$5:$A$10,0))</f>
        <v>0.1</v>
      </c>
      <c r="I282" s="39" t="s">
        <v>449</v>
      </c>
      <c r="J282" s="39" t="s">
        <v>485</v>
      </c>
      <c r="K282" s="38" t="s">
        <v>445</v>
      </c>
      <c r="L282" s="39" t="s">
        <v>434</v>
      </c>
      <c r="M282" s="38" t="s">
        <v>435</v>
      </c>
      <c r="N282" s="43" t="n">
        <v>1</v>
      </c>
      <c r="O282" s="43"/>
      <c r="P282" s="39" t="s">
        <v>446</v>
      </c>
      <c r="Q282" s="39" t="s">
        <v>479</v>
      </c>
      <c r="R282" s="39"/>
    </row>
    <row r="283" customFormat="false" ht="23.85" hidden="false" customHeight="false" outlineLevel="0" collapsed="false">
      <c r="A283" s="37" t="s">
        <v>898</v>
      </c>
      <c r="B283" s="38" t="n">
        <v>5</v>
      </c>
      <c r="C283" s="39" t="s">
        <v>291</v>
      </c>
      <c r="D283" s="38" t="s">
        <v>299</v>
      </c>
      <c r="E283" s="39" t="s">
        <v>300</v>
      </c>
      <c r="F283" s="38" t="s">
        <v>65</v>
      </c>
      <c r="G283" s="39" t="s">
        <v>66</v>
      </c>
      <c r="H283" s="40" t="n">
        <f aca="false">INDEX(A_Scoring_Model!$C$5:$C$10,MATCH(F283,A_Scoring_Model!$A$5:$A$10,0))</f>
        <v>0.1</v>
      </c>
      <c r="I283" s="39" t="s">
        <v>449</v>
      </c>
      <c r="J283" s="39" t="s">
        <v>487</v>
      </c>
      <c r="K283" s="38" t="s">
        <v>445</v>
      </c>
      <c r="L283" s="39" t="s">
        <v>434</v>
      </c>
      <c r="M283" s="38" t="s">
        <v>435</v>
      </c>
      <c r="N283" s="43" t="n">
        <v>1</v>
      </c>
      <c r="O283" s="43"/>
      <c r="P283" s="39" t="s">
        <v>446</v>
      </c>
      <c r="Q283" s="39" t="s">
        <v>479</v>
      </c>
      <c r="R283" s="39"/>
    </row>
    <row r="284" customFormat="false" ht="23.85" hidden="false" customHeight="false" outlineLevel="0" collapsed="false">
      <c r="A284" s="45" t="s">
        <v>899</v>
      </c>
      <c r="B284" s="21" t="n">
        <v>5</v>
      </c>
      <c r="C284" s="16" t="s">
        <v>291</v>
      </c>
      <c r="D284" s="21" t="s">
        <v>305</v>
      </c>
      <c r="E284" s="16" t="s">
        <v>306</v>
      </c>
      <c r="F284" s="21" t="s">
        <v>50</v>
      </c>
      <c r="G284" s="16" t="s">
        <v>51</v>
      </c>
      <c r="H284" s="46" t="n">
        <f aca="false">INDEX(A_Scoring_Model!$C$5:$C$10,MATCH(F284,A_Scoring_Model!$A$5:$A$10,0))</f>
        <v>0.3</v>
      </c>
      <c r="I284" s="16" t="s">
        <v>431</v>
      </c>
      <c r="J284" s="16" t="s">
        <v>900</v>
      </c>
      <c r="K284" s="21" t="s">
        <v>433</v>
      </c>
      <c r="L284" s="16" t="s">
        <v>434</v>
      </c>
      <c r="M284" s="21" t="s">
        <v>435</v>
      </c>
      <c r="N284" s="48" t="n">
        <v>0.95</v>
      </c>
      <c r="O284" s="48" t="n">
        <v>0.85</v>
      </c>
      <c r="P284" s="16" t="s">
        <v>436</v>
      </c>
      <c r="Q284" s="16" t="s">
        <v>437</v>
      </c>
      <c r="R284" s="16" t="s">
        <v>311</v>
      </c>
    </row>
    <row r="285" customFormat="false" ht="23.85" hidden="false" customHeight="false" outlineLevel="0" collapsed="false">
      <c r="A285" s="45" t="s">
        <v>901</v>
      </c>
      <c r="B285" s="21" t="n">
        <v>5</v>
      </c>
      <c r="C285" s="16" t="s">
        <v>291</v>
      </c>
      <c r="D285" s="21" t="s">
        <v>305</v>
      </c>
      <c r="E285" s="16" t="s">
        <v>306</v>
      </c>
      <c r="F285" s="21" t="s">
        <v>50</v>
      </c>
      <c r="G285" s="16" t="s">
        <v>51</v>
      </c>
      <c r="H285" s="46" t="n">
        <f aca="false">INDEX(A_Scoring_Model!$C$5:$C$10,MATCH(F285,A_Scoring_Model!$A$5:$A$10,0))</f>
        <v>0.3</v>
      </c>
      <c r="I285" s="16" t="s">
        <v>431</v>
      </c>
      <c r="J285" s="16" t="s">
        <v>902</v>
      </c>
      <c r="K285" s="21" t="s">
        <v>433</v>
      </c>
      <c r="L285" s="16" t="s">
        <v>461</v>
      </c>
      <c r="M285" s="21" t="s">
        <v>462</v>
      </c>
      <c r="N285" s="48" t="n">
        <v>0.05</v>
      </c>
      <c r="O285" s="48" t="n">
        <v>0.1</v>
      </c>
      <c r="P285" s="16" t="s">
        <v>436</v>
      </c>
      <c r="Q285" s="16" t="s">
        <v>437</v>
      </c>
      <c r="R285" s="16" t="s">
        <v>311</v>
      </c>
    </row>
    <row r="286" customFormat="false" ht="23.85" hidden="false" customHeight="false" outlineLevel="0" collapsed="false">
      <c r="A286" s="45" t="s">
        <v>903</v>
      </c>
      <c r="B286" s="21" t="n">
        <v>5</v>
      </c>
      <c r="C286" s="16" t="s">
        <v>291</v>
      </c>
      <c r="D286" s="21" t="s">
        <v>305</v>
      </c>
      <c r="E286" s="16" t="s">
        <v>306</v>
      </c>
      <c r="F286" s="21" t="s">
        <v>50</v>
      </c>
      <c r="G286" s="16" t="s">
        <v>51</v>
      </c>
      <c r="H286" s="46" t="n">
        <f aca="false">INDEX(A_Scoring_Model!$C$5:$C$10,MATCH(F286,A_Scoring_Model!$A$5:$A$10,0))</f>
        <v>0.3</v>
      </c>
      <c r="I286" s="16" t="s">
        <v>431</v>
      </c>
      <c r="J286" s="16" t="s">
        <v>904</v>
      </c>
      <c r="K286" s="21" t="s">
        <v>440</v>
      </c>
      <c r="L286" s="16" t="s">
        <v>434</v>
      </c>
      <c r="M286" s="21" t="s">
        <v>435</v>
      </c>
      <c r="N286" s="47" t="n">
        <v>0.9</v>
      </c>
      <c r="O286" s="47" t="n">
        <v>0.8</v>
      </c>
      <c r="P286" s="16" t="s">
        <v>436</v>
      </c>
      <c r="Q286" s="16" t="s">
        <v>437</v>
      </c>
      <c r="R286" s="16" t="s">
        <v>311</v>
      </c>
    </row>
    <row r="287" customFormat="false" ht="23.85" hidden="false" customHeight="false" outlineLevel="0" collapsed="false">
      <c r="A287" s="45" t="s">
        <v>905</v>
      </c>
      <c r="B287" s="21" t="n">
        <v>5</v>
      </c>
      <c r="C287" s="16" t="s">
        <v>291</v>
      </c>
      <c r="D287" s="21" t="s">
        <v>305</v>
      </c>
      <c r="E287" s="16" t="s">
        <v>306</v>
      </c>
      <c r="F287" s="21" t="s">
        <v>50</v>
      </c>
      <c r="G287" s="16" t="s">
        <v>51</v>
      </c>
      <c r="H287" s="46" t="n">
        <f aca="false">INDEX(A_Scoring_Model!$C$5:$C$10,MATCH(F287,A_Scoring_Model!$A$5:$A$10,0))</f>
        <v>0.3</v>
      </c>
      <c r="I287" s="16" t="s">
        <v>431</v>
      </c>
      <c r="J287" s="16" t="s">
        <v>906</v>
      </c>
      <c r="K287" s="21" t="s">
        <v>440</v>
      </c>
      <c r="L287" s="16" t="s">
        <v>434</v>
      </c>
      <c r="M287" s="21" t="s">
        <v>435</v>
      </c>
      <c r="N287" s="47" t="n">
        <v>0.9</v>
      </c>
      <c r="O287" s="47" t="n">
        <v>0.8</v>
      </c>
      <c r="P287" s="16" t="s">
        <v>436</v>
      </c>
      <c r="Q287" s="16" t="s">
        <v>437</v>
      </c>
      <c r="R287" s="16" t="s">
        <v>311</v>
      </c>
    </row>
    <row r="288" customFormat="false" ht="23.85" hidden="false" customHeight="false" outlineLevel="0" collapsed="false">
      <c r="A288" s="45" t="s">
        <v>907</v>
      </c>
      <c r="B288" s="21" t="n">
        <v>5</v>
      </c>
      <c r="C288" s="16" t="s">
        <v>291</v>
      </c>
      <c r="D288" s="21" t="s">
        <v>305</v>
      </c>
      <c r="E288" s="16" t="s">
        <v>306</v>
      </c>
      <c r="F288" s="21" t="s">
        <v>53</v>
      </c>
      <c r="G288" s="16" t="s">
        <v>54</v>
      </c>
      <c r="H288" s="46" t="n">
        <f aca="false">INDEX(A_Scoring_Model!$C$5:$C$10,MATCH(F288,A_Scoring_Model!$A$5:$A$10,0))</f>
        <v>0.2</v>
      </c>
      <c r="I288" s="16" t="s">
        <v>431</v>
      </c>
      <c r="J288" s="16" t="s">
        <v>908</v>
      </c>
      <c r="K288" s="21" t="s">
        <v>445</v>
      </c>
      <c r="L288" s="16" t="s">
        <v>434</v>
      </c>
      <c r="M288" s="21" t="s">
        <v>435</v>
      </c>
      <c r="N288" s="19" t="n">
        <v>1</v>
      </c>
      <c r="O288" s="19"/>
      <c r="P288" s="16" t="s">
        <v>446</v>
      </c>
      <c r="Q288" s="16" t="s">
        <v>447</v>
      </c>
      <c r="R288" s="16"/>
    </row>
    <row r="289" customFormat="false" ht="23.85" hidden="false" customHeight="false" outlineLevel="0" collapsed="false">
      <c r="A289" s="45" t="s">
        <v>909</v>
      </c>
      <c r="B289" s="21" t="n">
        <v>5</v>
      </c>
      <c r="C289" s="16" t="s">
        <v>291</v>
      </c>
      <c r="D289" s="21" t="s">
        <v>305</v>
      </c>
      <c r="E289" s="16" t="s">
        <v>306</v>
      </c>
      <c r="F289" s="21" t="s">
        <v>53</v>
      </c>
      <c r="G289" s="16" t="s">
        <v>54</v>
      </c>
      <c r="H289" s="46" t="n">
        <f aca="false">INDEX(A_Scoring_Model!$C$5:$C$10,MATCH(F289,A_Scoring_Model!$A$5:$A$10,0))</f>
        <v>0.2</v>
      </c>
      <c r="I289" s="16" t="s">
        <v>449</v>
      </c>
      <c r="J289" s="16" t="s">
        <v>450</v>
      </c>
      <c r="K289" s="21" t="s">
        <v>451</v>
      </c>
      <c r="L289" s="16" t="s">
        <v>434</v>
      </c>
      <c r="M289" s="21" t="s">
        <v>435</v>
      </c>
      <c r="N289" s="49" t="n">
        <v>3</v>
      </c>
      <c r="O289" s="49" t="n">
        <v>2</v>
      </c>
      <c r="P289" s="16" t="s">
        <v>436</v>
      </c>
      <c r="Q289" s="16" t="s">
        <v>447</v>
      </c>
      <c r="R289" s="16"/>
    </row>
    <row r="290" customFormat="false" ht="23.85" hidden="false" customHeight="false" outlineLevel="0" collapsed="false">
      <c r="A290" s="45" t="s">
        <v>910</v>
      </c>
      <c r="B290" s="21" t="n">
        <v>5</v>
      </c>
      <c r="C290" s="16" t="s">
        <v>291</v>
      </c>
      <c r="D290" s="21" t="s">
        <v>305</v>
      </c>
      <c r="E290" s="16" t="s">
        <v>306</v>
      </c>
      <c r="F290" s="21" t="s">
        <v>53</v>
      </c>
      <c r="G290" s="16" t="s">
        <v>54</v>
      </c>
      <c r="H290" s="46" t="n">
        <f aca="false">INDEX(A_Scoring_Model!$C$5:$C$10,MATCH(F290,A_Scoring_Model!$A$5:$A$10,0))</f>
        <v>0.2</v>
      </c>
      <c r="I290" s="16" t="s">
        <v>449</v>
      </c>
      <c r="J290" s="16" t="s">
        <v>453</v>
      </c>
      <c r="K290" s="21" t="s">
        <v>445</v>
      </c>
      <c r="L290" s="16" t="s">
        <v>434</v>
      </c>
      <c r="M290" s="21" t="s">
        <v>435</v>
      </c>
      <c r="N290" s="19" t="n">
        <v>1</v>
      </c>
      <c r="O290" s="19"/>
      <c r="P290" s="16" t="s">
        <v>446</v>
      </c>
      <c r="Q290" s="16" t="s">
        <v>447</v>
      </c>
      <c r="R290" s="16"/>
    </row>
    <row r="291" customFormat="false" ht="23.85" hidden="false" customHeight="false" outlineLevel="0" collapsed="false">
      <c r="A291" s="45" t="s">
        <v>911</v>
      </c>
      <c r="B291" s="21" t="n">
        <v>5</v>
      </c>
      <c r="C291" s="16" t="s">
        <v>291</v>
      </c>
      <c r="D291" s="21" t="s">
        <v>305</v>
      </c>
      <c r="E291" s="16" t="s">
        <v>306</v>
      </c>
      <c r="F291" s="21" t="s">
        <v>56</v>
      </c>
      <c r="G291" s="16" t="s">
        <v>57</v>
      </c>
      <c r="H291" s="46" t="n">
        <f aca="false">INDEX(A_Scoring_Model!$C$5:$C$10,MATCH(F291,A_Scoring_Model!$A$5:$A$10,0))</f>
        <v>0.15</v>
      </c>
      <c r="I291" s="16" t="s">
        <v>431</v>
      </c>
      <c r="J291" s="16" t="s">
        <v>912</v>
      </c>
      <c r="K291" s="21" t="s">
        <v>503</v>
      </c>
      <c r="L291" s="16" t="s">
        <v>461</v>
      </c>
      <c r="M291" s="21" t="s">
        <v>462</v>
      </c>
      <c r="N291" s="49" t="n">
        <v>2</v>
      </c>
      <c r="O291" s="49"/>
      <c r="P291" s="16" t="s">
        <v>446</v>
      </c>
      <c r="Q291" s="16" t="s">
        <v>457</v>
      </c>
      <c r="R291" s="16"/>
    </row>
    <row r="292" customFormat="false" ht="23.85" hidden="false" customHeight="false" outlineLevel="0" collapsed="false">
      <c r="A292" s="45" t="s">
        <v>913</v>
      </c>
      <c r="B292" s="21" t="n">
        <v>5</v>
      </c>
      <c r="C292" s="16" t="s">
        <v>291</v>
      </c>
      <c r="D292" s="21" t="s">
        <v>305</v>
      </c>
      <c r="E292" s="16" t="s">
        <v>306</v>
      </c>
      <c r="F292" s="21" t="s">
        <v>56</v>
      </c>
      <c r="G292" s="16" t="s">
        <v>57</v>
      </c>
      <c r="H292" s="46" t="n">
        <f aca="false">INDEX(A_Scoring_Model!$C$5:$C$10,MATCH(F292,A_Scoring_Model!$A$5:$A$10,0))</f>
        <v>0.15</v>
      </c>
      <c r="I292" s="16" t="s">
        <v>449</v>
      </c>
      <c r="J292" s="16" t="s">
        <v>464</v>
      </c>
      <c r="K292" s="21" t="s">
        <v>433</v>
      </c>
      <c r="L292" s="16" t="s">
        <v>461</v>
      </c>
      <c r="M292" s="21" t="s">
        <v>462</v>
      </c>
      <c r="N292" s="48" t="n">
        <v>0.2</v>
      </c>
      <c r="O292" s="48" t="n">
        <v>0.4</v>
      </c>
      <c r="P292" s="16" t="s">
        <v>436</v>
      </c>
      <c r="Q292" s="16" t="s">
        <v>457</v>
      </c>
      <c r="R292" s="16"/>
    </row>
    <row r="293" customFormat="false" ht="23.85" hidden="false" customHeight="false" outlineLevel="0" collapsed="false">
      <c r="A293" s="45" t="s">
        <v>914</v>
      </c>
      <c r="B293" s="21" t="n">
        <v>5</v>
      </c>
      <c r="C293" s="16" t="s">
        <v>291</v>
      </c>
      <c r="D293" s="21" t="s">
        <v>305</v>
      </c>
      <c r="E293" s="16" t="s">
        <v>306</v>
      </c>
      <c r="F293" s="21" t="s">
        <v>59</v>
      </c>
      <c r="G293" s="16" t="s">
        <v>60</v>
      </c>
      <c r="H293" s="46" t="n">
        <f aca="false">INDEX(A_Scoring_Model!$C$5:$C$10,MATCH(F293,A_Scoring_Model!$A$5:$A$10,0))</f>
        <v>0.1</v>
      </c>
      <c r="I293" s="16" t="s">
        <v>431</v>
      </c>
      <c r="J293" s="16" t="s">
        <v>915</v>
      </c>
      <c r="K293" s="21" t="s">
        <v>433</v>
      </c>
      <c r="L293" s="16" t="s">
        <v>434</v>
      </c>
      <c r="M293" s="21" t="s">
        <v>435</v>
      </c>
      <c r="N293" s="48" t="n">
        <v>1</v>
      </c>
      <c r="O293" s="48"/>
      <c r="P293" s="16" t="s">
        <v>446</v>
      </c>
      <c r="Q293" s="16" t="s">
        <v>467</v>
      </c>
      <c r="R293" s="16"/>
    </row>
    <row r="294" customFormat="false" ht="23.85" hidden="false" customHeight="false" outlineLevel="0" collapsed="false">
      <c r="A294" s="45" t="s">
        <v>916</v>
      </c>
      <c r="B294" s="21" t="n">
        <v>5</v>
      </c>
      <c r="C294" s="16" t="s">
        <v>291</v>
      </c>
      <c r="D294" s="21" t="s">
        <v>305</v>
      </c>
      <c r="E294" s="16" t="s">
        <v>306</v>
      </c>
      <c r="F294" s="21" t="s">
        <v>59</v>
      </c>
      <c r="G294" s="16" t="s">
        <v>60</v>
      </c>
      <c r="H294" s="46" t="n">
        <f aca="false">INDEX(A_Scoring_Model!$C$5:$C$10,MATCH(F294,A_Scoring_Model!$A$5:$A$10,0))</f>
        <v>0.1</v>
      </c>
      <c r="I294" s="16" t="s">
        <v>449</v>
      </c>
      <c r="J294" s="16" t="s">
        <v>471</v>
      </c>
      <c r="K294" s="21" t="s">
        <v>433</v>
      </c>
      <c r="L294" s="16" t="s">
        <v>434</v>
      </c>
      <c r="M294" s="21" t="s">
        <v>435</v>
      </c>
      <c r="N294" s="48" t="n">
        <v>0.995</v>
      </c>
      <c r="O294" s="48" t="n">
        <v>0.99</v>
      </c>
      <c r="P294" s="16" t="s">
        <v>436</v>
      </c>
      <c r="Q294" s="16" t="s">
        <v>467</v>
      </c>
      <c r="R294" s="16"/>
    </row>
    <row r="295" customFormat="false" ht="23.85" hidden="false" customHeight="false" outlineLevel="0" collapsed="false">
      <c r="A295" s="45" t="s">
        <v>917</v>
      </c>
      <c r="B295" s="21" t="n">
        <v>5</v>
      </c>
      <c r="C295" s="16" t="s">
        <v>291</v>
      </c>
      <c r="D295" s="21" t="s">
        <v>305</v>
      </c>
      <c r="E295" s="16" t="s">
        <v>306</v>
      </c>
      <c r="F295" s="21" t="s">
        <v>62</v>
      </c>
      <c r="G295" s="16" t="s">
        <v>63</v>
      </c>
      <c r="H295" s="46" t="n">
        <f aca="false">INDEX(A_Scoring_Model!$C$5:$C$10,MATCH(F295,A_Scoring_Model!$A$5:$A$10,0))</f>
        <v>0.15</v>
      </c>
      <c r="I295" s="16" t="s">
        <v>431</v>
      </c>
      <c r="J295" s="16" t="s">
        <v>918</v>
      </c>
      <c r="K295" s="21" t="s">
        <v>433</v>
      </c>
      <c r="L295" s="16" t="s">
        <v>434</v>
      </c>
      <c r="M295" s="21" t="s">
        <v>435</v>
      </c>
      <c r="N295" s="48" t="n">
        <v>0.7</v>
      </c>
      <c r="O295" s="48"/>
      <c r="P295" s="16" t="s">
        <v>446</v>
      </c>
      <c r="Q295" s="16" t="s">
        <v>474</v>
      </c>
      <c r="R295" s="16"/>
    </row>
    <row r="296" customFormat="false" ht="23.85" hidden="false" customHeight="false" outlineLevel="0" collapsed="false">
      <c r="A296" s="45" t="s">
        <v>919</v>
      </c>
      <c r="B296" s="21" t="n">
        <v>5</v>
      </c>
      <c r="C296" s="16" t="s">
        <v>291</v>
      </c>
      <c r="D296" s="21" t="s">
        <v>305</v>
      </c>
      <c r="E296" s="16" t="s">
        <v>306</v>
      </c>
      <c r="F296" s="21" t="s">
        <v>65</v>
      </c>
      <c r="G296" s="16" t="s">
        <v>66</v>
      </c>
      <c r="H296" s="46" t="n">
        <f aca="false">INDEX(A_Scoring_Model!$C$5:$C$10,MATCH(F296,A_Scoring_Model!$A$5:$A$10,0))</f>
        <v>0.1</v>
      </c>
      <c r="I296" s="16" t="s">
        <v>449</v>
      </c>
      <c r="J296" s="16" t="s">
        <v>478</v>
      </c>
      <c r="K296" s="21" t="s">
        <v>433</v>
      </c>
      <c r="L296" s="16" t="s">
        <v>434</v>
      </c>
      <c r="M296" s="21" t="s">
        <v>435</v>
      </c>
      <c r="N296" s="48" t="n">
        <v>0.8</v>
      </c>
      <c r="O296" s="48" t="n">
        <v>0.6</v>
      </c>
      <c r="P296" s="16" t="s">
        <v>436</v>
      </c>
      <c r="Q296" s="16" t="s">
        <v>479</v>
      </c>
      <c r="R296" s="16"/>
    </row>
    <row r="297" customFormat="false" ht="23.85" hidden="false" customHeight="false" outlineLevel="0" collapsed="false">
      <c r="A297" s="45" t="s">
        <v>920</v>
      </c>
      <c r="B297" s="21" t="n">
        <v>5</v>
      </c>
      <c r="C297" s="16" t="s">
        <v>291</v>
      </c>
      <c r="D297" s="21" t="s">
        <v>305</v>
      </c>
      <c r="E297" s="16" t="s">
        <v>306</v>
      </c>
      <c r="F297" s="21" t="s">
        <v>65</v>
      </c>
      <c r="G297" s="16" t="s">
        <v>66</v>
      </c>
      <c r="H297" s="46" t="n">
        <f aca="false">INDEX(A_Scoring_Model!$C$5:$C$10,MATCH(F297,A_Scoring_Model!$A$5:$A$10,0))</f>
        <v>0.1</v>
      </c>
      <c r="I297" s="16" t="s">
        <v>449</v>
      </c>
      <c r="J297" s="16" t="s">
        <v>481</v>
      </c>
      <c r="K297" s="21" t="s">
        <v>451</v>
      </c>
      <c r="L297" s="16" t="s">
        <v>461</v>
      </c>
      <c r="M297" s="21" t="s">
        <v>462</v>
      </c>
      <c r="N297" s="49" t="n">
        <v>0</v>
      </c>
      <c r="O297" s="49"/>
      <c r="P297" s="16" t="s">
        <v>446</v>
      </c>
      <c r="Q297" s="16" t="s">
        <v>479</v>
      </c>
      <c r="R297" s="16"/>
    </row>
    <row r="298" customFormat="false" ht="23.85" hidden="false" customHeight="false" outlineLevel="0" collapsed="false">
      <c r="A298" s="45" t="s">
        <v>921</v>
      </c>
      <c r="B298" s="21" t="n">
        <v>5</v>
      </c>
      <c r="C298" s="16" t="s">
        <v>291</v>
      </c>
      <c r="D298" s="21" t="s">
        <v>305</v>
      </c>
      <c r="E298" s="16" t="s">
        <v>306</v>
      </c>
      <c r="F298" s="21" t="s">
        <v>65</v>
      </c>
      <c r="G298" s="16" t="s">
        <v>66</v>
      </c>
      <c r="H298" s="46" t="n">
        <f aca="false">INDEX(A_Scoring_Model!$C$5:$C$10,MATCH(F298,A_Scoring_Model!$A$5:$A$10,0))</f>
        <v>0.1</v>
      </c>
      <c r="I298" s="16" t="s">
        <v>449</v>
      </c>
      <c r="J298" s="16" t="s">
        <v>483</v>
      </c>
      <c r="K298" s="21" t="s">
        <v>451</v>
      </c>
      <c r="L298" s="16" t="s">
        <v>461</v>
      </c>
      <c r="M298" s="21" t="s">
        <v>462</v>
      </c>
      <c r="N298" s="49" t="n">
        <v>0</v>
      </c>
      <c r="O298" s="49"/>
      <c r="P298" s="16" t="s">
        <v>446</v>
      </c>
      <c r="Q298" s="16" t="s">
        <v>479</v>
      </c>
      <c r="R298" s="16"/>
    </row>
    <row r="299" customFormat="false" ht="23.85" hidden="false" customHeight="false" outlineLevel="0" collapsed="false">
      <c r="A299" s="45" t="s">
        <v>922</v>
      </c>
      <c r="B299" s="21" t="n">
        <v>5</v>
      </c>
      <c r="C299" s="16" t="s">
        <v>291</v>
      </c>
      <c r="D299" s="21" t="s">
        <v>305</v>
      </c>
      <c r="E299" s="16" t="s">
        <v>306</v>
      </c>
      <c r="F299" s="21" t="s">
        <v>65</v>
      </c>
      <c r="G299" s="16" t="s">
        <v>66</v>
      </c>
      <c r="H299" s="46" t="n">
        <f aca="false">INDEX(A_Scoring_Model!$C$5:$C$10,MATCH(F299,A_Scoring_Model!$A$5:$A$10,0))</f>
        <v>0.1</v>
      </c>
      <c r="I299" s="16" t="s">
        <v>449</v>
      </c>
      <c r="J299" s="16" t="s">
        <v>485</v>
      </c>
      <c r="K299" s="21" t="s">
        <v>445</v>
      </c>
      <c r="L299" s="16" t="s">
        <v>434</v>
      </c>
      <c r="M299" s="21" t="s">
        <v>435</v>
      </c>
      <c r="N299" s="19" t="n">
        <v>1</v>
      </c>
      <c r="O299" s="19"/>
      <c r="P299" s="16" t="s">
        <v>446</v>
      </c>
      <c r="Q299" s="16" t="s">
        <v>479</v>
      </c>
      <c r="R299" s="16"/>
    </row>
    <row r="300" customFormat="false" ht="23.85" hidden="false" customHeight="false" outlineLevel="0" collapsed="false">
      <c r="A300" s="45" t="s">
        <v>923</v>
      </c>
      <c r="B300" s="21" t="n">
        <v>5</v>
      </c>
      <c r="C300" s="16" t="s">
        <v>291</v>
      </c>
      <c r="D300" s="21" t="s">
        <v>305</v>
      </c>
      <c r="E300" s="16" t="s">
        <v>306</v>
      </c>
      <c r="F300" s="21" t="s">
        <v>65</v>
      </c>
      <c r="G300" s="16" t="s">
        <v>66</v>
      </c>
      <c r="H300" s="46" t="n">
        <f aca="false">INDEX(A_Scoring_Model!$C$5:$C$10,MATCH(F300,A_Scoring_Model!$A$5:$A$10,0))</f>
        <v>0.1</v>
      </c>
      <c r="I300" s="16" t="s">
        <v>449</v>
      </c>
      <c r="J300" s="16" t="s">
        <v>487</v>
      </c>
      <c r="K300" s="21" t="s">
        <v>445</v>
      </c>
      <c r="L300" s="16" t="s">
        <v>434</v>
      </c>
      <c r="M300" s="21" t="s">
        <v>435</v>
      </c>
      <c r="N300" s="19" t="n">
        <v>1</v>
      </c>
      <c r="O300" s="19"/>
      <c r="P300" s="16" t="s">
        <v>446</v>
      </c>
      <c r="Q300" s="16" t="s">
        <v>479</v>
      </c>
      <c r="R300" s="16"/>
    </row>
    <row r="301" customFormat="false" ht="23.85" hidden="false" customHeight="false" outlineLevel="0" collapsed="false">
      <c r="A301" s="37" t="s">
        <v>924</v>
      </c>
      <c r="B301" s="38" t="n">
        <v>6</v>
      </c>
      <c r="C301" s="39" t="s">
        <v>312</v>
      </c>
      <c r="D301" s="38" t="s">
        <v>313</v>
      </c>
      <c r="E301" s="39" t="s">
        <v>314</v>
      </c>
      <c r="F301" s="38" t="s">
        <v>50</v>
      </c>
      <c r="G301" s="39" t="s">
        <v>51</v>
      </c>
      <c r="H301" s="40" t="n">
        <f aca="false">INDEX(A_Scoring_Model!$C$5:$C$10,MATCH(F301,A_Scoring_Model!$A$5:$A$10,0))</f>
        <v>0.3</v>
      </c>
      <c r="I301" s="39" t="s">
        <v>431</v>
      </c>
      <c r="J301" s="39" t="s">
        <v>925</v>
      </c>
      <c r="K301" s="38" t="s">
        <v>433</v>
      </c>
      <c r="L301" s="39" t="s">
        <v>434</v>
      </c>
      <c r="M301" s="38" t="s">
        <v>435</v>
      </c>
      <c r="N301" s="41" t="n">
        <v>0.9</v>
      </c>
      <c r="O301" s="41" t="n">
        <v>0.8</v>
      </c>
      <c r="P301" s="39" t="s">
        <v>436</v>
      </c>
      <c r="Q301" s="39" t="s">
        <v>437</v>
      </c>
      <c r="R301" s="39" t="s">
        <v>319</v>
      </c>
    </row>
    <row r="302" customFormat="false" ht="23.85" hidden="false" customHeight="false" outlineLevel="0" collapsed="false">
      <c r="A302" s="37" t="s">
        <v>926</v>
      </c>
      <c r="B302" s="38" t="n">
        <v>6</v>
      </c>
      <c r="C302" s="39" t="s">
        <v>312</v>
      </c>
      <c r="D302" s="38" t="s">
        <v>313</v>
      </c>
      <c r="E302" s="39" t="s">
        <v>314</v>
      </c>
      <c r="F302" s="38" t="s">
        <v>50</v>
      </c>
      <c r="G302" s="39" t="s">
        <v>51</v>
      </c>
      <c r="H302" s="40" t="n">
        <f aca="false">INDEX(A_Scoring_Model!$C$5:$C$10,MATCH(F302,A_Scoring_Model!$A$5:$A$10,0))</f>
        <v>0.3</v>
      </c>
      <c r="I302" s="39" t="s">
        <v>431</v>
      </c>
      <c r="J302" s="39" t="s">
        <v>927</v>
      </c>
      <c r="K302" s="38" t="s">
        <v>440</v>
      </c>
      <c r="L302" s="39" t="s">
        <v>434</v>
      </c>
      <c r="M302" s="38" t="s">
        <v>435</v>
      </c>
      <c r="N302" s="42" t="n">
        <v>0.85</v>
      </c>
      <c r="O302" s="42" t="n">
        <v>0.75</v>
      </c>
      <c r="P302" s="39" t="s">
        <v>436</v>
      </c>
      <c r="Q302" s="39" t="s">
        <v>437</v>
      </c>
      <c r="R302" s="39" t="s">
        <v>319</v>
      </c>
    </row>
    <row r="303" customFormat="false" ht="23.85" hidden="false" customHeight="false" outlineLevel="0" collapsed="false">
      <c r="A303" s="37" t="s">
        <v>928</v>
      </c>
      <c r="B303" s="38" t="n">
        <v>6</v>
      </c>
      <c r="C303" s="39" t="s">
        <v>312</v>
      </c>
      <c r="D303" s="38" t="s">
        <v>313</v>
      </c>
      <c r="E303" s="39" t="s">
        <v>314</v>
      </c>
      <c r="F303" s="38" t="s">
        <v>50</v>
      </c>
      <c r="G303" s="39" t="s">
        <v>51</v>
      </c>
      <c r="H303" s="40" t="n">
        <f aca="false">INDEX(A_Scoring_Model!$C$5:$C$10,MATCH(F303,A_Scoring_Model!$A$5:$A$10,0))</f>
        <v>0.3</v>
      </c>
      <c r="I303" s="39" t="s">
        <v>431</v>
      </c>
      <c r="J303" s="39" t="s">
        <v>929</v>
      </c>
      <c r="K303" s="38" t="s">
        <v>433</v>
      </c>
      <c r="L303" s="39" t="s">
        <v>434</v>
      </c>
      <c r="M303" s="38" t="s">
        <v>435</v>
      </c>
      <c r="N303" s="41" t="n">
        <v>0.98</v>
      </c>
      <c r="O303" s="41" t="n">
        <v>0.95</v>
      </c>
      <c r="P303" s="39" t="s">
        <v>436</v>
      </c>
      <c r="Q303" s="39" t="s">
        <v>437</v>
      </c>
      <c r="R303" s="39" t="s">
        <v>319</v>
      </c>
    </row>
    <row r="304" customFormat="false" ht="23.85" hidden="false" customHeight="false" outlineLevel="0" collapsed="false">
      <c r="A304" s="37" t="s">
        <v>930</v>
      </c>
      <c r="B304" s="38" t="n">
        <v>6</v>
      </c>
      <c r="C304" s="39" t="s">
        <v>312</v>
      </c>
      <c r="D304" s="38" t="s">
        <v>313</v>
      </c>
      <c r="E304" s="39" t="s">
        <v>314</v>
      </c>
      <c r="F304" s="38" t="s">
        <v>50</v>
      </c>
      <c r="G304" s="39" t="s">
        <v>51</v>
      </c>
      <c r="H304" s="40" t="n">
        <f aca="false">INDEX(A_Scoring_Model!$C$5:$C$10,MATCH(F304,A_Scoring_Model!$A$5:$A$10,0))</f>
        <v>0.3</v>
      </c>
      <c r="I304" s="39" t="s">
        <v>431</v>
      </c>
      <c r="J304" s="39" t="s">
        <v>931</v>
      </c>
      <c r="K304" s="38" t="s">
        <v>433</v>
      </c>
      <c r="L304" s="39" t="s">
        <v>434</v>
      </c>
      <c r="M304" s="38" t="s">
        <v>435</v>
      </c>
      <c r="N304" s="41" t="n">
        <v>0.85</v>
      </c>
      <c r="O304" s="41" t="n">
        <v>0.75</v>
      </c>
      <c r="P304" s="39" t="s">
        <v>436</v>
      </c>
      <c r="Q304" s="39" t="s">
        <v>437</v>
      </c>
      <c r="R304" s="39" t="s">
        <v>319</v>
      </c>
    </row>
    <row r="305" customFormat="false" ht="23.85" hidden="false" customHeight="false" outlineLevel="0" collapsed="false">
      <c r="A305" s="37" t="s">
        <v>932</v>
      </c>
      <c r="B305" s="38" t="n">
        <v>6</v>
      </c>
      <c r="C305" s="39" t="s">
        <v>312</v>
      </c>
      <c r="D305" s="38" t="s">
        <v>313</v>
      </c>
      <c r="E305" s="39" t="s">
        <v>314</v>
      </c>
      <c r="F305" s="38" t="s">
        <v>53</v>
      </c>
      <c r="G305" s="39" t="s">
        <v>54</v>
      </c>
      <c r="H305" s="40" t="n">
        <f aca="false">INDEX(A_Scoring_Model!$C$5:$C$10,MATCH(F305,A_Scoring_Model!$A$5:$A$10,0))</f>
        <v>0.2</v>
      </c>
      <c r="I305" s="39" t="s">
        <v>431</v>
      </c>
      <c r="J305" s="39" t="s">
        <v>933</v>
      </c>
      <c r="K305" s="38" t="s">
        <v>445</v>
      </c>
      <c r="L305" s="39" t="s">
        <v>434</v>
      </c>
      <c r="M305" s="38" t="s">
        <v>435</v>
      </c>
      <c r="N305" s="43" t="n">
        <v>1</v>
      </c>
      <c r="O305" s="43"/>
      <c r="P305" s="39" t="s">
        <v>446</v>
      </c>
      <c r="Q305" s="39" t="s">
        <v>447</v>
      </c>
      <c r="R305" s="39"/>
    </row>
    <row r="306" customFormat="false" ht="23.85" hidden="false" customHeight="false" outlineLevel="0" collapsed="false">
      <c r="A306" s="37" t="s">
        <v>934</v>
      </c>
      <c r="B306" s="38" t="n">
        <v>6</v>
      </c>
      <c r="C306" s="39" t="s">
        <v>312</v>
      </c>
      <c r="D306" s="38" t="s">
        <v>313</v>
      </c>
      <c r="E306" s="39" t="s">
        <v>314</v>
      </c>
      <c r="F306" s="38" t="s">
        <v>53</v>
      </c>
      <c r="G306" s="39" t="s">
        <v>54</v>
      </c>
      <c r="H306" s="40" t="n">
        <f aca="false">INDEX(A_Scoring_Model!$C$5:$C$10,MATCH(F306,A_Scoring_Model!$A$5:$A$10,0))</f>
        <v>0.2</v>
      </c>
      <c r="I306" s="39" t="s">
        <v>449</v>
      </c>
      <c r="J306" s="39" t="s">
        <v>450</v>
      </c>
      <c r="K306" s="38" t="s">
        <v>451</v>
      </c>
      <c r="L306" s="39" t="s">
        <v>434</v>
      </c>
      <c r="M306" s="38" t="s">
        <v>435</v>
      </c>
      <c r="N306" s="44" t="n">
        <v>3</v>
      </c>
      <c r="O306" s="44" t="n">
        <v>2</v>
      </c>
      <c r="P306" s="39" t="s">
        <v>436</v>
      </c>
      <c r="Q306" s="39" t="s">
        <v>447</v>
      </c>
      <c r="R306" s="39"/>
    </row>
    <row r="307" customFormat="false" ht="23.85" hidden="false" customHeight="false" outlineLevel="0" collapsed="false">
      <c r="A307" s="37" t="s">
        <v>935</v>
      </c>
      <c r="B307" s="38" t="n">
        <v>6</v>
      </c>
      <c r="C307" s="39" t="s">
        <v>312</v>
      </c>
      <c r="D307" s="38" t="s">
        <v>313</v>
      </c>
      <c r="E307" s="39" t="s">
        <v>314</v>
      </c>
      <c r="F307" s="38" t="s">
        <v>53</v>
      </c>
      <c r="G307" s="39" t="s">
        <v>54</v>
      </c>
      <c r="H307" s="40" t="n">
        <f aca="false">INDEX(A_Scoring_Model!$C$5:$C$10,MATCH(F307,A_Scoring_Model!$A$5:$A$10,0))</f>
        <v>0.2</v>
      </c>
      <c r="I307" s="39" t="s">
        <v>449</v>
      </c>
      <c r="J307" s="39" t="s">
        <v>453</v>
      </c>
      <c r="K307" s="38" t="s">
        <v>445</v>
      </c>
      <c r="L307" s="39" t="s">
        <v>434</v>
      </c>
      <c r="M307" s="38" t="s">
        <v>435</v>
      </c>
      <c r="N307" s="43" t="n">
        <v>1</v>
      </c>
      <c r="O307" s="43"/>
      <c r="P307" s="39" t="s">
        <v>446</v>
      </c>
      <c r="Q307" s="39" t="s">
        <v>447</v>
      </c>
      <c r="R307" s="39"/>
    </row>
    <row r="308" customFormat="false" ht="23.85" hidden="false" customHeight="false" outlineLevel="0" collapsed="false">
      <c r="A308" s="37" t="s">
        <v>936</v>
      </c>
      <c r="B308" s="38" t="n">
        <v>6</v>
      </c>
      <c r="C308" s="39" t="s">
        <v>312</v>
      </c>
      <c r="D308" s="38" t="s">
        <v>313</v>
      </c>
      <c r="E308" s="39" t="s">
        <v>314</v>
      </c>
      <c r="F308" s="38" t="s">
        <v>56</v>
      </c>
      <c r="G308" s="39" t="s">
        <v>57</v>
      </c>
      <c r="H308" s="40" t="n">
        <f aca="false">INDEX(A_Scoring_Model!$C$5:$C$10,MATCH(F308,A_Scoring_Model!$A$5:$A$10,0))</f>
        <v>0.15</v>
      </c>
      <c r="I308" s="39" t="s">
        <v>431</v>
      </c>
      <c r="J308" s="39" t="s">
        <v>937</v>
      </c>
      <c r="K308" s="38" t="s">
        <v>460</v>
      </c>
      <c r="L308" s="39" t="s">
        <v>461</v>
      </c>
      <c r="M308" s="38" t="s">
        <v>462</v>
      </c>
      <c r="N308" s="44" t="n">
        <v>5</v>
      </c>
      <c r="O308" s="44"/>
      <c r="P308" s="39" t="s">
        <v>446</v>
      </c>
      <c r="Q308" s="39" t="s">
        <v>457</v>
      </c>
      <c r="R308" s="39"/>
    </row>
    <row r="309" customFormat="false" ht="23.85" hidden="false" customHeight="false" outlineLevel="0" collapsed="false">
      <c r="A309" s="37" t="s">
        <v>938</v>
      </c>
      <c r="B309" s="38" t="n">
        <v>6</v>
      </c>
      <c r="C309" s="39" t="s">
        <v>312</v>
      </c>
      <c r="D309" s="38" t="s">
        <v>313</v>
      </c>
      <c r="E309" s="39" t="s">
        <v>314</v>
      </c>
      <c r="F309" s="38" t="s">
        <v>56</v>
      </c>
      <c r="G309" s="39" t="s">
        <v>57</v>
      </c>
      <c r="H309" s="40" t="n">
        <f aca="false">INDEX(A_Scoring_Model!$C$5:$C$10,MATCH(F309,A_Scoring_Model!$A$5:$A$10,0))</f>
        <v>0.15</v>
      </c>
      <c r="I309" s="39" t="s">
        <v>431</v>
      </c>
      <c r="J309" s="39" t="s">
        <v>939</v>
      </c>
      <c r="K309" s="38" t="s">
        <v>940</v>
      </c>
      <c r="L309" s="39" t="s">
        <v>434</v>
      </c>
      <c r="M309" s="38" t="s">
        <v>435</v>
      </c>
      <c r="N309" s="44" t="n">
        <v>5000</v>
      </c>
      <c r="O309" s="44"/>
      <c r="P309" s="39" t="s">
        <v>446</v>
      </c>
      <c r="Q309" s="39" t="s">
        <v>457</v>
      </c>
      <c r="R309" s="39"/>
    </row>
    <row r="310" customFormat="false" ht="23.85" hidden="false" customHeight="false" outlineLevel="0" collapsed="false">
      <c r="A310" s="37" t="s">
        <v>941</v>
      </c>
      <c r="B310" s="38" t="n">
        <v>6</v>
      </c>
      <c r="C310" s="39" t="s">
        <v>312</v>
      </c>
      <c r="D310" s="38" t="s">
        <v>313</v>
      </c>
      <c r="E310" s="39" t="s">
        <v>314</v>
      </c>
      <c r="F310" s="38" t="s">
        <v>56</v>
      </c>
      <c r="G310" s="39" t="s">
        <v>57</v>
      </c>
      <c r="H310" s="40" t="n">
        <f aca="false">INDEX(A_Scoring_Model!$C$5:$C$10,MATCH(F310,A_Scoring_Model!$A$5:$A$10,0))</f>
        <v>0.15</v>
      </c>
      <c r="I310" s="39" t="s">
        <v>449</v>
      </c>
      <c r="J310" s="39" t="s">
        <v>464</v>
      </c>
      <c r="K310" s="38" t="s">
        <v>433</v>
      </c>
      <c r="L310" s="39" t="s">
        <v>461</v>
      </c>
      <c r="M310" s="38" t="s">
        <v>462</v>
      </c>
      <c r="N310" s="41" t="n">
        <v>0.2</v>
      </c>
      <c r="O310" s="41" t="n">
        <v>0.4</v>
      </c>
      <c r="P310" s="39" t="s">
        <v>436</v>
      </c>
      <c r="Q310" s="39" t="s">
        <v>457</v>
      </c>
      <c r="R310" s="39"/>
    </row>
    <row r="311" customFormat="false" ht="23.85" hidden="false" customHeight="false" outlineLevel="0" collapsed="false">
      <c r="A311" s="37" t="s">
        <v>942</v>
      </c>
      <c r="B311" s="38" t="n">
        <v>6</v>
      </c>
      <c r="C311" s="39" t="s">
        <v>312</v>
      </c>
      <c r="D311" s="38" t="s">
        <v>313</v>
      </c>
      <c r="E311" s="39" t="s">
        <v>314</v>
      </c>
      <c r="F311" s="38" t="s">
        <v>59</v>
      </c>
      <c r="G311" s="39" t="s">
        <v>60</v>
      </c>
      <c r="H311" s="40" t="n">
        <f aca="false">INDEX(A_Scoring_Model!$C$5:$C$10,MATCH(F311,A_Scoring_Model!$A$5:$A$10,0))</f>
        <v>0.1</v>
      </c>
      <c r="I311" s="39" t="s">
        <v>431</v>
      </c>
      <c r="J311" s="39" t="s">
        <v>943</v>
      </c>
      <c r="K311" s="38" t="s">
        <v>433</v>
      </c>
      <c r="L311" s="39" t="s">
        <v>434</v>
      </c>
      <c r="M311" s="38" t="s">
        <v>435</v>
      </c>
      <c r="N311" s="41" t="n">
        <v>1</v>
      </c>
      <c r="O311" s="41"/>
      <c r="P311" s="39" t="s">
        <v>446</v>
      </c>
      <c r="Q311" s="39" t="s">
        <v>467</v>
      </c>
      <c r="R311" s="39"/>
    </row>
    <row r="312" customFormat="false" ht="23.85" hidden="false" customHeight="false" outlineLevel="0" collapsed="false">
      <c r="A312" s="37" t="s">
        <v>944</v>
      </c>
      <c r="B312" s="38" t="n">
        <v>6</v>
      </c>
      <c r="C312" s="39" t="s">
        <v>312</v>
      </c>
      <c r="D312" s="38" t="s">
        <v>313</v>
      </c>
      <c r="E312" s="39" t="s">
        <v>314</v>
      </c>
      <c r="F312" s="38" t="s">
        <v>59</v>
      </c>
      <c r="G312" s="39" t="s">
        <v>60</v>
      </c>
      <c r="H312" s="40" t="n">
        <f aca="false">INDEX(A_Scoring_Model!$C$5:$C$10,MATCH(F312,A_Scoring_Model!$A$5:$A$10,0))</f>
        <v>0.1</v>
      </c>
      <c r="I312" s="39" t="s">
        <v>449</v>
      </c>
      <c r="J312" s="39" t="s">
        <v>471</v>
      </c>
      <c r="K312" s="38" t="s">
        <v>433</v>
      </c>
      <c r="L312" s="39" t="s">
        <v>434</v>
      </c>
      <c r="M312" s="38" t="s">
        <v>435</v>
      </c>
      <c r="N312" s="41" t="n">
        <v>0.995</v>
      </c>
      <c r="O312" s="41" t="n">
        <v>0.99</v>
      </c>
      <c r="P312" s="39" t="s">
        <v>436</v>
      </c>
      <c r="Q312" s="39" t="s">
        <v>467</v>
      </c>
      <c r="R312" s="39"/>
    </row>
    <row r="313" customFormat="false" ht="23.85" hidden="false" customHeight="false" outlineLevel="0" collapsed="false">
      <c r="A313" s="37" t="s">
        <v>945</v>
      </c>
      <c r="B313" s="38" t="n">
        <v>6</v>
      </c>
      <c r="C313" s="39" t="s">
        <v>312</v>
      </c>
      <c r="D313" s="38" t="s">
        <v>313</v>
      </c>
      <c r="E313" s="39" t="s">
        <v>314</v>
      </c>
      <c r="F313" s="38" t="s">
        <v>62</v>
      </c>
      <c r="G313" s="39" t="s">
        <v>63</v>
      </c>
      <c r="H313" s="40" t="n">
        <f aca="false">INDEX(A_Scoring_Model!$C$5:$C$10,MATCH(F313,A_Scoring_Model!$A$5:$A$10,0))</f>
        <v>0.15</v>
      </c>
      <c r="I313" s="39" t="s">
        <v>431</v>
      </c>
      <c r="J313" s="39" t="s">
        <v>946</v>
      </c>
      <c r="K313" s="38" t="s">
        <v>433</v>
      </c>
      <c r="L313" s="39" t="s">
        <v>434</v>
      </c>
      <c r="M313" s="38" t="s">
        <v>435</v>
      </c>
      <c r="N313" s="41" t="n">
        <v>0.6</v>
      </c>
      <c r="O313" s="41"/>
      <c r="P313" s="39" t="s">
        <v>446</v>
      </c>
      <c r="Q313" s="39" t="s">
        <v>474</v>
      </c>
      <c r="R313" s="39"/>
    </row>
    <row r="314" customFormat="false" ht="23.85" hidden="false" customHeight="false" outlineLevel="0" collapsed="false">
      <c r="A314" s="37" t="s">
        <v>947</v>
      </c>
      <c r="B314" s="38" t="n">
        <v>6</v>
      </c>
      <c r="C314" s="39" t="s">
        <v>312</v>
      </c>
      <c r="D314" s="38" t="s">
        <v>313</v>
      </c>
      <c r="E314" s="39" t="s">
        <v>314</v>
      </c>
      <c r="F314" s="38" t="s">
        <v>62</v>
      </c>
      <c r="G314" s="39" t="s">
        <v>63</v>
      </c>
      <c r="H314" s="40" t="n">
        <f aca="false">INDEX(A_Scoring_Model!$C$5:$C$10,MATCH(F314,A_Scoring_Model!$A$5:$A$10,0))</f>
        <v>0.15</v>
      </c>
      <c r="I314" s="39" t="s">
        <v>431</v>
      </c>
      <c r="J314" s="39" t="s">
        <v>948</v>
      </c>
      <c r="K314" s="38" t="s">
        <v>433</v>
      </c>
      <c r="L314" s="39" t="s">
        <v>434</v>
      </c>
      <c r="M314" s="38" t="s">
        <v>435</v>
      </c>
      <c r="N314" s="41" t="n">
        <v>0.5</v>
      </c>
      <c r="O314" s="41"/>
      <c r="P314" s="39" t="s">
        <v>446</v>
      </c>
      <c r="Q314" s="39" t="s">
        <v>474</v>
      </c>
      <c r="R314" s="39"/>
    </row>
    <row r="315" customFormat="false" ht="23.85" hidden="false" customHeight="false" outlineLevel="0" collapsed="false">
      <c r="A315" s="37" t="s">
        <v>949</v>
      </c>
      <c r="B315" s="38" t="n">
        <v>6</v>
      </c>
      <c r="C315" s="39" t="s">
        <v>312</v>
      </c>
      <c r="D315" s="38" t="s">
        <v>313</v>
      </c>
      <c r="E315" s="39" t="s">
        <v>314</v>
      </c>
      <c r="F315" s="38" t="s">
        <v>65</v>
      </c>
      <c r="G315" s="39" t="s">
        <v>66</v>
      </c>
      <c r="H315" s="40" t="n">
        <f aca="false">INDEX(A_Scoring_Model!$C$5:$C$10,MATCH(F315,A_Scoring_Model!$A$5:$A$10,0))</f>
        <v>0.1</v>
      </c>
      <c r="I315" s="39" t="s">
        <v>449</v>
      </c>
      <c r="J315" s="39" t="s">
        <v>478</v>
      </c>
      <c r="K315" s="38" t="s">
        <v>433</v>
      </c>
      <c r="L315" s="39" t="s">
        <v>434</v>
      </c>
      <c r="M315" s="38" t="s">
        <v>435</v>
      </c>
      <c r="N315" s="41" t="n">
        <v>0.8</v>
      </c>
      <c r="O315" s="41" t="n">
        <v>0.6</v>
      </c>
      <c r="P315" s="39" t="s">
        <v>436</v>
      </c>
      <c r="Q315" s="39" t="s">
        <v>479</v>
      </c>
      <c r="R315" s="39"/>
    </row>
    <row r="316" customFormat="false" ht="23.85" hidden="false" customHeight="false" outlineLevel="0" collapsed="false">
      <c r="A316" s="37" t="s">
        <v>950</v>
      </c>
      <c r="B316" s="38" t="n">
        <v>6</v>
      </c>
      <c r="C316" s="39" t="s">
        <v>312</v>
      </c>
      <c r="D316" s="38" t="s">
        <v>313</v>
      </c>
      <c r="E316" s="39" t="s">
        <v>314</v>
      </c>
      <c r="F316" s="38" t="s">
        <v>65</v>
      </c>
      <c r="G316" s="39" t="s">
        <v>66</v>
      </c>
      <c r="H316" s="40" t="n">
        <f aca="false">INDEX(A_Scoring_Model!$C$5:$C$10,MATCH(F316,A_Scoring_Model!$A$5:$A$10,0))</f>
        <v>0.1</v>
      </c>
      <c r="I316" s="39" t="s">
        <v>449</v>
      </c>
      <c r="J316" s="39" t="s">
        <v>481</v>
      </c>
      <c r="K316" s="38" t="s">
        <v>451</v>
      </c>
      <c r="L316" s="39" t="s">
        <v>461</v>
      </c>
      <c r="M316" s="38" t="s">
        <v>462</v>
      </c>
      <c r="N316" s="44" t="n">
        <v>0</v>
      </c>
      <c r="O316" s="44"/>
      <c r="P316" s="39" t="s">
        <v>446</v>
      </c>
      <c r="Q316" s="39" t="s">
        <v>479</v>
      </c>
      <c r="R316" s="39"/>
    </row>
    <row r="317" customFormat="false" ht="23.85" hidden="false" customHeight="false" outlineLevel="0" collapsed="false">
      <c r="A317" s="37" t="s">
        <v>951</v>
      </c>
      <c r="B317" s="38" t="n">
        <v>6</v>
      </c>
      <c r="C317" s="39" t="s">
        <v>312</v>
      </c>
      <c r="D317" s="38" t="s">
        <v>313</v>
      </c>
      <c r="E317" s="39" t="s">
        <v>314</v>
      </c>
      <c r="F317" s="38" t="s">
        <v>65</v>
      </c>
      <c r="G317" s="39" t="s">
        <v>66</v>
      </c>
      <c r="H317" s="40" t="n">
        <f aca="false">INDEX(A_Scoring_Model!$C$5:$C$10,MATCH(F317,A_Scoring_Model!$A$5:$A$10,0))</f>
        <v>0.1</v>
      </c>
      <c r="I317" s="39" t="s">
        <v>449</v>
      </c>
      <c r="J317" s="39" t="s">
        <v>483</v>
      </c>
      <c r="K317" s="38" t="s">
        <v>451</v>
      </c>
      <c r="L317" s="39" t="s">
        <v>461</v>
      </c>
      <c r="M317" s="38" t="s">
        <v>462</v>
      </c>
      <c r="N317" s="44" t="n">
        <v>0</v>
      </c>
      <c r="O317" s="44"/>
      <c r="P317" s="39" t="s">
        <v>446</v>
      </c>
      <c r="Q317" s="39" t="s">
        <v>479</v>
      </c>
      <c r="R317" s="39"/>
    </row>
    <row r="318" customFormat="false" ht="23.85" hidden="false" customHeight="false" outlineLevel="0" collapsed="false">
      <c r="A318" s="37" t="s">
        <v>952</v>
      </c>
      <c r="B318" s="38" t="n">
        <v>6</v>
      </c>
      <c r="C318" s="39" t="s">
        <v>312</v>
      </c>
      <c r="D318" s="38" t="s">
        <v>313</v>
      </c>
      <c r="E318" s="39" t="s">
        <v>314</v>
      </c>
      <c r="F318" s="38" t="s">
        <v>65</v>
      </c>
      <c r="G318" s="39" t="s">
        <v>66</v>
      </c>
      <c r="H318" s="40" t="n">
        <f aca="false">INDEX(A_Scoring_Model!$C$5:$C$10,MATCH(F318,A_Scoring_Model!$A$5:$A$10,0))</f>
        <v>0.1</v>
      </c>
      <c r="I318" s="39" t="s">
        <v>449</v>
      </c>
      <c r="J318" s="39" t="s">
        <v>485</v>
      </c>
      <c r="K318" s="38" t="s">
        <v>445</v>
      </c>
      <c r="L318" s="39" t="s">
        <v>434</v>
      </c>
      <c r="M318" s="38" t="s">
        <v>435</v>
      </c>
      <c r="N318" s="43" t="n">
        <v>1</v>
      </c>
      <c r="O318" s="43"/>
      <c r="P318" s="39" t="s">
        <v>446</v>
      </c>
      <c r="Q318" s="39" t="s">
        <v>479</v>
      </c>
      <c r="R318" s="39"/>
    </row>
    <row r="319" customFormat="false" ht="23.85" hidden="false" customHeight="false" outlineLevel="0" collapsed="false">
      <c r="A319" s="37" t="s">
        <v>953</v>
      </c>
      <c r="B319" s="38" t="n">
        <v>6</v>
      </c>
      <c r="C319" s="39" t="s">
        <v>312</v>
      </c>
      <c r="D319" s="38" t="s">
        <v>313</v>
      </c>
      <c r="E319" s="39" t="s">
        <v>314</v>
      </c>
      <c r="F319" s="38" t="s">
        <v>65</v>
      </c>
      <c r="G319" s="39" t="s">
        <v>66</v>
      </c>
      <c r="H319" s="40" t="n">
        <f aca="false">INDEX(A_Scoring_Model!$C$5:$C$10,MATCH(F319,A_Scoring_Model!$A$5:$A$10,0))</f>
        <v>0.1</v>
      </c>
      <c r="I319" s="39" t="s">
        <v>449</v>
      </c>
      <c r="J319" s="39" t="s">
        <v>487</v>
      </c>
      <c r="K319" s="38" t="s">
        <v>445</v>
      </c>
      <c r="L319" s="39" t="s">
        <v>434</v>
      </c>
      <c r="M319" s="38" t="s">
        <v>435</v>
      </c>
      <c r="N319" s="43" t="n">
        <v>1</v>
      </c>
      <c r="O319" s="43"/>
      <c r="P319" s="39" t="s">
        <v>446</v>
      </c>
      <c r="Q319" s="39" t="s">
        <v>479</v>
      </c>
      <c r="R319" s="39"/>
    </row>
    <row r="320" customFormat="false" ht="23.85" hidden="false" customHeight="false" outlineLevel="0" collapsed="false">
      <c r="A320" s="45" t="s">
        <v>954</v>
      </c>
      <c r="B320" s="21" t="n">
        <v>6</v>
      </c>
      <c r="C320" s="16" t="s">
        <v>312</v>
      </c>
      <c r="D320" s="21" t="s">
        <v>321</v>
      </c>
      <c r="E320" s="16" t="s">
        <v>322</v>
      </c>
      <c r="F320" s="21" t="s">
        <v>50</v>
      </c>
      <c r="G320" s="16" t="s">
        <v>51</v>
      </c>
      <c r="H320" s="46" t="n">
        <f aca="false">INDEX(A_Scoring_Model!$C$5:$C$10,MATCH(F320,A_Scoring_Model!$A$5:$A$10,0))</f>
        <v>0.3</v>
      </c>
      <c r="I320" s="16" t="s">
        <v>431</v>
      </c>
      <c r="J320" s="16" t="s">
        <v>955</v>
      </c>
      <c r="K320" s="21" t="s">
        <v>433</v>
      </c>
      <c r="L320" s="16" t="s">
        <v>434</v>
      </c>
      <c r="M320" s="21" t="s">
        <v>435</v>
      </c>
      <c r="N320" s="48" t="n">
        <v>0.9</v>
      </c>
      <c r="O320" s="48" t="n">
        <v>0.8</v>
      </c>
      <c r="P320" s="16" t="s">
        <v>436</v>
      </c>
      <c r="Q320" s="16" t="s">
        <v>437</v>
      </c>
      <c r="R320" s="16" t="s">
        <v>326</v>
      </c>
    </row>
    <row r="321" customFormat="false" ht="23.85" hidden="false" customHeight="false" outlineLevel="0" collapsed="false">
      <c r="A321" s="45" t="s">
        <v>956</v>
      </c>
      <c r="B321" s="21" t="n">
        <v>6</v>
      </c>
      <c r="C321" s="16" t="s">
        <v>312</v>
      </c>
      <c r="D321" s="21" t="s">
        <v>321</v>
      </c>
      <c r="E321" s="16" t="s">
        <v>322</v>
      </c>
      <c r="F321" s="21" t="s">
        <v>50</v>
      </c>
      <c r="G321" s="16" t="s">
        <v>51</v>
      </c>
      <c r="H321" s="46" t="n">
        <f aca="false">INDEX(A_Scoring_Model!$C$5:$C$10,MATCH(F321,A_Scoring_Model!$A$5:$A$10,0))</f>
        <v>0.3</v>
      </c>
      <c r="I321" s="16" t="s">
        <v>431</v>
      </c>
      <c r="J321" s="16" t="s">
        <v>957</v>
      </c>
      <c r="K321" s="21" t="s">
        <v>433</v>
      </c>
      <c r="L321" s="16" t="s">
        <v>434</v>
      </c>
      <c r="M321" s="21" t="s">
        <v>435</v>
      </c>
      <c r="N321" s="48" t="n">
        <v>0.85</v>
      </c>
      <c r="O321" s="48" t="n">
        <v>0.72</v>
      </c>
      <c r="P321" s="16" t="s">
        <v>436</v>
      </c>
      <c r="Q321" s="16" t="s">
        <v>437</v>
      </c>
      <c r="R321" s="16" t="s">
        <v>326</v>
      </c>
    </row>
    <row r="322" customFormat="false" ht="23.85" hidden="false" customHeight="false" outlineLevel="0" collapsed="false">
      <c r="A322" s="45" t="s">
        <v>958</v>
      </c>
      <c r="B322" s="21" t="n">
        <v>6</v>
      </c>
      <c r="C322" s="16" t="s">
        <v>312</v>
      </c>
      <c r="D322" s="21" t="s">
        <v>321</v>
      </c>
      <c r="E322" s="16" t="s">
        <v>322</v>
      </c>
      <c r="F322" s="21" t="s">
        <v>50</v>
      </c>
      <c r="G322" s="16" t="s">
        <v>51</v>
      </c>
      <c r="H322" s="46" t="n">
        <f aca="false">INDEX(A_Scoring_Model!$C$5:$C$10,MATCH(F322,A_Scoring_Model!$A$5:$A$10,0))</f>
        <v>0.3</v>
      </c>
      <c r="I322" s="16" t="s">
        <v>431</v>
      </c>
      <c r="J322" s="16" t="s">
        <v>959</v>
      </c>
      <c r="K322" s="21" t="s">
        <v>433</v>
      </c>
      <c r="L322" s="16" t="s">
        <v>461</v>
      </c>
      <c r="M322" s="21" t="s">
        <v>462</v>
      </c>
      <c r="N322" s="48" t="n">
        <v>0.02</v>
      </c>
      <c r="O322" s="48" t="n">
        <v>0.05</v>
      </c>
      <c r="P322" s="16" t="s">
        <v>436</v>
      </c>
      <c r="Q322" s="16" t="s">
        <v>437</v>
      </c>
      <c r="R322" s="16" t="s">
        <v>326</v>
      </c>
    </row>
    <row r="323" customFormat="false" ht="23.85" hidden="false" customHeight="false" outlineLevel="0" collapsed="false">
      <c r="A323" s="45" t="s">
        <v>960</v>
      </c>
      <c r="B323" s="21" t="n">
        <v>6</v>
      </c>
      <c r="C323" s="16" t="s">
        <v>312</v>
      </c>
      <c r="D323" s="21" t="s">
        <v>321</v>
      </c>
      <c r="E323" s="16" t="s">
        <v>322</v>
      </c>
      <c r="F323" s="21" t="s">
        <v>53</v>
      </c>
      <c r="G323" s="16" t="s">
        <v>54</v>
      </c>
      <c r="H323" s="46" t="n">
        <f aca="false">INDEX(A_Scoring_Model!$C$5:$C$10,MATCH(F323,A_Scoring_Model!$A$5:$A$10,0))</f>
        <v>0.2</v>
      </c>
      <c r="I323" s="16" t="s">
        <v>431</v>
      </c>
      <c r="J323" s="16" t="s">
        <v>961</v>
      </c>
      <c r="K323" s="21" t="s">
        <v>445</v>
      </c>
      <c r="L323" s="16" t="s">
        <v>434</v>
      </c>
      <c r="M323" s="21" t="s">
        <v>435</v>
      </c>
      <c r="N323" s="19" t="n">
        <v>1</v>
      </c>
      <c r="O323" s="19"/>
      <c r="P323" s="16" t="s">
        <v>446</v>
      </c>
      <c r="Q323" s="16" t="s">
        <v>447</v>
      </c>
      <c r="R323" s="16"/>
    </row>
    <row r="324" customFormat="false" ht="23.85" hidden="false" customHeight="false" outlineLevel="0" collapsed="false">
      <c r="A324" s="45" t="s">
        <v>962</v>
      </c>
      <c r="B324" s="21" t="n">
        <v>6</v>
      </c>
      <c r="C324" s="16" t="s">
        <v>312</v>
      </c>
      <c r="D324" s="21" t="s">
        <v>321</v>
      </c>
      <c r="E324" s="16" t="s">
        <v>322</v>
      </c>
      <c r="F324" s="21" t="s">
        <v>53</v>
      </c>
      <c r="G324" s="16" t="s">
        <v>54</v>
      </c>
      <c r="H324" s="46" t="n">
        <f aca="false">INDEX(A_Scoring_Model!$C$5:$C$10,MATCH(F324,A_Scoring_Model!$A$5:$A$10,0))</f>
        <v>0.2</v>
      </c>
      <c r="I324" s="16" t="s">
        <v>449</v>
      </c>
      <c r="J324" s="16" t="s">
        <v>450</v>
      </c>
      <c r="K324" s="21" t="s">
        <v>451</v>
      </c>
      <c r="L324" s="16" t="s">
        <v>434</v>
      </c>
      <c r="M324" s="21" t="s">
        <v>435</v>
      </c>
      <c r="N324" s="49" t="n">
        <v>3</v>
      </c>
      <c r="O324" s="49" t="n">
        <v>2</v>
      </c>
      <c r="P324" s="16" t="s">
        <v>436</v>
      </c>
      <c r="Q324" s="16" t="s">
        <v>447</v>
      </c>
      <c r="R324" s="16"/>
    </row>
    <row r="325" customFormat="false" ht="23.85" hidden="false" customHeight="false" outlineLevel="0" collapsed="false">
      <c r="A325" s="45" t="s">
        <v>963</v>
      </c>
      <c r="B325" s="21" t="n">
        <v>6</v>
      </c>
      <c r="C325" s="16" t="s">
        <v>312</v>
      </c>
      <c r="D325" s="21" t="s">
        <v>321</v>
      </c>
      <c r="E325" s="16" t="s">
        <v>322</v>
      </c>
      <c r="F325" s="21" t="s">
        <v>53</v>
      </c>
      <c r="G325" s="16" t="s">
        <v>54</v>
      </c>
      <c r="H325" s="46" t="n">
        <f aca="false">INDEX(A_Scoring_Model!$C$5:$C$10,MATCH(F325,A_Scoring_Model!$A$5:$A$10,0))</f>
        <v>0.2</v>
      </c>
      <c r="I325" s="16" t="s">
        <v>449</v>
      </c>
      <c r="J325" s="16" t="s">
        <v>453</v>
      </c>
      <c r="K325" s="21" t="s">
        <v>445</v>
      </c>
      <c r="L325" s="16" t="s">
        <v>434</v>
      </c>
      <c r="M325" s="21" t="s">
        <v>435</v>
      </c>
      <c r="N325" s="19" t="n">
        <v>1</v>
      </c>
      <c r="O325" s="19"/>
      <c r="P325" s="16" t="s">
        <v>446</v>
      </c>
      <c r="Q325" s="16" t="s">
        <v>447</v>
      </c>
      <c r="R325" s="16"/>
    </row>
    <row r="326" customFormat="false" ht="23.85" hidden="false" customHeight="false" outlineLevel="0" collapsed="false">
      <c r="A326" s="45" t="s">
        <v>964</v>
      </c>
      <c r="B326" s="21" t="n">
        <v>6</v>
      </c>
      <c r="C326" s="16" t="s">
        <v>312</v>
      </c>
      <c r="D326" s="21" t="s">
        <v>321</v>
      </c>
      <c r="E326" s="16" t="s">
        <v>322</v>
      </c>
      <c r="F326" s="21" t="s">
        <v>56</v>
      </c>
      <c r="G326" s="16" t="s">
        <v>57</v>
      </c>
      <c r="H326" s="46" t="n">
        <f aca="false">INDEX(A_Scoring_Model!$C$5:$C$10,MATCH(F326,A_Scoring_Model!$A$5:$A$10,0))</f>
        <v>0.15</v>
      </c>
      <c r="I326" s="16" t="s">
        <v>431</v>
      </c>
      <c r="J326" s="16" t="s">
        <v>965</v>
      </c>
      <c r="K326" s="21" t="s">
        <v>585</v>
      </c>
      <c r="L326" s="16" t="s">
        <v>461</v>
      </c>
      <c r="M326" s="21" t="s">
        <v>462</v>
      </c>
      <c r="N326" s="49" t="n">
        <v>500</v>
      </c>
      <c r="O326" s="49"/>
      <c r="P326" s="16" t="s">
        <v>446</v>
      </c>
      <c r="Q326" s="16" t="s">
        <v>457</v>
      </c>
      <c r="R326" s="16"/>
    </row>
    <row r="327" customFormat="false" ht="23.85" hidden="false" customHeight="false" outlineLevel="0" collapsed="false">
      <c r="A327" s="45" t="s">
        <v>966</v>
      </c>
      <c r="B327" s="21" t="n">
        <v>6</v>
      </c>
      <c r="C327" s="16" t="s">
        <v>312</v>
      </c>
      <c r="D327" s="21" t="s">
        <v>321</v>
      </c>
      <c r="E327" s="16" t="s">
        <v>322</v>
      </c>
      <c r="F327" s="21" t="s">
        <v>56</v>
      </c>
      <c r="G327" s="16" t="s">
        <v>57</v>
      </c>
      <c r="H327" s="46" t="n">
        <f aca="false">INDEX(A_Scoring_Model!$C$5:$C$10,MATCH(F327,A_Scoring_Model!$A$5:$A$10,0))</f>
        <v>0.15</v>
      </c>
      <c r="I327" s="16" t="s">
        <v>449</v>
      </c>
      <c r="J327" s="16" t="s">
        <v>464</v>
      </c>
      <c r="K327" s="21" t="s">
        <v>433</v>
      </c>
      <c r="L327" s="16" t="s">
        <v>461</v>
      </c>
      <c r="M327" s="21" t="s">
        <v>462</v>
      </c>
      <c r="N327" s="48" t="n">
        <v>0.2</v>
      </c>
      <c r="O327" s="48" t="n">
        <v>0.4</v>
      </c>
      <c r="P327" s="16" t="s">
        <v>436</v>
      </c>
      <c r="Q327" s="16" t="s">
        <v>457</v>
      </c>
      <c r="R327" s="16"/>
    </row>
    <row r="328" customFormat="false" ht="23.85" hidden="false" customHeight="false" outlineLevel="0" collapsed="false">
      <c r="A328" s="45" t="s">
        <v>967</v>
      </c>
      <c r="B328" s="21" t="n">
        <v>6</v>
      </c>
      <c r="C328" s="16" t="s">
        <v>312</v>
      </c>
      <c r="D328" s="21" t="s">
        <v>321</v>
      </c>
      <c r="E328" s="16" t="s">
        <v>322</v>
      </c>
      <c r="F328" s="21" t="s">
        <v>59</v>
      </c>
      <c r="G328" s="16" t="s">
        <v>60</v>
      </c>
      <c r="H328" s="46" t="n">
        <f aca="false">INDEX(A_Scoring_Model!$C$5:$C$10,MATCH(F328,A_Scoring_Model!$A$5:$A$10,0))</f>
        <v>0.1</v>
      </c>
      <c r="I328" s="16" t="s">
        <v>431</v>
      </c>
      <c r="J328" s="16" t="s">
        <v>968</v>
      </c>
      <c r="K328" s="21" t="s">
        <v>451</v>
      </c>
      <c r="L328" s="16" t="s">
        <v>461</v>
      </c>
      <c r="M328" s="21" t="s">
        <v>462</v>
      </c>
      <c r="N328" s="49" t="n">
        <v>0</v>
      </c>
      <c r="O328" s="49"/>
      <c r="P328" s="16" t="s">
        <v>446</v>
      </c>
      <c r="Q328" s="16" t="s">
        <v>467</v>
      </c>
      <c r="R328" s="16"/>
    </row>
    <row r="329" customFormat="false" ht="23.85" hidden="false" customHeight="false" outlineLevel="0" collapsed="false">
      <c r="A329" s="45" t="s">
        <v>969</v>
      </c>
      <c r="B329" s="21" t="n">
        <v>6</v>
      </c>
      <c r="C329" s="16" t="s">
        <v>312</v>
      </c>
      <c r="D329" s="21" t="s">
        <v>321</v>
      </c>
      <c r="E329" s="16" t="s">
        <v>322</v>
      </c>
      <c r="F329" s="21" t="s">
        <v>59</v>
      </c>
      <c r="G329" s="16" t="s">
        <v>60</v>
      </c>
      <c r="H329" s="46" t="n">
        <f aca="false">INDEX(A_Scoring_Model!$C$5:$C$10,MATCH(F329,A_Scoring_Model!$A$5:$A$10,0))</f>
        <v>0.1</v>
      </c>
      <c r="I329" s="16" t="s">
        <v>449</v>
      </c>
      <c r="J329" s="16" t="s">
        <v>471</v>
      </c>
      <c r="K329" s="21" t="s">
        <v>433</v>
      </c>
      <c r="L329" s="16" t="s">
        <v>434</v>
      </c>
      <c r="M329" s="21" t="s">
        <v>435</v>
      </c>
      <c r="N329" s="48" t="n">
        <v>0.995</v>
      </c>
      <c r="O329" s="48" t="n">
        <v>0.99</v>
      </c>
      <c r="P329" s="16" t="s">
        <v>436</v>
      </c>
      <c r="Q329" s="16" t="s">
        <v>467</v>
      </c>
      <c r="R329" s="16"/>
    </row>
    <row r="330" customFormat="false" ht="23.85" hidden="false" customHeight="false" outlineLevel="0" collapsed="false">
      <c r="A330" s="45" t="s">
        <v>970</v>
      </c>
      <c r="B330" s="21" t="n">
        <v>6</v>
      </c>
      <c r="C330" s="16" t="s">
        <v>312</v>
      </c>
      <c r="D330" s="21" t="s">
        <v>321</v>
      </c>
      <c r="E330" s="16" t="s">
        <v>322</v>
      </c>
      <c r="F330" s="21" t="s">
        <v>62</v>
      </c>
      <c r="G330" s="16" t="s">
        <v>63</v>
      </c>
      <c r="H330" s="46" t="n">
        <f aca="false">INDEX(A_Scoring_Model!$C$5:$C$10,MATCH(F330,A_Scoring_Model!$A$5:$A$10,0))</f>
        <v>0.15</v>
      </c>
      <c r="I330" s="16" t="s">
        <v>431</v>
      </c>
      <c r="J330" s="16" t="s">
        <v>971</v>
      </c>
      <c r="K330" s="21" t="s">
        <v>433</v>
      </c>
      <c r="L330" s="16" t="s">
        <v>434</v>
      </c>
      <c r="M330" s="21" t="s">
        <v>435</v>
      </c>
      <c r="N330" s="48" t="n">
        <v>0.5</v>
      </c>
      <c r="O330" s="48"/>
      <c r="P330" s="16" t="s">
        <v>446</v>
      </c>
      <c r="Q330" s="16" t="s">
        <v>474</v>
      </c>
      <c r="R330" s="16"/>
    </row>
    <row r="331" customFormat="false" ht="23.85" hidden="false" customHeight="false" outlineLevel="0" collapsed="false">
      <c r="A331" s="45" t="s">
        <v>972</v>
      </c>
      <c r="B331" s="21" t="n">
        <v>6</v>
      </c>
      <c r="C331" s="16" t="s">
        <v>312</v>
      </c>
      <c r="D331" s="21" t="s">
        <v>321</v>
      </c>
      <c r="E331" s="16" t="s">
        <v>322</v>
      </c>
      <c r="F331" s="21" t="s">
        <v>65</v>
      </c>
      <c r="G331" s="16" t="s">
        <v>66</v>
      </c>
      <c r="H331" s="46" t="n">
        <f aca="false">INDEX(A_Scoring_Model!$C$5:$C$10,MATCH(F331,A_Scoring_Model!$A$5:$A$10,0))</f>
        <v>0.1</v>
      </c>
      <c r="I331" s="16" t="s">
        <v>449</v>
      </c>
      <c r="J331" s="16" t="s">
        <v>478</v>
      </c>
      <c r="K331" s="21" t="s">
        <v>433</v>
      </c>
      <c r="L331" s="16" t="s">
        <v>434</v>
      </c>
      <c r="M331" s="21" t="s">
        <v>435</v>
      </c>
      <c r="N331" s="48" t="n">
        <v>0.8</v>
      </c>
      <c r="O331" s="48" t="n">
        <v>0.6</v>
      </c>
      <c r="P331" s="16" t="s">
        <v>436</v>
      </c>
      <c r="Q331" s="16" t="s">
        <v>479</v>
      </c>
      <c r="R331" s="16"/>
    </row>
    <row r="332" customFormat="false" ht="23.85" hidden="false" customHeight="false" outlineLevel="0" collapsed="false">
      <c r="A332" s="45" t="s">
        <v>973</v>
      </c>
      <c r="B332" s="21" t="n">
        <v>6</v>
      </c>
      <c r="C332" s="16" t="s">
        <v>312</v>
      </c>
      <c r="D332" s="21" t="s">
        <v>321</v>
      </c>
      <c r="E332" s="16" t="s">
        <v>322</v>
      </c>
      <c r="F332" s="21" t="s">
        <v>65</v>
      </c>
      <c r="G332" s="16" t="s">
        <v>66</v>
      </c>
      <c r="H332" s="46" t="n">
        <f aca="false">INDEX(A_Scoring_Model!$C$5:$C$10,MATCH(F332,A_Scoring_Model!$A$5:$A$10,0))</f>
        <v>0.1</v>
      </c>
      <c r="I332" s="16" t="s">
        <v>449</v>
      </c>
      <c r="J332" s="16" t="s">
        <v>481</v>
      </c>
      <c r="K332" s="21" t="s">
        <v>451</v>
      </c>
      <c r="L332" s="16" t="s">
        <v>461</v>
      </c>
      <c r="M332" s="21" t="s">
        <v>462</v>
      </c>
      <c r="N332" s="49" t="n">
        <v>0</v>
      </c>
      <c r="O332" s="49"/>
      <c r="P332" s="16" t="s">
        <v>446</v>
      </c>
      <c r="Q332" s="16" t="s">
        <v>479</v>
      </c>
      <c r="R332" s="16"/>
    </row>
    <row r="333" customFormat="false" ht="23.85" hidden="false" customHeight="false" outlineLevel="0" collapsed="false">
      <c r="A333" s="45" t="s">
        <v>974</v>
      </c>
      <c r="B333" s="21" t="n">
        <v>6</v>
      </c>
      <c r="C333" s="16" t="s">
        <v>312</v>
      </c>
      <c r="D333" s="21" t="s">
        <v>321</v>
      </c>
      <c r="E333" s="16" t="s">
        <v>322</v>
      </c>
      <c r="F333" s="21" t="s">
        <v>65</v>
      </c>
      <c r="G333" s="16" t="s">
        <v>66</v>
      </c>
      <c r="H333" s="46" t="n">
        <f aca="false">INDEX(A_Scoring_Model!$C$5:$C$10,MATCH(F333,A_Scoring_Model!$A$5:$A$10,0))</f>
        <v>0.1</v>
      </c>
      <c r="I333" s="16" t="s">
        <v>449</v>
      </c>
      <c r="J333" s="16" t="s">
        <v>483</v>
      </c>
      <c r="K333" s="21" t="s">
        <v>451</v>
      </c>
      <c r="L333" s="16" t="s">
        <v>461</v>
      </c>
      <c r="M333" s="21" t="s">
        <v>462</v>
      </c>
      <c r="N333" s="49" t="n">
        <v>0</v>
      </c>
      <c r="O333" s="49"/>
      <c r="P333" s="16" t="s">
        <v>446</v>
      </c>
      <c r="Q333" s="16" t="s">
        <v>479</v>
      </c>
      <c r="R333" s="16"/>
    </row>
    <row r="334" customFormat="false" ht="23.85" hidden="false" customHeight="false" outlineLevel="0" collapsed="false">
      <c r="A334" s="45" t="s">
        <v>975</v>
      </c>
      <c r="B334" s="21" t="n">
        <v>6</v>
      </c>
      <c r="C334" s="16" t="s">
        <v>312</v>
      </c>
      <c r="D334" s="21" t="s">
        <v>321</v>
      </c>
      <c r="E334" s="16" t="s">
        <v>322</v>
      </c>
      <c r="F334" s="21" t="s">
        <v>65</v>
      </c>
      <c r="G334" s="16" t="s">
        <v>66</v>
      </c>
      <c r="H334" s="46" t="n">
        <f aca="false">INDEX(A_Scoring_Model!$C$5:$C$10,MATCH(F334,A_Scoring_Model!$A$5:$A$10,0))</f>
        <v>0.1</v>
      </c>
      <c r="I334" s="16" t="s">
        <v>449</v>
      </c>
      <c r="J334" s="16" t="s">
        <v>485</v>
      </c>
      <c r="K334" s="21" t="s">
        <v>445</v>
      </c>
      <c r="L334" s="16" t="s">
        <v>434</v>
      </c>
      <c r="M334" s="21" t="s">
        <v>435</v>
      </c>
      <c r="N334" s="19" t="n">
        <v>1</v>
      </c>
      <c r="O334" s="19"/>
      <c r="P334" s="16" t="s">
        <v>446</v>
      </c>
      <c r="Q334" s="16" t="s">
        <v>479</v>
      </c>
      <c r="R334" s="16"/>
    </row>
    <row r="335" customFormat="false" ht="23.85" hidden="false" customHeight="false" outlineLevel="0" collapsed="false">
      <c r="A335" s="45" t="s">
        <v>976</v>
      </c>
      <c r="B335" s="21" t="n">
        <v>6</v>
      </c>
      <c r="C335" s="16" t="s">
        <v>312</v>
      </c>
      <c r="D335" s="21" t="s">
        <v>321</v>
      </c>
      <c r="E335" s="16" t="s">
        <v>322</v>
      </c>
      <c r="F335" s="21" t="s">
        <v>65</v>
      </c>
      <c r="G335" s="16" t="s">
        <v>66</v>
      </c>
      <c r="H335" s="46" t="n">
        <f aca="false">INDEX(A_Scoring_Model!$C$5:$C$10,MATCH(F335,A_Scoring_Model!$A$5:$A$10,0))</f>
        <v>0.1</v>
      </c>
      <c r="I335" s="16" t="s">
        <v>449</v>
      </c>
      <c r="J335" s="16" t="s">
        <v>487</v>
      </c>
      <c r="K335" s="21" t="s">
        <v>445</v>
      </c>
      <c r="L335" s="16" t="s">
        <v>434</v>
      </c>
      <c r="M335" s="21" t="s">
        <v>435</v>
      </c>
      <c r="N335" s="19" t="n">
        <v>1</v>
      </c>
      <c r="O335" s="19"/>
      <c r="P335" s="16" t="s">
        <v>446</v>
      </c>
      <c r="Q335" s="16" t="s">
        <v>479</v>
      </c>
      <c r="R335" s="16"/>
    </row>
    <row r="336" customFormat="false" ht="23.85" hidden="false" customHeight="false" outlineLevel="0" collapsed="false">
      <c r="A336" s="37" t="s">
        <v>977</v>
      </c>
      <c r="B336" s="38" t="n">
        <v>6</v>
      </c>
      <c r="C336" s="39" t="s">
        <v>312</v>
      </c>
      <c r="D336" s="38" t="s">
        <v>328</v>
      </c>
      <c r="E336" s="39" t="s">
        <v>329</v>
      </c>
      <c r="F336" s="38" t="s">
        <v>50</v>
      </c>
      <c r="G336" s="39" t="s">
        <v>51</v>
      </c>
      <c r="H336" s="40" t="n">
        <f aca="false">INDEX(A_Scoring_Model!$C$5:$C$10,MATCH(F336,A_Scoring_Model!$A$5:$A$10,0))</f>
        <v>0.3</v>
      </c>
      <c r="I336" s="39" t="s">
        <v>431</v>
      </c>
      <c r="J336" s="39" t="s">
        <v>978</v>
      </c>
      <c r="K336" s="38" t="s">
        <v>433</v>
      </c>
      <c r="L336" s="39" t="s">
        <v>434</v>
      </c>
      <c r="M336" s="38" t="s">
        <v>435</v>
      </c>
      <c r="N336" s="41" t="n">
        <v>0.7</v>
      </c>
      <c r="O336" s="41" t="n">
        <v>0.55</v>
      </c>
      <c r="P336" s="39" t="s">
        <v>436</v>
      </c>
      <c r="Q336" s="39" t="s">
        <v>437</v>
      </c>
      <c r="R336" s="39" t="s">
        <v>333</v>
      </c>
    </row>
    <row r="337" customFormat="false" ht="23.85" hidden="false" customHeight="false" outlineLevel="0" collapsed="false">
      <c r="A337" s="37" t="s">
        <v>979</v>
      </c>
      <c r="B337" s="38" t="n">
        <v>6</v>
      </c>
      <c r="C337" s="39" t="s">
        <v>312</v>
      </c>
      <c r="D337" s="38" t="s">
        <v>328</v>
      </c>
      <c r="E337" s="39" t="s">
        <v>329</v>
      </c>
      <c r="F337" s="38" t="s">
        <v>50</v>
      </c>
      <c r="G337" s="39" t="s">
        <v>51</v>
      </c>
      <c r="H337" s="40" t="n">
        <f aca="false">INDEX(A_Scoring_Model!$C$5:$C$10,MATCH(F337,A_Scoring_Model!$A$5:$A$10,0))</f>
        <v>0.3</v>
      </c>
      <c r="I337" s="39" t="s">
        <v>431</v>
      </c>
      <c r="J337" s="39" t="s">
        <v>980</v>
      </c>
      <c r="K337" s="38" t="s">
        <v>433</v>
      </c>
      <c r="L337" s="39" t="s">
        <v>434</v>
      </c>
      <c r="M337" s="38" t="s">
        <v>435</v>
      </c>
      <c r="N337" s="41" t="n">
        <v>0.85</v>
      </c>
      <c r="O337" s="41" t="n">
        <v>0.75</v>
      </c>
      <c r="P337" s="39" t="s">
        <v>436</v>
      </c>
      <c r="Q337" s="39" t="s">
        <v>437</v>
      </c>
      <c r="R337" s="39" t="s">
        <v>333</v>
      </c>
    </row>
    <row r="338" customFormat="false" ht="23.85" hidden="false" customHeight="false" outlineLevel="0" collapsed="false">
      <c r="A338" s="37" t="s">
        <v>981</v>
      </c>
      <c r="B338" s="38" t="n">
        <v>6</v>
      </c>
      <c r="C338" s="39" t="s">
        <v>312</v>
      </c>
      <c r="D338" s="38" t="s">
        <v>328</v>
      </c>
      <c r="E338" s="39" t="s">
        <v>329</v>
      </c>
      <c r="F338" s="38" t="s">
        <v>50</v>
      </c>
      <c r="G338" s="39" t="s">
        <v>51</v>
      </c>
      <c r="H338" s="40" t="n">
        <f aca="false">INDEX(A_Scoring_Model!$C$5:$C$10,MATCH(F338,A_Scoring_Model!$A$5:$A$10,0))</f>
        <v>0.3</v>
      </c>
      <c r="I338" s="39" t="s">
        <v>431</v>
      </c>
      <c r="J338" s="39" t="s">
        <v>982</v>
      </c>
      <c r="K338" s="38" t="s">
        <v>490</v>
      </c>
      <c r="L338" s="39" t="s">
        <v>434</v>
      </c>
      <c r="M338" s="38" t="s">
        <v>435</v>
      </c>
      <c r="N338" s="42" t="n">
        <v>0.8</v>
      </c>
      <c r="O338" s="42" t="n">
        <v>0.65</v>
      </c>
      <c r="P338" s="39" t="s">
        <v>436</v>
      </c>
      <c r="Q338" s="39" t="s">
        <v>437</v>
      </c>
      <c r="R338" s="39" t="s">
        <v>333</v>
      </c>
    </row>
    <row r="339" customFormat="false" ht="23.85" hidden="false" customHeight="false" outlineLevel="0" collapsed="false">
      <c r="A339" s="37" t="s">
        <v>983</v>
      </c>
      <c r="B339" s="38" t="n">
        <v>6</v>
      </c>
      <c r="C339" s="39" t="s">
        <v>312</v>
      </c>
      <c r="D339" s="38" t="s">
        <v>328</v>
      </c>
      <c r="E339" s="39" t="s">
        <v>329</v>
      </c>
      <c r="F339" s="38" t="s">
        <v>53</v>
      </c>
      <c r="G339" s="39" t="s">
        <v>54</v>
      </c>
      <c r="H339" s="40" t="n">
        <f aca="false">INDEX(A_Scoring_Model!$C$5:$C$10,MATCH(F339,A_Scoring_Model!$A$5:$A$10,0))</f>
        <v>0.2</v>
      </c>
      <c r="I339" s="39" t="s">
        <v>431</v>
      </c>
      <c r="J339" s="39" t="s">
        <v>984</v>
      </c>
      <c r="K339" s="38" t="s">
        <v>445</v>
      </c>
      <c r="L339" s="39" t="s">
        <v>434</v>
      </c>
      <c r="M339" s="38" t="s">
        <v>435</v>
      </c>
      <c r="N339" s="43" t="n">
        <v>1</v>
      </c>
      <c r="O339" s="43"/>
      <c r="P339" s="39" t="s">
        <v>446</v>
      </c>
      <c r="Q339" s="39" t="s">
        <v>447</v>
      </c>
      <c r="R339" s="39"/>
    </row>
    <row r="340" customFormat="false" ht="23.85" hidden="false" customHeight="false" outlineLevel="0" collapsed="false">
      <c r="A340" s="37" t="s">
        <v>985</v>
      </c>
      <c r="B340" s="38" t="n">
        <v>6</v>
      </c>
      <c r="C340" s="39" t="s">
        <v>312</v>
      </c>
      <c r="D340" s="38" t="s">
        <v>328</v>
      </c>
      <c r="E340" s="39" t="s">
        <v>329</v>
      </c>
      <c r="F340" s="38" t="s">
        <v>53</v>
      </c>
      <c r="G340" s="39" t="s">
        <v>54</v>
      </c>
      <c r="H340" s="40" t="n">
        <f aca="false">INDEX(A_Scoring_Model!$C$5:$C$10,MATCH(F340,A_Scoring_Model!$A$5:$A$10,0))</f>
        <v>0.2</v>
      </c>
      <c r="I340" s="39" t="s">
        <v>449</v>
      </c>
      <c r="J340" s="39" t="s">
        <v>450</v>
      </c>
      <c r="K340" s="38" t="s">
        <v>451</v>
      </c>
      <c r="L340" s="39" t="s">
        <v>434</v>
      </c>
      <c r="M340" s="38" t="s">
        <v>435</v>
      </c>
      <c r="N340" s="44" t="n">
        <v>3</v>
      </c>
      <c r="O340" s="44" t="n">
        <v>2</v>
      </c>
      <c r="P340" s="39" t="s">
        <v>436</v>
      </c>
      <c r="Q340" s="39" t="s">
        <v>447</v>
      </c>
      <c r="R340" s="39"/>
    </row>
    <row r="341" customFormat="false" ht="23.85" hidden="false" customHeight="false" outlineLevel="0" collapsed="false">
      <c r="A341" s="37" t="s">
        <v>986</v>
      </c>
      <c r="B341" s="38" t="n">
        <v>6</v>
      </c>
      <c r="C341" s="39" t="s">
        <v>312</v>
      </c>
      <c r="D341" s="38" t="s">
        <v>328</v>
      </c>
      <c r="E341" s="39" t="s">
        <v>329</v>
      </c>
      <c r="F341" s="38" t="s">
        <v>53</v>
      </c>
      <c r="G341" s="39" t="s">
        <v>54</v>
      </c>
      <c r="H341" s="40" t="n">
        <f aca="false">INDEX(A_Scoring_Model!$C$5:$C$10,MATCH(F341,A_Scoring_Model!$A$5:$A$10,0))</f>
        <v>0.2</v>
      </c>
      <c r="I341" s="39" t="s">
        <v>449</v>
      </c>
      <c r="J341" s="39" t="s">
        <v>453</v>
      </c>
      <c r="K341" s="38" t="s">
        <v>445</v>
      </c>
      <c r="L341" s="39" t="s">
        <v>434</v>
      </c>
      <c r="M341" s="38" t="s">
        <v>435</v>
      </c>
      <c r="N341" s="43" t="n">
        <v>1</v>
      </c>
      <c r="O341" s="43"/>
      <c r="P341" s="39" t="s">
        <v>446</v>
      </c>
      <c r="Q341" s="39" t="s">
        <v>447</v>
      </c>
      <c r="R341" s="39"/>
    </row>
    <row r="342" customFormat="false" ht="23.85" hidden="false" customHeight="false" outlineLevel="0" collapsed="false">
      <c r="A342" s="37" t="s">
        <v>987</v>
      </c>
      <c r="B342" s="38" t="n">
        <v>6</v>
      </c>
      <c r="C342" s="39" t="s">
        <v>312</v>
      </c>
      <c r="D342" s="38" t="s">
        <v>328</v>
      </c>
      <c r="E342" s="39" t="s">
        <v>329</v>
      </c>
      <c r="F342" s="38" t="s">
        <v>56</v>
      </c>
      <c r="G342" s="39" t="s">
        <v>57</v>
      </c>
      <c r="H342" s="40" t="n">
        <f aca="false">INDEX(A_Scoring_Model!$C$5:$C$10,MATCH(F342,A_Scoring_Model!$A$5:$A$10,0))</f>
        <v>0.15</v>
      </c>
      <c r="I342" s="39" t="s">
        <v>431</v>
      </c>
      <c r="J342" s="39" t="s">
        <v>988</v>
      </c>
      <c r="K342" s="38" t="s">
        <v>503</v>
      </c>
      <c r="L342" s="39" t="s">
        <v>461</v>
      </c>
      <c r="M342" s="38" t="s">
        <v>462</v>
      </c>
      <c r="N342" s="44" t="n">
        <v>10</v>
      </c>
      <c r="O342" s="44"/>
      <c r="P342" s="39" t="s">
        <v>446</v>
      </c>
      <c r="Q342" s="39" t="s">
        <v>457</v>
      </c>
      <c r="R342" s="39"/>
    </row>
    <row r="343" customFormat="false" ht="23.85" hidden="false" customHeight="false" outlineLevel="0" collapsed="false">
      <c r="A343" s="37" t="s">
        <v>989</v>
      </c>
      <c r="B343" s="38" t="n">
        <v>6</v>
      </c>
      <c r="C343" s="39" t="s">
        <v>312</v>
      </c>
      <c r="D343" s="38" t="s">
        <v>328</v>
      </c>
      <c r="E343" s="39" t="s">
        <v>329</v>
      </c>
      <c r="F343" s="38" t="s">
        <v>56</v>
      </c>
      <c r="G343" s="39" t="s">
        <v>57</v>
      </c>
      <c r="H343" s="40" t="n">
        <f aca="false">INDEX(A_Scoring_Model!$C$5:$C$10,MATCH(F343,A_Scoring_Model!$A$5:$A$10,0))</f>
        <v>0.15</v>
      </c>
      <c r="I343" s="39" t="s">
        <v>449</v>
      </c>
      <c r="J343" s="39" t="s">
        <v>464</v>
      </c>
      <c r="K343" s="38" t="s">
        <v>433</v>
      </c>
      <c r="L343" s="39" t="s">
        <v>461</v>
      </c>
      <c r="M343" s="38" t="s">
        <v>462</v>
      </c>
      <c r="N343" s="41" t="n">
        <v>0.2</v>
      </c>
      <c r="O343" s="41" t="n">
        <v>0.4</v>
      </c>
      <c r="P343" s="39" t="s">
        <v>436</v>
      </c>
      <c r="Q343" s="39" t="s">
        <v>457</v>
      </c>
      <c r="R343" s="39"/>
    </row>
    <row r="344" customFormat="false" ht="23.85" hidden="false" customHeight="false" outlineLevel="0" collapsed="false">
      <c r="A344" s="37" t="s">
        <v>990</v>
      </c>
      <c r="B344" s="38" t="n">
        <v>6</v>
      </c>
      <c r="C344" s="39" t="s">
        <v>312</v>
      </c>
      <c r="D344" s="38" t="s">
        <v>328</v>
      </c>
      <c r="E344" s="39" t="s">
        <v>329</v>
      </c>
      <c r="F344" s="38" t="s">
        <v>59</v>
      </c>
      <c r="G344" s="39" t="s">
        <v>60</v>
      </c>
      <c r="H344" s="40" t="n">
        <f aca="false">INDEX(A_Scoring_Model!$C$5:$C$10,MATCH(F344,A_Scoring_Model!$A$5:$A$10,0))</f>
        <v>0.1</v>
      </c>
      <c r="I344" s="39" t="s">
        <v>431</v>
      </c>
      <c r="J344" s="39" t="s">
        <v>991</v>
      </c>
      <c r="K344" s="38" t="s">
        <v>433</v>
      </c>
      <c r="L344" s="39" t="s">
        <v>434</v>
      </c>
      <c r="M344" s="38" t="s">
        <v>435</v>
      </c>
      <c r="N344" s="41" t="n">
        <v>1</v>
      </c>
      <c r="O344" s="41"/>
      <c r="P344" s="39" t="s">
        <v>446</v>
      </c>
      <c r="Q344" s="39" t="s">
        <v>467</v>
      </c>
      <c r="R344" s="39"/>
    </row>
    <row r="345" customFormat="false" ht="23.85" hidden="false" customHeight="false" outlineLevel="0" collapsed="false">
      <c r="A345" s="37" t="s">
        <v>992</v>
      </c>
      <c r="B345" s="38" t="n">
        <v>6</v>
      </c>
      <c r="C345" s="39" t="s">
        <v>312</v>
      </c>
      <c r="D345" s="38" t="s">
        <v>328</v>
      </c>
      <c r="E345" s="39" t="s">
        <v>329</v>
      </c>
      <c r="F345" s="38" t="s">
        <v>59</v>
      </c>
      <c r="G345" s="39" t="s">
        <v>60</v>
      </c>
      <c r="H345" s="40" t="n">
        <f aca="false">INDEX(A_Scoring_Model!$C$5:$C$10,MATCH(F345,A_Scoring_Model!$A$5:$A$10,0))</f>
        <v>0.1</v>
      </c>
      <c r="I345" s="39" t="s">
        <v>449</v>
      </c>
      <c r="J345" s="39" t="s">
        <v>471</v>
      </c>
      <c r="K345" s="38" t="s">
        <v>433</v>
      </c>
      <c r="L345" s="39" t="s">
        <v>434</v>
      </c>
      <c r="M345" s="38" t="s">
        <v>435</v>
      </c>
      <c r="N345" s="41" t="n">
        <v>0.995</v>
      </c>
      <c r="O345" s="41" t="n">
        <v>0.99</v>
      </c>
      <c r="P345" s="39" t="s">
        <v>436</v>
      </c>
      <c r="Q345" s="39" t="s">
        <v>467</v>
      </c>
      <c r="R345" s="39"/>
    </row>
    <row r="346" customFormat="false" ht="23.85" hidden="false" customHeight="false" outlineLevel="0" collapsed="false">
      <c r="A346" s="37" t="s">
        <v>993</v>
      </c>
      <c r="B346" s="38" t="n">
        <v>6</v>
      </c>
      <c r="C346" s="39" t="s">
        <v>312</v>
      </c>
      <c r="D346" s="38" t="s">
        <v>328</v>
      </c>
      <c r="E346" s="39" t="s">
        <v>329</v>
      </c>
      <c r="F346" s="38" t="s">
        <v>62</v>
      </c>
      <c r="G346" s="39" t="s">
        <v>63</v>
      </c>
      <c r="H346" s="40" t="n">
        <f aca="false">INDEX(A_Scoring_Model!$C$5:$C$10,MATCH(F346,A_Scoring_Model!$A$5:$A$10,0))</f>
        <v>0.15</v>
      </c>
      <c r="I346" s="39" t="s">
        <v>431</v>
      </c>
      <c r="J346" s="39" t="s">
        <v>994</v>
      </c>
      <c r="K346" s="38" t="s">
        <v>433</v>
      </c>
      <c r="L346" s="39" t="s">
        <v>434</v>
      </c>
      <c r="M346" s="38" t="s">
        <v>435</v>
      </c>
      <c r="N346" s="41" t="n">
        <v>0.4</v>
      </c>
      <c r="O346" s="41"/>
      <c r="P346" s="39" t="s">
        <v>446</v>
      </c>
      <c r="Q346" s="39" t="s">
        <v>474</v>
      </c>
      <c r="R346" s="39"/>
    </row>
    <row r="347" customFormat="false" ht="23.85" hidden="false" customHeight="false" outlineLevel="0" collapsed="false">
      <c r="A347" s="37" t="s">
        <v>995</v>
      </c>
      <c r="B347" s="38" t="n">
        <v>6</v>
      </c>
      <c r="C347" s="39" t="s">
        <v>312</v>
      </c>
      <c r="D347" s="38" t="s">
        <v>328</v>
      </c>
      <c r="E347" s="39" t="s">
        <v>329</v>
      </c>
      <c r="F347" s="38" t="s">
        <v>65</v>
      </c>
      <c r="G347" s="39" t="s">
        <v>66</v>
      </c>
      <c r="H347" s="40" t="n">
        <f aca="false">INDEX(A_Scoring_Model!$C$5:$C$10,MATCH(F347,A_Scoring_Model!$A$5:$A$10,0))</f>
        <v>0.1</v>
      </c>
      <c r="I347" s="39" t="s">
        <v>449</v>
      </c>
      <c r="J347" s="39" t="s">
        <v>478</v>
      </c>
      <c r="K347" s="38" t="s">
        <v>433</v>
      </c>
      <c r="L347" s="39" t="s">
        <v>434</v>
      </c>
      <c r="M347" s="38" t="s">
        <v>435</v>
      </c>
      <c r="N347" s="41" t="n">
        <v>0.8</v>
      </c>
      <c r="O347" s="41" t="n">
        <v>0.6</v>
      </c>
      <c r="P347" s="39" t="s">
        <v>436</v>
      </c>
      <c r="Q347" s="39" t="s">
        <v>479</v>
      </c>
      <c r="R347" s="39"/>
    </row>
    <row r="348" customFormat="false" ht="23.85" hidden="false" customHeight="false" outlineLevel="0" collapsed="false">
      <c r="A348" s="37" t="s">
        <v>996</v>
      </c>
      <c r="B348" s="38" t="n">
        <v>6</v>
      </c>
      <c r="C348" s="39" t="s">
        <v>312</v>
      </c>
      <c r="D348" s="38" t="s">
        <v>328</v>
      </c>
      <c r="E348" s="39" t="s">
        <v>329</v>
      </c>
      <c r="F348" s="38" t="s">
        <v>65</v>
      </c>
      <c r="G348" s="39" t="s">
        <v>66</v>
      </c>
      <c r="H348" s="40" t="n">
        <f aca="false">INDEX(A_Scoring_Model!$C$5:$C$10,MATCH(F348,A_Scoring_Model!$A$5:$A$10,0))</f>
        <v>0.1</v>
      </c>
      <c r="I348" s="39" t="s">
        <v>449</v>
      </c>
      <c r="J348" s="39" t="s">
        <v>481</v>
      </c>
      <c r="K348" s="38" t="s">
        <v>451</v>
      </c>
      <c r="L348" s="39" t="s">
        <v>461</v>
      </c>
      <c r="M348" s="38" t="s">
        <v>462</v>
      </c>
      <c r="N348" s="44" t="n">
        <v>0</v>
      </c>
      <c r="O348" s="44"/>
      <c r="P348" s="39" t="s">
        <v>446</v>
      </c>
      <c r="Q348" s="39" t="s">
        <v>479</v>
      </c>
      <c r="R348" s="39"/>
    </row>
    <row r="349" customFormat="false" ht="23.85" hidden="false" customHeight="false" outlineLevel="0" collapsed="false">
      <c r="A349" s="37" t="s">
        <v>997</v>
      </c>
      <c r="B349" s="38" t="n">
        <v>6</v>
      </c>
      <c r="C349" s="39" t="s">
        <v>312</v>
      </c>
      <c r="D349" s="38" t="s">
        <v>328</v>
      </c>
      <c r="E349" s="39" t="s">
        <v>329</v>
      </c>
      <c r="F349" s="38" t="s">
        <v>65</v>
      </c>
      <c r="G349" s="39" t="s">
        <v>66</v>
      </c>
      <c r="H349" s="40" t="n">
        <f aca="false">INDEX(A_Scoring_Model!$C$5:$C$10,MATCH(F349,A_Scoring_Model!$A$5:$A$10,0))</f>
        <v>0.1</v>
      </c>
      <c r="I349" s="39" t="s">
        <v>449</v>
      </c>
      <c r="J349" s="39" t="s">
        <v>483</v>
      </c>
      <c r="K349" s="38" t="s">
        <v>451</v>
      </c>
      <c r="L349" s="39" t="s">
        <v>461</v>
      </c>
      <c r="M349" s="38" t="s">
        <v>462</v>
      </c>
      <c r="N349" s="44" t="n">
        <v>0</v>
      </c>
      <c r="O349" s="44"/>
      <c r="P349" s="39" t="s">
        <v>446</v>
      </c>
      <c r="Q349" s="39" t="s">
        <v>479</v>
      </c>
      <c r="R349" s="39"/>
    </row>
    <row r="350" customFormat="false" ht="23.85" hidden="false" customHeight="false" outlineLevel="0" collapsed="false">
      <c r="A350" s="37" t="s">
        <v>998</v>
      </c>
      <c r="B350" s="38" t="n">
        <v>6</v>
      </c>
      <c r="C350" s="39" t="s">
        <v>312</v>
      </c>
      <c r="D350" s="38" t="s">
        <v>328</v>
      </c>
      <c r="E350" s="39" t="s">
        <v>329</v>
      </c>
      <c r="F350" s="38" t="s">
        <v>65</v>
      </c>
      <c r="G350" s="39" t="s">
        <v>66</v>
      </c>
      <c r="H350" s="40" t="n">
        <f aca="false">INDEX(A_Scoring_Model!$C$5:$C$10,MATCH(F350,A_Scoring_Model!$A$5:$A$10,0))</f>
        <v>0.1</v>
      </c>
      <c r="I350" s="39" t="s">
        <v>449</v>
      </c>
      <c r="J350" s="39" t="s">
        <v>485</v>
      </c>
      <c r="K350" s="38" t="s">
        <v>445</v>
      </c>
      <c r="L350" s="39" t="s">
        <v>434</v>
      </c>
      <c r="M350" s="38" t="s">
        <v>435</v>
      </c>
      <c r="N350" s="43" t="n">
        <v>1</v>
      </c>
      <c r="O350" s="43"/>
      <c r="P350" s="39" t="s">
        <v>446</v>
      </c>
      <c r="Q350" s="39" t="s">
        <v>479</v>
      </c>
      <c r="R350" s="39"/>
    </row>
    <row r="351" customFormat="false" ht="23.85" hidden="false" customHeight="false" outlineLevel="0" collapsed="false">
      <c r="A351" s="37" t="s">
        <v>999</v>
      </c>
      <c r="B351" s="38" t="n">
        <v>6</v>
      </c>
      <c r="C351" s="39" t="s">
        <v>312</v>
      </c>
      <c r="D351" s="38" t="s">
        <v>328</v>
      </c>
      <c r="E351" s="39" t="s">
        <v>329</v>
      </c>
      <c r="F351" s="38" t="s">
        <v>65</v>
      </c>
      <c r="G351" s="39" t="s">
        <v>66</v>
      </c>
      <c r="H351" s="40" t="n">
        <f aca="false">INDEX(A_Scoring_Model!$C$5:$C$10,MATCH(F351,A_Scoring_Model!$A$5:$A$10,0))</f>
        <v>0.1</v>
      </c>
      <c r="I351" s="39" t="s">
        <v>449</v>
      </c>
      <c r="J351" s="39" t="s">
        <v>487</v>
      </c>
      <c r="K351" s="38" t="s">
        <v>445</v>
      </c>
      <c r="L351" s="39" t="s">
        <v>434</v>
      </c>
      <c r="M351" s="38" t="s">
        <v>435</v>
      </c>
      <c r="N351" s="43" t="n">
        <v>1</v>
      </c>
      <c r="O351" s="43"/>
      <c r="P351" s="39" t="s">
        <v>446</v>
      </c>
      <c r="Q351" s="39" t="s">
        <v>479</v>
      </c>
      <c r="R351" s="39"/>
    </row>
    <row r="352" customFormat="false" ht="23.85" hidden="false" customHeight="false" outlineLevel="0" collapsed="false">
      <c r="A352" s="45" t="s">
        <v>1000</v>
      </c>
      <c r="B352" s="21" t="n">
        <v>7</v>
      </c>
      <c r="C352" s="16" t="s">
        <v>335</v>
      </c>
      <c r="D352" s="21" t="s">
        <v>336</v>
      </c>
      <c r="E352" s="16" t="s">
        <v>337</v>
      </c>
      <c r="F352" s="21" t="s">
        <v>50</v>
      </c>
      <c r="G352" s="16" t="s">
        <v>51</v>
      </c>
      <c r="H352" s="46" t="n">
        <f aca="false">INDEX(A_Scoring_Model!$C$5:$C$10,MATCH(F352,A_Scoring_Model!$A$5:$A$10,0))</f>
        <v>0.3</v>
      </c>
      <c r="I352" s="16" t="s">
        <v>431</v>
      </c>
      <c r="J352" s="16" t="s">
        <v>1001</v>
      </c>
      <c r="K352" s="21" t="s">
        <v>433</v>
      </c>
      <c r="L352" s="16" t="s">
        <v>434</v>
      </c>
      <c r="M352" s="21" t="s">
        <v>435</v>
      </c>
      <c r="N352" s="48" t="n">
        <v>0.9</v>
      </c>
      <c r="O352" s="48" t="n">
        <v>0.8</v>
      </c>
      <c r="P352" s="16" t="s">
        <v>436</v>
      </c>
      <c r="Q352" s="16" t="s">
        <v>437</v>
      </c>
      <c r="R352" s="16" t="s">
        <v>341</v>
      </c>
    </row>
    <row r="353" customFormat="false" ht="23.85" hidden="false" customHeight="false" outlineLevel="0" collapsed="false">
      <c r="A353" s="45" t="s">
        <v>1002</v>
      </c>
      <c r="B353" s="21" t="n">
        <v>7</v>
      </c>
      <c r="C353" s="16" t="s">
        <v>335</v>
      </c>
      <c r="D353" s="21" t="s">
        <v>336</v>
      </c>
      <c r="E353" s="16" t="s">
        <v>337</v>
      </c>
      <c r="F353" s="21" t="s">
        <v>50</v>
      </c>
      <c r="G353" s="16" t="s">
        <v>51</v>
      </c>
      <c r="H353" s="46" t="n">
        <f aca="false">INDEX(A_Scoring_Model!$C$5:$C$10,MATCH(F353,A_Scoring_Model!$A$5:$A$10,0))</f>
        <v>0.3</v>
      </c>
      <c r="I353" s="16" t="s">
        <v>431</v>
      </c>
      <c r="J353" s="16" t="s">
        <v>1003</v>
      </c>
      <c r="K353" s="21" t="s">
        <v>433</v>
      </c>
      <c r="L353" s="16" t="s">
        <v>434</v>
      </c>
      <c r="M353" s="21" t="s">
        <v>435</v>
      </c>
      <c r="N353" s="48" t="n">
        <v>1</v>
      </c>
      <c r="O353" s="48" t="n">
        <v>1</v>
      </c>
      <c r="P353" s="16" t="s">
        <v>436</v>
      </c>
      <c r="Q353" s="16" t="s">
        <v>437</v>
      </c>
      <c r="R353" s="16" t="s">
        <v>341</v>
      </c>
    </row>
    <row r="354" customFormat="false" ht="23.85" hidden="false" customHeight="false" outlineLevel="0" collapsed="false">
      <c r="A354" s="45" t="s">
        <v>1004</v>
      </c>
      <c r="B354" s="21" t="n">
        <v>7</v>
      </c>
      <c r="C354" s="16" t="s">
        <v>335</v>
      </c>
      <c r="D354" s="21" t="s">
        <v>336</v>
      </c>
      <c r="E354" s="16" t="s">
        <v>337</v>
      </c>
      <c r="F354" s="21" t="s">
        <v>50</v>
      </c>
      <c r="G354" s="16" t="s">
        <v>51</v>
      </c>
      <c r="H354" s="46" t="n">
        <f aca="false">INDEX(A_Scoring_Model!$C$5:$C$10,MATCH(F354,A_Scoring_Model!$A$5:$A$10,0))</f>
        <v>0.3</v>
      </c>
      <c r="I354" s="16" t="s">
        <v>431</v>
      </c>
      <c r="J354" s="16" t="s">
        <v>1005</v>
      </c>
      <c r="K354" s="21" t="s">
        <v>551</v>
      </c>
      <c r="L354" s="16" t="s">
        <v>434</v>
      </c>
      <c r="M354" s="21" t="s">
        <v>435</v>
      </c>
      <c r="N354" s="50" t="n">
        <v>4</v>
      </c>
      <c r="O354" s="50" t="n">
        <v>3.3</v>
      </c>
      <c r="P354" s="16" t="s">
        <v>436</v>
      </c>
      <c r="Q354" s="16" t="s">
        <v>437</v>
      </c>
      <c r="R354" s="16" t="s">
        <v>341</v>
      </c>
    </row>
    <row r="355" customFormat="false" ht="23.85" hidden="false" customHeight="false" outlineLevel="0" collapsed="false">
      <c r="A355" s="45" t="s">
        <v>1006</v>
      </c>
      <c r="B355" s="21" t="n">
        <v>7</v>
      </c>
      <c r="C355" s="16" t="s">
        <v>335</v>
      </c>
      <c r="D355" s="21" t="s">
        <v>336</v>
      </c>
      <c r="E355" s="16" t="s">
        <v>337</v>
      </c>
      <c r="F355" s="21" t="s">
        <v>53</v>
      </c>
      <c r="G355" s="16" t="s">
        <v>54</v>
      </c>
      <c r="H355" s="46" t="n">
        <f aca="false">INDEX(A_Scoring_Model!$C$5:$C$10,MATCH(F355,A_Scoring_Model!$A$5:$A$10,0))</f>
        <v>0.2</v>
      </c>
      <c r="I355" s="16" t="s">
        <v>431</v>
      </c>
      <c r="J355" s="16" t="s">
        <v>1007</v>
      </c>
      <c r="K355" s="21" t="s">
        <v>445</v>
      </c>
      <c r="L355" s="16" t="s">
        <v>434</v>
      </c>
      <c r="M355" s="21" t="s">
        <v>435</v>
      </c>
      <c r="N355" s="19" t="n">
        <v>1</v>
      </c>
      <c r="O355" s="19"/>
      <c r="P355" s="16" t="s">
        <v>446</v>
      </c>
      <c r="Q355" s="16" t="s">
        <v>447</v>
      </c>
      <c r="R355" s="16"/>
    </row>
    <row r="356" customFormat="false" ht="23.85" hidden="false" customHeight="false" outlineLevel="0" collapsed="false">
      <c r="A356" s="45" t="s">
        <v>1008</v>
      </c>
      <c r="B356" s="21" t="n">
        <v>7</v>
      </c>
      <c r="C356" s="16" t="s">
        <v>335</v>
      </c>
      <c r="D356" s="21" t="s">
        <v>336</v>
      </c>
      <c r="E356" s="16" t="s">
        <v>337</v>
      </c>
      <c r="F356" s="21" t="s">
        <v>53</v>
      </c>
      <c r="G356" s="16" t="s">
        <v>54</v>
      </c>
      <c r="H356" s="46" t="n">
        <f aca="false">INDEX(A_Scoring_Model!$C$5:$C$10,MATCH(F356,A_Scoring_Model!$A$5:$A$10,0))</f>
        <v>0.2</v>
      </c>
      <c r="I356" s="16" t="s">
        <v>449</v>
      </c>
      <c r="J356" s="16" t="s">
        <v>450</v>
      </c>
      <c r="K356" s="21" t="s">
        <v>451</v>
      </c>
      <c r="L356" s="16" t="s">
        <v>434</v>
      </c>
      <c r="M356" s="21" t="s">
        <v>435</v>
      </c>
      <c r="N356" s="49" t="n">
        <v>3</v>
      </c>
      <c r="O356" s="49" t="n">
        <v>2</v>
      </c>
      <c r="P356" s="16" t="s">
        <v>436</v>
      </c>
      <c r="Q356" s="16" t="s">
        <v>447</v>
      </c>
      <c r="R356" s="16"/>
    </row>
    <row r="357" customFormat="false" ht="23.85" hidden="false" customHeight="false" outlineLevel="0" collapsed="false">
      <c r="A357" s="45" t="s">
        <v>1009</v>
      </c>
      <c r="B357" s="21" t="n">
        <v>7</v>
      </c>
      <c r="C357" s="16" t="s">
        <v>335</v>
      </c>
      <c r="D357" s="21" t="s">
        <v>336</v>
      </c>
      <c r="E357" s="16" t="s">
        <v>337</v>
      </c>
      <c r="F357" s="21" t="s">
        <v>53</v>
      </c>
      <c r="G357" s="16" t="s">
        <v>54</v>
      </c>
      <c r="H357" s="46" t="n">
        <f aca="false">INDEX(A_Scoring_Model!$C$5:$C$10,MATCH(F357,A_Scoring_Model!$A$5:$A$10,0))</f>
        <v>0.2</v>
      </c>
      <c r="I357" s="16" t="s">
        <v>449</v>
      </c>
      <c r="J357" s="16" t="s">
        <v>453</v>
      </c>
      <c r="K357" s="21" t="s">
        <v>445</v>
      </c>
      <c r="L357" s="16" t="s">
        <v>434</v>
      </c>
      <c r="M357" s="21" t="s">
        <v>435</v>
      </c>
      <c r="N357" s="19" t="n">
        <v>1</v>
      </c>
      <c r="O357" s="19"/>
      <c r="P357" s="16" t="s">
        <v>446</v>
      </c>
      <c r="Q357" s="16" t="s">
        <v>447</v>
      </c>
      <c r="R357" s="16"/>
    </row>
    <row r="358" customFormat="false" ht="23.85" hidden="false" customHeight="false" outlineLevel="0" collapsed="false">
      <c r="A358" s="45" t="s">
        <v>1010</v>
      </c>
      <c r="B358" s="21" t="n">
        <v>7</v>
      </c>
      <c r="C358" s="16" t="s">
        <v>335</v>
      </c>
      <c r="D358" s="21" t="s">
        <v>336</v>
      </c>
      <c r="E358" s="16" t="s">
        <v>337</v>
      </c>
      <c r="F358" s="21" t="s">
        <v>56</v>
      </c>
      <c r="G358" s="16" t="s">
        <v>57</v>
      </c>
      <c r="H358" s="46" t="n">
        <f aca="false">INDEX(A_Scoring_Model!$C$5:$C$10,MATCH(F358,A_Scoring_Model!$A$5:$A$10,0))</f>
        <v>0.15</v>
      </c>
      <c r="I358" s="16" t="s">
        <v>431</v>
      </c>
      <c r="J358" s="16" t="s">
        <v>1011</v>
      </c>
      <c r="K358" s="21" t="s">
        <v>460</v>
      </c>
      <c r="L358" s="16" t="s">
        <v>461</v>
      </c>
      <c r="M358" s="21" t="s">
        <v>462</v>
      </c>
      <c r="N358" s="49" t="n">
        <v>3</v>
      </c>
      <c r="O358" s="49"/>
      <c r="P358" s="16" t="s">
        <v>446</v>
      </c>
      <c r="Q358" s="16" t="s">
        <v>457</v>
      </c>
      <c r="R358" s="16"/>
    </row>
    <row r="359" customFormat="false" ht="23.85" hidden="false" customHeight="false" outlineLevel="0" collapsed="false">
      <c r="A359" s="45" t="s">
        <v>1012</v>
      </c>
      <c r="B359" s="21" t="n">
        <v>7</v>
      </c>
      <c r="C359" s="16" t="s">
        <v>335</v>
      </c>
      <c r="D359" s="21" t="s">
        <v>336</v>
      </c>
      <c r="E359" s="16" t="s">
        <v>337</v>
      </c>
      <c r="F359" s="21" t="s">
        <v>56</v>
      </c>
      <c r="G359" s="16" t="s">
        <v>57</v>
      </c>
      <c r="H359" s="46" t="n">
        <f aca="false">INDEX(A_Scoring_Model!$C$5:$C$10,MATCH(F359,A_Scoring_Model!$A$5:$A$10,0))</f>
        <v>0.15</v>
      </c>
      <c r="I359" s="16" t="s">
        <v>449</v>
      </c>
      <c r="J359" s="16" t="s">
        <v>464</v>
      </c>
      <c r="K359" s="21" t="s">
        <v>433</v>
      </c>
      <c r="L359" s="16" t="s">
        <v>461</v>
      </c>
      <c r="M359" s="21" t="s">
        <v>462</v>
      </c>
      <c r="N359" s="48" t="n">
        <v>0.2</v>
      </c>
      <c r="O359" s="48" t="n">
        <v>0.4</v>
      </c>
      <c r="P359" s="16" t="s">
        <v>436</v>
      </c>
      <c r="Q359" s="16" t="s">
        <v>457</v>
      </c>
      <c r="R359" s="16"/>
    </row>
    <row r="360" customFormat="false" ht="23.85" hidden="false" customHeight="false" outlineLevel="0" collapsed="false">
      <c r="A360" s="45" t="s">
        <v>1013</v>
      </c>
      <c r="B360" s="21" t="n">
        <v>7</v>
      </c>
      <c r="C360" s="16" t="s">
        <v>335</v>
      </c>
      <c r="D360" s="21" t="s">
        <v>336</v>
      </c>
      <c r="E360" s="16" t="s">
        <v>337</v>
      </c>
      <c r="F360" s="21" t="s">
        <v>59</v>
      </c>
      <c r="G360" s="16" t="s">
        <v>60</v>
      </c>
      <c r="H360" s="46" t="n">
        <f aca="false">INDEX(A_Scoring_Model!$C$5:$C$10,MATCH(F360,A_Scoring_Model!$A$5:$A$10,0))</f>
        <v>0.1</v>
      </c>
      <c r="I360" s="16" t="s">
        <v>431</v>
      </c>
      <c r="J360" s="16" t="s">
        <v>1014</v>
      </c>
      <c r="K360" s="21" t="s">
        <v>451</v>
      </c>
      <c r="L360" s="16" t="s">
        <v>461</v>
      </c>
      <c r="M360" s="21" t="s">
        <v>462</v>
      </c>
      <c r="N360" s="49" t="n">
        <v>0</v>
      </c>
      <c r="O360" s="49"/>
      <c r="P360" s="16" t="s">
        <v>446</v>
      </c>
      <c r="Q360" s="16" t="s">
        <v>467</v>
      </c>
      <c r="R360" s="16"/>
    </row>
    <row r="361" customFormat="false" ht="23.85" hidden="false" customHeight="false" outlineLevel="0" collapsed="false">
      <c r="A361" s="45" t="s">
        <v>1015</v>
      </c>
      <c r="B361" s="21" t="n">
        <v>7</v>
      </c>
      <c r="C361" s="16" t="s">
        <v>335</v>
      </c>
      <c r="D361" s="21" t="s">
        <v>336</v>
      </c>
      <c r="E361" s="16" t="s">
        <v>337</v>
      </c>
      <c r="F361" s="21" t="s">
        <v>59</v>
      </c>
      <c r="G361" s="16" t="s">
        <v>60</v>
      </c>
      <c r="H361" s="46" t="n">
        <f aca="false">INDEX(A_Scoring_Model!$C$5:$C$10,MATCH(F361,A_Scoring_Model!$A$5:$A$10,0))</f>
        <v>0.1</v>
      </c>
      <c r="I361" s="16" t="s">
        <v>449</v>
      </c>
      <c r="J361" s="16" t="s">
        <v>471</v>
      </c>
      <c r="K361" s="21" t="s">
        <v>433</v>
      </c>
      <c r="L361" s="16" t="s">
        <v>434</v>
      </c>
      <c r="M361" s="21" t="s">
        <v>435</v>
      </c>
      <c r="N361" s="48" t="n">
        <v>0.995</v>
      </c>
      <c r="O361" s="48" t="n">
        <v>0.99</v>
      </c>
      <c r="P361" s="16" t="s">
        <v>436</v>
      </c>
      <c r="Q361" s="16" t="s">
        <v>467</v>
      </c>
      <c r="R361" s="16"/>
    </row>
    <row r="362" customFormat="false" ht="23.85" hidden="false" customHeight="false" outlineLevel="0" collapsed="false">
      <c r="A362" s="45" t="s">
        <v>1016</v>
      </c>
      <c r="B362" s="21" t="n">
        <v>7</v>
      </c>
      <c r="C362" s="16" t="s">
        <v>335</v>
      </c>
      <c r="D362" s="21" t="s">
        <v>336</v>
      </c>
      <c r="E362" s="16" t="s">
        <v>337</v>
      </c>
      <c r="F362" s="21" t="s">
        <v>62</v>
      </c>
      <c r="G362" s="16" t="s">
        <v>63</v>
      </c>
      <c r="H362" s="46" t="n">
        <f aca="false">INDEX(A_Scoring_Model!$C$5:$C$10,MATCH(F362,A_Scoring_Model!$A$5:$A$10,0))</f>
        <v>0.15</v>
      </c>
      <c r="I362" s="16" t="s">
        <v>431</v>
      </c>
      <c r="J362" s="16" t="s">
        <v>1017</v>
      </c>
      <c r="K362" s="21" t="s">
        <v>433</v>
      </c>
      <c r="L362" s="16" t="s">
        <v>434</v>
      </c>
      <c r="M362" s="21" t="s">
        <v>435</v>
      </c>
      <c r="N362" s="48" t="n">
        <v>0.8</v>
      </c>
      <c r="O362" s="48"/>
      <c r="P362" s="16" t="s">
        <v>446</v>
      </c>
      <c r="Q362" s="16" t="s">
        <v>474</v>
      </c>
      <c r="R362" s="16"/>
    </row>
    <row r="363" customFormat="false" ht="23.85" hidden="false" customHeight="false" outlineLevel="0" collapsed="false">
      <c r="A363" s="45" t="s">
        <v>1018</v>
      </c>
      <c r="B363" s="21" t="n">
        <v>7</v>
      </c>
      <c r="C363" s="16" t="s">
        <v>335</v>
      </c>
      <c r="D363" s="21" t="s">
        <v>336</v>
      </c>
      <c r="E363" s="16" t="s">
        <v>337</v>
      </c>
      <c r="F363" s="21" t="s">
        <v>65</v>
      </c>
      <c r="G363" s="16" t="s">
        <v>66</v>
      </c>
      <c r="H363" s="46" t="n">
        <f aca="false">INDEX(A_Scoring_Model!$C$5:$C$10,MATCH(F363,A_Scoring_Model!$A$5:$A$10,0))</f>
        <v>0.1</v>
      </c>
      <c r="I363" s="16" t="s">
        <v>449</v>
      </c>
      <c r="J363" s="16" t="s">
        <v>478</v>
      </c>
      <c r="K363" s="21" t="s">
        <v>433</v>
      </c>
      <c r="L363" s="16" t="s">
        <v>434</v>
      </c>
      <c r="M363" s="21" t="s">
        <v>435</v>
      </c>
      <c r="N363" s="48" t="n">
        <v>0.8</v>
      </c>
      <c r="O363" s="48" t="n">
        <v>0.6</v>
      </c>
      <c r="P363" s="16" t="s">
        <v>436</v>
      </c>
      <c r="Q363" s="16" t="s">
        <v>479</v>
      </c>
      <c r="R363" s="16"/>
    </row>
    <row r="364" customFormat="false" ht="23.85" hidden="false" customHeight="false" outlineLevel="0" collapsed="false">
      <c r="A364" s="45" t="s">
        <v>1019</v>
      </c>
      <c r="B364" s="21" t="n">
        <v>7</v>
      </c>
      <c r="C364" s="16" t="s">
        <v>335</v>
      </c>
      <c r="D364" s="21" t="s">
        <v>336</v>
      </c>
      <c r="E364" s="16" t="s">
        <v>337</v>
      </c>
      <c r="F364" s="21" t="s">
        <v>65</v>
      </c>
      <c r="G364" s="16" t="s">
        <v>66</v>
      </c>
      <c r="H364" s="46" t="n">
        <f aca="false">INDEX(A_Scoring_Model!$C$5:$C$10,MATCH(F364,A_Scoring_Model!$A$5:$A$10,0))</f>
        <v>0.1</v>
      </c>
      <c r="I364" s="16" t="s">
        <v>449</v>
      </c>
      <c r="J364" s="16" t="s">
        <v>481</v>
      </c>
      <c r="K364" s="21" t="s">
        <v>451</v>
      </c>
      <c r="L364" s="16" t="s">
        <v>461</v>
      </c>
      <c r="M364" s="21" t="s">
        <v>462</v>
      </c>
      <c r="N364" s="49" t="n">
        <v>0</v>
      </c>
      <c r="O364" s="49"/>
      <c r="P364" s="16" t="s">
        <v>446</v>
      </c>
      <c r="Q364" s="16" t="s">
        <v>479</v>
      </c>
      <c r="R364" s="16"/>
    </row>
    <row r="365" customFormat="false" ht="23.85" hidden="false" customHeight="false" outlineLevel="0" collapsed="false">
      <c r="A365" s="45" t="s">
        <v>1020</v>
      </c>
      <c r="B365" s="21" t="n">
        <v>7</v>
      </c>
      <c r="C365" s="16" t="s">
        <v>335</v>
      </c>
      <c r="D365" s="21" t="s">
        <v>336</v>
      </c>
      <c r="E365" s="16" t="s">
        <v>337</v>
      </c>
      <c r="F365" s="21" t="s">
        <v>65</v>
      </c>
      <c r="G365" s="16" t="s">
        <v>66</v>
      </c>
      <c r="H365" s="46" t="n">
        <f aca="false">INDEX(A_Scoring_Model!$C$5:$C$10,MATCH(F365,A_Scoring_Model!$A$5:$A$10,0))</f>
        <v>0.1</v>
      </c>
      <c r="I365" s="16" t="s">
        <v>449</v>
      </c>
      <c r="J365" s="16" t="s">
        <v>483</v>
      </c>
      <c r="K365" s="21" t="s">
        <v>451</v>
      </c>
      <c r="L365" s="16" t="s">
        <v>461</v>
      </c>
      <c r="M365" s="21" t="s">
        <v>462</v>
      </c>
      <c r="N365" s="49" t="n">
        <v>0</v>
      </c>
      <c r="O365" s="49"/>
      <c r="P365" s="16" t="s">
        <v>446</v>
      </c>
      <c r="Q365" s="16" t="s">
        <v>479</v>
      </c>
      <c r="R365" s="16"/>
    </row>
    <row r="366" customFormat="false" ht="23.85" hidden="false" customHeight="false" outlineLevel="0" collapsed="false">
      <c r="A366" s="45" t="s">
        <v>1021</v>
      </c>
      <c r="B366" s="21" t="n">
        <v>7</v>
      </c>
      <c r="C366" s="16" t="s">
        <v>335</v>
      </c>
      <c r="D366" s="21" t="s">
        <v>336</v>
      </c>
      <c r="E366" s="16" t="s">
        <v>337</v>
      </c>
      <c r="F366" s="21" t="s">
        <v>65</v>
      </c>
      <c r="G366" s="16" t="s">
        <v>66</v>
      </c>
      <c r="H366" s="46" t="n">
        <f aca="false">INDEX(A_Scoring_Model!$C$5:$C$10,MATCH(F366,A_Scoring_Model!$A$5:$A$10,0))</f>
        <v>0.1</v>
      </c>
      <c r="I366" s="16" t="s">
        <v>449</v>
      </c>
      <c r="J366" s="16" t="s">
        <v>485</v>
      </c>
      <c r="K366" s="21" t="s">
        <v>445</v>
      </c>
      <c r="L366" s="16" t="s">
        <v>434</v>
      </c>
      <c r="M366" s="21" t="s">
        <v>435</v>
      </c>
      <c r="N366" s="19" t="n">
        <v>1</v>
      </c>
      <c r="O366" s="19"/>
      <c r="P366" s="16" t="s">
        <v>446</v>
      </c>
      <c r="Q366" s="16" t="s">
        <v>479</v>
      </c>
      <c r="R366" s="16"/>
    </row>
    <row r="367" customFormat="false" ht="23.85" hidden="false" customHeight="false" outlineLevel="0" collapsed="false">
      <c r="A367" s="45" t="s">
        <v>1022</v>
      </c>
      <c r="B367" s="21" t="n">
        <v>7</v>
      </c>
      <c r="C367" s="16" t="s">
        <v>335</v>
      </c>
      <c r="D367" s="21" t="s">
        <v>336</v>
      </c>
      <c r="E367" s="16" t="s">
        <v>337</v>
      </c>
      <c r="F367" s="21" t="s">
        <v>65</v>
      </c>
      <c r="G367" s="16" t="s">
        <v>66</v>
      </c>
      <c r="H367" s="46" t="n">
        <f aca="false">INDEX(A_Scoring_Model!$C$5:$C$10,MATCH(F367,A_Scoring_Model!$A$5:$A$10,0))</f>
        <v>0.1</v>
      </c>
      <c r="I367" s="16" t="s">
        <v>449</v>
      </c>
      <c r="J367" s="16" t="s">
        <v>487</v>
      </c>
      <c r="K367" s="21" t="s">
        <v>445</v>
      </c>
      <c r="L367" s="16" t="s">
        <v>434</v>
      </c>
      <c r="M367" s="21" t="s">
        <v>435</v>
      </c>
      <c r="N367" s="19" t="n">
        <v>1</v>
      </c>
      <c r="O367" s="19"/>
      <c r="P367" s="16" t="s">
        <v>446</v>
      </c>
      <c r="Q367" s="16" t="s">
        <v>479</v>
      </c>
      <c r="R367" s="16"/>
    </row>
    <row r="368" customFormat="false" ht="23.85" hidden="false" customHeight="false" outlineLevel="0" collapsed="false">
      <c r="A368" s="37" t="s">
        <v>1023</v>
      </c>
      <c r="B368" s="38" t="n">
        <v>7</v>
      </c>
      <c r="C368" s="39" t="s">
        <v>335</v>
      </c>
      <c r="D368" s="38" t="s">
        <v>342</v>
      </c>
      <c r="E368" s="39" t="s">
        <v>343</v>
      </c>
      <c r="F368" s="38" t="s">
        <v>50</v>
      </c>
      <c r="G368" s="39" t="s">
        <v>51</v>
      </c>
      <c r="H368" s="40" t="n">
        <f aca="false">INDEX(A_Scoring_Model!$C$5:$C$10,MATCH(F368,A_Scoring_Model!$A$5:$A$10,0))</f>
        <v>0.3</v>
      </c>
      <c r="I368" s="39" t="s">
        <v>431</v>
      </c>
      <c r="J368" s="39" t="s">
        <v>1024</v>
      </c>
      <c r="K368" s="38" t="s">
        <v>1025</v>
      </c>
      <c r="L368" s="39" t="s">
        <v>434</v>
      </c>
      <c r="M368" s="38" t="s">
        <v>435</v>
      </c>
      <c r="N368" s="42" t="n">
        <v>0.8</v>
      </c>
      <c r="O368" s="42" t="n">
        <v>0.7</v>
      </c>
      <c r="P368" s="39" t="s">
        <v>436</v>
      </c>
      <c r="Q368" s="39" t="s">
        <v>437</v>
      </c>
      <c r="R368" s="39" t="s">
        <v>347</v>
      </c>
    </row>
    <row r="369" customFormat="false" ht="23.85" hidden="false" customHeight="false" outlineLevel="0" collapsed="false">
      <c r="A369" s="37" t="s">
        <v>1026</v>
      </c>
      <c r="B369" s="38" t="n">
        <v>7</v>
      </c>
      <c r="C369" s="39" t="s">
        <v>335</v>
      </c>
      <c r="D369" s="38" t="s">
        <v>342</v>
      </c>
      <c r="E369" s="39" t="s">
        <v>343</v>
      </c>
      <c r="F369" s="38" t="s">
        <v>50</v>
      </c>
      <c r="G369" s="39" t="s">
        <v>51</v>
      </c>
      <c r="H369" s="40" t="n">
        <f aca="false">INDEX(A_Scoring_Model!$C$5:$C$10,MATCH(F369,A_Scoring_Model!$A$5:$A$10,0))</f>
        <v>0.3</v>
      </c>
      <c r="I369" s="39" t="s">
        <v>431</v>
      </c>
      <c r="J369" s="39" t="s">
        <v>1027</v>
      </c>
      <c r="K369" s="38" t="s">
        <v>433</v>
      </c>
      <c r="L369" s="39" t="s">
        <v>461</v>
      </c>
      <c r="M369" s="38" t="s">
        <v>462</v>
      </c>
      <c r="N369" s="41" t="n">
        <v>0.2</v>
      </c>
      <c r="O369" s="41" t="n">
        <v>0.3</v>
      </c>
      <c r="P369" s="39" t="s">
        <v>436</v>
      </c>
      <c r="Q369" s="39" t="s">
        <v>437</v>
      </c>
      <c r="R369" s="39" t="s">
        <v>347</v>
      </c>
    </row>
    <row r="370" customFormat="false" ht="23.85" hidden="false" customHeight="false" outlineLevel="0" collapsed="false">
      <c r="A370" s="37" t="s">
        <v>1028</v>
      </c>
      <c r="B370" s="38" t="n">
        <v>7</v>
      </c>
      <c r="C370" s="39" t="s">
        <v>335</v>
      </c>
      <c r="D370" s="38" t="s">
        <v>342</v>
      </c>
      <c r="E370" s="39" t="s">
        <v>343</v>
      </c>
      <c r="F370" s="38" t="s">
        <v>50</v>
      </c>
      <c r="G370" s="39" t="s">
        <v>51</v>
      </c>
      <c r="H370" s="40" t="n">
        <f aca="false">INDEX(A_Scoring_Model!$C$5:$C$10,MATCH(F370,A_Scoring_Model!$A$5:$A$10,0))</f>
        <v>0.3</v>
      </c>
      <c r="I370" s="39" t="s">
        <v>431</v>
      </c>
      <c r="J370" s="39" t="s">
        <v>1029</v>
      </c>
      <c r="K370" s="38" t="s">
        <v>433</v>
      </c>
      <c r="L370" s="39" t="s">
        <v>434</v>
      </c>
      <c r="M370" s="38" t="s">
        <v>435</v>
      </c>
      <c r="N370" s="41" t="n">
        <v>0.85</v>
      </c>
      <c r="O370" s="41" t="n">
        <v>0.75</v>
      </c>
      <c r="P370" s="39" t="s">
        <v>436</v>
      </c>
      <c r="Q370" s="39" t="s">
        <v>437</v>
      </c>
      <c r="R370" s="39" t="s">
        <v>347</v>
      </c>
    </row>
    <row r="371" customFormat="false" ht="23.85" hidden="false" customHeight="false" outlineLevel="0" collapsed="false">
      <c r="A371" s="37" t="s">
        <v>1030</v>
      </c>
      <c r="B371" s="38" t="n">
        <v>7</v>
      </c>
      <c r="C371" s="39" t="s">
        <v>335</v>
      </c>
      <c r="D371" s="38" t="s">
        <v>342</v>
      </c>
      <c r="E371" s="39" t="s">
        <v>343</v>
      </c>
      <c r="F371" s="38" t="s">
        <v>53</v>
      </c>
      <c r="G371" s="39" t="s">
        <v>54</v>
      </c>
      <c r="H371" s="40" t="n">
        <f aca="false">INDEX(A_Scoring_Model!$C$5:$C$10,MATCH(F371,A_Scoring_Model!$A$5:$A$10,0))</f>
        <v>0.2</v>
      </c>
      <c r="I371" s="39" t="s">
        <v>431</v>
      </c>
      <c r="J371" s="39" t="s">
        <v>1031</v>
      </c>
      <c r="K371" s="38" t="s">
        <v>445</v>
      </c>
      <c r="L371" s="39" t="s">
        <v>434</v>
      </c>
      <c r="M371" s="38" t="s">
        <v>435</v>
      </c>
      <c r="N371" s="43" t="n">
        <v>1</v>
      </c>
      <c r="O371" s="43"/>
      <c r="P371" s="39" t="s">
        <v>446</v>
      </c>
      <c r="Q371" s="39" t="s">
        <v>447</v>
      </c>
      <c r="R371" s="39"/>
    </row>
    <row r="372" customFormat="false" ht="23.85" hidden="false" customHeight="false" outlineLevel="0" collapsed="false">
      <c r="A372" s="37" t="s">
        <v>1032</v>
      </c>
      <c r="B372" s="38" t="n">
        <v>7</v>
      </c>
      <c r="C372" s="39" t="s">
        <v>335</v>
      </c>
      <c r="D372" s="38" t="s">
        <v>342</v>
      </c>
      <c r="E372" s="39" t="s">
        <v>343</v>
      </c>
      <c r="F372" s="38" t="s">
        <v>53</v>
      </c>
      <c r="G372" s="39" t="s">
        <v>54</v>
      </c>
      <c r="H372" s="40" t="n">
        <f aca="false">INDEX(A_Scoring_Model!$C$5:$C$10,MATCH(F372,A_Scoring_Model!$A$5:$A$10,0))</f>
        <v>0.2</v>
      </c>
      <c r="I372" s="39" t="s">
        <v>449</v>
      </c>
      <c r="J372" s="39" t="s">
        <v>450</v>
      </c>
      <c r="K372" s="38" t="s">
        <v>451</v>
      </c>
      <c r="L372" s="39" t="s">
        <v>434</v>
      </c>
      <c r="M372" s="38" t="s">
        <v>435</v>
      </c>
      <c r="N372" s="44" t="n">
        <v>3</v>
      </c>
      <c r="O372" s="44" t="n">
        <v>2</v>
      </c>
      <c r="P372" s="39" t="s">
        <v>436</v>
      </c>
      <c r="Q372" s="39" t="s">
        <v>447</v>
      </c>
      <c r="R372" s="39"/>
    </row>
    <row r="373" customFormat="false" ht="23.85" hidden="false" customHeight="false" outlineLevel="0" collapsed="false">
      <c r="A373" s="37" t="s">
        <v>1033</v>
      </c>
      <c r="B373" s="38" t="n">
        <v>7</v>
      </c>
      <c r="C373" s="39" t="s">
        <v>335</v>
      </c>
      <c r="D373" s="38" t="s">
        <v>342</v>
      </c>
      <c r="E373" s="39" t="s">
        <v>343</v>
      </c>
      <c r="F373" s="38" t="s">
        <v>53</v>
      </c>
      <c r="G373" s="39" t="s">
        <v>54</v>
      </c>
      <c r="H373" s="40" t="n">
        <f aca="false">INDEX(A_Scoring_Model!$C$5:$C$10,MATCH(F373,A_Scoring_Model!$A$5:$A$10,0))</f>
        <v>0.2</v>
      </c>
      <c r="I373" s="39" t="s">
        <v>449</v>
      </c>
      <c r="J373" s="39" t="s">
        <v>453</v>
      </c>
      <c r="K373" s="38" t="s">
        <v>445</v>
      </c>
      <c r="L373" s="39" t="s">
        <v>434</v>
      </c>
      <c r="M373" s="38" t="s">
        <v>435</v>
      </c>
      <c r="N373" s="43" t="n">
        <v>1</v>
      </c>
      <c r="O373" s="43"/>
      <c r="P373" s="39" t="s">
        <v>446</v>
      </c>
      <c r="Q373" s="39" t="s">
        <v>447</v>
      </c>
      <c r="R373" s="39"/>
    </row>
    <row r="374" customFormat="false" ht="23.85" hidden="false" customHeight="false" outlineLevel="0" collapsed="false">
      <c r="A374" s="37" t="s">
        <v>1034</v>
      </c>
      <c r="B374" s="38" t="n">
        <v>7</v>
      </c>
      <c r="C374" s="39" t="s">
        <v>335</v>
      </c>
      <c r="D374" s="38" t="s">
        <v>342</v>
      </c>
      <c r="E374" s="39" t="s">
        <v>343</v>
      </c>
      <c r="F374" s="38" t="s">
        <v>56</v>
      </c>
      <c r="G374" s="39" t="s">
        <v>57</v>
      </c>
      <c r="H374" s="40" t="n">
        <f aca="false">INDEX(A_Scoring_Model!$C$5:$C$10,MATCH(F374,A_Scoring_Model!$A$5:$A$10,0))</f>
        <v>0.15</v>
      </c>
      <c r="I374" s="39" t="s">
        <v>431</v>
      </c>
      <c r="J374" s="39" t="s">
        <v>1035</v>
      </c>
      <c r="K374" s="38" t="s">
        <v>503</v>
      </c>
      <c r="L374" s="39" t="s">
        <v>461</v>
      </c>
      <c r="M374" s="38" t="s">
        <v>462</v>
      </c>
      <c r="N374" s="44" t="n">
        <v>30</v>
      </c>
      <c r="O374" s="44"/>
      <c r="P374" s="39" t="s">
        <v>446</v>
      </c>
      <c r="Q374" s="39" t="s">
        <v>457</v>
      </c>
      <c r="R374" s="39"/>
    </row>
    <row r="375" customFormat="false" ht="23.85" hidden="false" customHeight="false" outlineLevel="0" collapsed="false">
      <c r="A375" s="37" t="s">
        <v>1036</v>
      </c>
      <c r="B375" s="38" t="n">
        <v>7</v>
      </c>
      <c r="C375" s="39" t="s">
        <v>335</v>
      </c>
      <c r="D375" s="38" t="s">
        <v>342</v>
      </c>
      <c r="E375" s="39" t="s">
        <v>343</v>
      </c>
      <c r="F375" s="38" t="s">
        <v>56</v>
      </c>
      <c r="G375" s="39" t="s">
        <v>57</v>
      </c>
      <c r="H375" s="40" t="n">
        <f aca="false">INDEX(A_Scoring_Model!$C$5:$C$10,MATCH(F375,A_Scoring_Model!$A$5:$A$10,0))</f>
        <v>0.15</v>
      </c>
      <c r="I375" s="39" t="s">
        <v>449</v>
      </c>
      <c r="J375" s="39" t="s">
        <v>464</v>
      </c>
      <c r="K375" s="38" t="s">
        <v>433</v>
      </c>
      <c r="L375" s="39" t="s">
        <v>461</v>
      </c>
      <c r="M375" s="38" t="s">
        <v>462</v>
      </c>
      <c r="N375" s="41" t="n">
        <v>0.2</v>
      </c>
      <c r="O375" s="41" t="n">
        <v>0.4</v>
      </c>
      <c r="P375" s="39" t="s">
        <v>436</v>
      </c>
      <c r="Q375" s="39" t="s">
        <v>457</v>
      </c>
      <c r="R375" s="39"/>
    </row>
    <row r="376" customFormat="false" ht="23.85" hidden="false" customHeight="false" outlineLevel="0" collapsed="false">
      <c r="A376" s="37" t="s">
        <v>1037</v>
      </c>
      <c r="B376" s="38" t="n">
        <v>7</v>
      </c>
      <c r="C376" s="39" t="s">
        <v>335</v>
      </c>
      <c r="D376" s="38" t="s">
        <v>342</v>
      </c>
      <c r="E376" s="39" t="s">
        <v>343</v>
      </c>
      <c r="F376" s="38" t="s">
        <v>59</v>
      </c>
      <c r="G376" s="39" t="s">
        <v>60</v>
      </c>
      <c r="H376" s="40" t="n">
        <f aca="false">INDEX(A_Scoring_Model!$C$5:$C$10,MATCH(F376,A_Scoring_Model!$A$5:$A$10,0))</f>
        <v>0.1</v>
      </c>
      <c r="I376" s="39" t="s">
        <v>431</v>
      </c>
      <c r="J376" s="39" t="s">
        <v>1038</v>
      </c>
      <c r="K376" s="38" t="s">
        <v>1039</v>
      </c>
      <c r="L376" s="39" t="s">
        <v>461</v>
      </c>
      <c r="M376" s="38" t="s">
        <v>462</v>
      </c>
      <c r="N376" s="42" t="n">
        <v>0.15</v>
      </c>
      <c r="O376" s="42"/>
      <c r="P376" s="39" t="s">
        <v>446</v>
      </c>
      <c r="Q376" s="39" t="s">
        <v>467</v>
      </c>
      <c r="R376" s="39"/>
    </row>
    <row r="377" customFormat="false" ht="23.85" hidden="false" customHeight="false" outlineLevel="0" collapsed="false">
      <c r="A377" s="37" t="s">
        <v>1040</v>
      </c>
      <c r="B377" s="38" t="n">
        <v>7</v>
      </c>
      <c r="C377" s="39" t="s">
        <v>335</v>
      </c>
      <c r="D377" s="38" t="s">
        <v>342</v>
      </c>
      <c r="E377" s="39" t="s">
        <v>343</v>
      </c>
      <c r="F377" s="38" t="s">
        <v>59</v>
      </c>
      <c r="G377" s="39" t="s">
        <v>60</v>
      </c>
      <c r="H377" s="40" t="n">
        <f aca="false">INDEX(A_Scoring_Model!$C$5:$C$10,MATCH(F377,A_Scoring_Model!$A$5:$A$10,0))</f>
        <v>0.1</v>
      </c>
      <c r="I377" s="39" t="s">
        <v>449</v>
      </c>
      <c r="J377" s="39" t="s">
        <v>471</v>
      </c>
      <c r="K377" s="38" t="s">
        <v>433</v>
      </c>
      <c r="L377" s="39" t="s">
        <v>434</v>
      </c>
      <c r="M377" s="38" t="s">
        <v>435</v>
      </c>
      <c r="N377" s="41" t="n">
        <v>0.995</v>
      </c>
      <c r="O377" s="41" t="n">
        <v>0.99</v>
      </c>
      <c r="P377" s="39" t="s">
        <v>436</v>
      </c>
      <c r="Q377" s="39" t="s">
        <v>467</v>
      </c>
      <c r="R377" s="39"/>
    </row>
    <row r="378" customFormat="false" ht="23.85" hidden="false" customHeight="false" outlineLevel="0" collapsed="false">
      <c r="A378" s="37" t="s">
        <v>1041</v>
      </c>
      <c r="B378" s="38" t="n">
        <v>7</v>
      </c>
      <c r="C378" s="39" t="s">
        <v>335</v>
      </c>
      <c r="D378" s="38" t="s">
        <v>342</v>
      </c>
      <c r="E378" s="39" t="s">
        <v>343</v>
      </c>
      <c r="F378" s="38" t="s">
        <v>62</v>
      </c>
      <c r="G378" s="39" t="s">
        <v>63</v>
      </c>
      <c r="H378" s="40" t="n">
        <f aca="false">INDEX(A_Scoring_Model!$C$5:$C$10,MATCH(F378,A_Scoring_Model!$A$5:$A$10,0))</f>
        <v>0.15</v>
      </c>
      <c r="I378" s="39" t="s">
        <v>431</v>
      </c>
      <c r="J378" s="39" t="s">
        <v>1042</v>
      </c>
      <c r="K378" s="38" t="s">
        <v>433</v>
      </c>
      <c r="L378" s="39" t="s">
        <v>434</v>
      </c>
      <c r="M378" s="38" t="s">
        <v>435</v>
      </c>
      <c r="N378" s="41" t="n">
        <v>0.25</v>
      </c>
      <c r="O378" s="41"/>
      <c r="P378" s="39" t="s">
        <v>446</v>
      </c>
      <c r="Q378" s="39" t="s">
        <v>474</v>
      </c>
      <c r="R378" s="39"/>
    </row>
    <row r="379" customFormat="false" ht="23.85" hidden="false" customHeight="false" outlineLevel="0" collapsed="false">
      <c r="A379" s="37" t="s">
        <v>1043</v>
      </c>
      <c r="B379" s="38" t="n">
        <v>7</v>
      </c>
      <c r="C379" s="39" t="s">
        <v>335</v>
      </c>
      <c r="D379" s="38" t="s">
        <v>342</v>
      </c>
      <c r="E379" s="39" t="s">
        <v>343</v>
      </c>
      <c r="F379" s="38" t="s">
        <v>65</v>
      </c>
      <c r="G379" s="39" t="s">
        <v>66</v>
      </c>
      <c r="H379" s="40" t="n">
        <f aca="false">INDEX(A_Scoring_Model!$C$5:$C$10,MATCH(F379,A_Scoring_Model!$A$5:$A$10,0))</f>
        <v>0.1</v>
      </c>
      <c r="I379" s="39" t="s">
        <v>449</v>
      </c>
      <c r="J379" s="39" t="s">
        <v>478</v>
      </c>
      <c r="K379" s="38" t="s">
        <v>433</v>
      </c>
      <c r="L379" s="39" t="s">
        <v>434</v>
      </c>
      <c r="M379" s="38" t="s">
        <v>435</v>
      </c>
      <c r="N379" s="41" t="n">
        <v>0.8</v>
      </c>
      <c r="O379" s="41" t="n">
        <v>0.6</v>
      </c>
      <c r="P379" s="39" t="s">
        <v>436</v>
      </c>
      <c r="Q379" s="39" t="s">
        <v>479</v>
      </c>
      <c r="R379" s="39"/>
    </row>
    <row r="380" customFormat="false" ht="23.85" hidden="false" customHeight="false" outlineLevel="0" collapsed="false">
      <c r="A380" s="37" t="s">
        <v>1044</v>
      </c>
      <c r="B380" s="38" t="n">
        <v>7</v>
      </c>
      <c r="C380" s="39" t="s">
        <v>335</v>
      </c>
      <c r="D380" s="38" t="s">
        <v>342</v>
      </c>
      <c r="E380" s="39" t="s">
        <v>343</v>
      </c>
      <c r="F380" s="38" t="s">
        <v>65</v>
      </c>
      <c r="G380" s="39" t="s">
        <v>66</v>
      </c>
      <c r="H380" s="40" t="n">
        <f aca="false">INDEX(A_Scoring_Model!$C$5:$C$10,MATCH(F380,A_Scoring_Model!$A$5:$A$10,0))</f>
        <v>0.1</v>
      </c>
      <c r="I380" s="39" t="s">
        <v>449</v>
      </c>
      <c r="J380" s="39" t="s">
        <v>481</v>
      </c>
      <c r="K380" s="38" t="s">
        <v>451</v>
      </c>
      <c r="L380" s="39" t="s">
        <v>461</v>
      </c>
      <c r="M380" s="38" t="s">
        <v>462</v>
      </c>
      <c r="N380" s="44" t="n">
        <v>0</v>
      </c>
      <c r="O380" s="44"/>
      <c r="P380" s="39" t="s">
        <v>446</v>
      </c>
      <c r="Q380" s="39" t="s">
        <v>479</v>
      </c>
      <c r="R380" s="39"/>
    </row>
    <row r="381" customFormat="false" ht="23.85" hidden="false" customHeight="false" outlineLevel="0" collapsed="false">
      <c r="A381" s="37" t="s">
        <v>1045</v>
      </c>
      <c r="B381" s="38" t="n">
        <v>7</v>
      </c>
      <c r="C381" s="39" t="s">
        <v>335</v>
      </c>
      <c r="D381" s="38" t="s">
        <v>342</v>
      </c>
      <c r="E381" s="39" t="s">
        <v>343</v>
      </c>
      <c r="F381" s="38" t="s">
        <v>65</v>
      </c>
      <c r="G381" s="39" t="s">
        <v>66</v>
      </c>
      <c r="H381" s="40" t="n">
        <f aca="false">INDEX(A_Scoring_Model!$C$5:$C$10,MATCH(F381,A_Scoring_Model!$A$5:$A$10,0))</f>
        <v>0.1</v>
      </c>
      <c r="I381" s="39" t="s">
        <v>449</v>
      </c>
      <c r="J381" s="39" t="s">
        <v>483</v>
      </c>
      <c r="K381" s="38" t="s">
        <v>451</v>
      </c>
      <c r="L381" s="39" t="s">
        <v>461</v>
      </c>
      <c r="M381" s="38" t="s">
        <v>462</v>
      </c>
      <c r="N381" s="44" t="n">
        <v>0</v>
      </c>
      <c r="O381" s="44"/>
      <c r="P381" s="39" t="s">
        <v>446</v>
      </c>
      <c r="Q381" s="39" t="s">
        <v>479</v>
      </c>
      <c r="R381" s="39"/>
    </row>
    <row r="382" customFormat="false" ht="23.85" hidden="false" customHeight="false" outlineLevel="0" collapsed="false">
      <c r="A382" s="37" t="s">
        <v>1046</v>
      </c>
      <c r="B382" s="38" t="n">
        <v>7</v>
      </c>
      <c r="C382" s="39" t="s">
        <v>335</v>
      </c>
      <c r="D382" s="38" t="s">
        <v>342</v>
      </c>
      <c r="E382" s="39" t="s">
        <v>343</v>
      </c>
      <c r="F382" s="38" t="s">
        <v>65</v>
      </c>
      <c r="G382" s="39" t="s">
        <v>66</v>
      </c>
      <c r="H382" s="40" t="n">
        <f aca="false">INDEX(A_Scoring_Model!$C$5:$C$10,MATCH(F382,A_Scoring_Model!$A$5:$A$10,0))</f>
        <v>0.1</v>
      </c>
      <c r="I382" s="39" t="s">
        <v>449</v>
      </c>
      <c r="J382" s="39" t="s">
        <v>485</v>
      </c>
      <c r="K382" s="38" t="s">
        <v>445</v>
      </c>
      <c r="L382" s="39" t="s">
        <v>434</v>
      </c>
      <c r="M382" s="38" t="s">
        <v>435</v>
      </c>
      <c r="N382" s="43" t="n">
        <v>1</v>
      </c>
      <c r="O382" s="43"/>
      <c r="P382" s="39" t="s">
        <v>446</v>
      </c>
      <c r="Q382" s="39" t="s">
        <v>479</v>
      </c>
      <c r="R382" s="39"/>
    </row>
    <row r="383" customFormat="false" ht="23.85" hidden="false" customHeight="false" outlineLevel="0" collapsed="false">
      <c r="A383" s="37" t="s">
        <v>1047</v>
      </c>
      <c r="B383" s="38" t="n">
        <v>7</v>
      </c>
      <c r="C383" s="39" t="s">
        <v>335</v>
      </c>
      <c r="D383" s="38" t="s">
        <v>342</v>
      </c>
      <c r="E383" s="39" t="s">
        <v>343</v>
      </c>
      <c r="F383" s="38" t="s">
        <v>65</v>
      </c>
      <c r="G383" s="39" t="s">
        <v>66</v>
      </c>
      <c r="H383" s="40" t="n">
        <f aca="false">INDEX(A_Scoring_Model!$C$5:$C$10,MATCH(F383,A_Scoring_Model!$A$5:$A$10,0))</f>
        <v>0.1</v>
      </c>
      <c r="I383" s="39" t="s">
        <v>449</v>
      </c>
      <c r="J383" s="39" t="s">
        <v>487</v>
      </c>
      <c r="K383" s="38" t="s">
        <v>445</v>
      </c>
      <c r="L383" s="39" t="s">
        <v>434</v>
      </c>
      <c r="M383" s="38" t="s">
        <v>435</v>
      </c>
      <c r="N383" s="43" t="n">
        <v>1</v>
      </c>
      <c r="O383" s="43"/>
      <c r="P383" s="39" t="s">
        <v>446</v>
      </c>
      <c r="Q383" s="39" t="s">
        <v>479</v>
      </c>
      <c r="R383" s="39"/>
    </row>
    <row r="384" customFormat="false" ht="23.85" hidden="false" customHeight="false" outlineLevel="0" collapsed="false">
      <c r="A384" s="45" t="s">
        <v>1048</v>
      </c>
      <c r="B384" s="21" t="n">
        <v>7</v>
      </c>
      <c r="C384" s="16" t="s">
        <v>335</v>
      </c>
      <c r="D384" s="21" t="s">
        <v>348</v>
      </c>
      <c r="E384" s="16" t="s">
        <v>349</v>
      </c>
      <c r="F384" s="21" t="s">
        <v>50</v>
      </c>
      <c r="G384" s="16" t="s">
        <v>51</v>
      </c>
      <c r="H384" s="46" t="n">
        <f aca="false">INDEX(A_Scoring_Model!$C$5:$C$10,MATCH(F384,A_Scoring_Model!$A$5:$A$10,0))</f>
        <v>0.3</v>
      </c>
      <c r="I384" s="16" t="s">
        <v>431</v>
      </c>
      <c r="J384" s="16" t="s">
        <v>1049</v>
      </c>
      <c r="K384" s="21" t="s">
        <v>433</v>
      </c>
      <c r="L384" s="16" t="s">
        <v>434</v>
      </c>
      <c r="M384" s="21" t="s">
        <v>435</v>
      </c>
      <c r="N384" s="48" t="n">
        <v>1</v>
      </c>
      <c r="O384" s="48" t="n">
        <v>1</v>
      </c>
      <c r="P384" s="16" t="s">
        <v>436</v>
      </c>
      <c r="Q384" s="16" t="s">
        <v>437</v>
      </c>
      <c r="R384" s="16" t="s">
        <v>353</v>
      </c>
    </row>
    <row r="385" customFormat="false" ht="23.85" hidden="false" customHeight="false" outlineLevel="0" collapsed="false">
      <c r="A385" s="45" t="s">
        <v>1050</v>
      </c>
      <c r="B385" s="21" t="n">
        <v>7</v>
      </c>
      <c r="C385" s="16" t="s">
        <v>335</v>
      </c>
      <c r="D385" s="21" t="s">
        <v>348</v>
      </c>
      <c r="E385" s="16" t="s">
        <v>349</v>
      </c>
      <c r="F385" s="21" t="s">
        <v>50</v>
      </c>
      <c r="G385" s="16" t="s">
        <v>51</v>
      </c>
      <c r="H385" s="46" t="n">
        <f aca="false">INDEX(A_Scoring_Model!$C$5:$C$10,MATCH(F385,A_Scoring_Model!$A$5:$A$10,0))</f>
        <v>0.3</v>
      </c>
      <c r="I385" s="16" t="s">
        <v>431</v>
      </c>
      <c r="J385" s="16" t="s">
        <v>1051</v>
      </c>
      <c r="K385" s="21" t="s">
        <v>433</v>
      </c>
      <c r="L385" s="16" t="s">
        <v>434</v>
      </c>
      <c r="M385" s="21" t="s">
        <v>435</v>
      </c>
      <c r="N385" s="48" t="n">
        <v>0.98</v>
      </c>
      <c r="O385" s="48" t="n">
        <v>0.92</v>
      </c>
      <c r="P385" s="16" t="s">
        <v>436</v>
      </c>
      <c r="Q385" s="16" t="s">
        <v>437</v>
      </c>
      <c r="R385" s="16" t="s">
        <v>353</v>
      </c>
    </row>
    <row r="386" customFormat="false" ht="23.85" hidden="false" customHeight="false" outlineLevel="0" collapsed="false">
      <c r="A386" s="45" t="s">
        <v>1052</v>
      </c>
      <c r="B386" s="21" t="n">
        <v>7</v>
      </c>
      <c r="C386" s="16" t="s">
        <v>335</v>
      </c>
      <c r="D386" s="21" t="s">
        <v>348</v>
      </c>
      <c r="E386" s="16" t="s">
        <v>349</v>
      </c>
      <c r="F386" s="21" t="s">
        <v>50</v>
      </c>
      <c r="G386" s="16" t="s">
        <v>51</v>
      </c>
      <c r="H386" s="46" t="n">
        <f aca="false">INDEX(A_Scoring_Model!$C$5:$C$10,MATCH(F386,A_Scoring_Model!$A$5:$A$10,0))</f>
        <v>0.3</v>
      </c>
      <c r="I386" s="16" t="s">
        <v>431</v>
      </c>
      <c r="J386" s="16" t="s">
        <v>1053</v>
      </c>
      <c r="K386" s="21" t="s">
        <v>551</v>
      </c>
      <c r="L386" s="16" t="s">
        <v>434</v>
      </c>
      <c r="M386" s="21" t="s">
        <v>435</v>
      </c>
      <c r="N386" s="50" t="n">
        <v>4</v>
      </c>
      <c r="O386" s="50" t="n">
        <v>3.3</v>
      </c>
      <c r="P386" s="16" t="s">
        <v>436</v>
      </c>
      <c r="Q386" s="16" t="s">
        <v>437</v>
      </c>
      <c r="R386" s="16" t="s">
        <v>353</v>
      </c>
    </row>
    <row r="387" customFormat="false" ht="23.85" hidden="false" customHeight="false" outlineLevel="0" collapsed="false">
      <c r="A387" s="45" t="s">
        <v>1054</v>
      </c>
      <c r="B387" s="21" t="n">
        <v>7</v>
      </c>
      <c r="C387" s="16" t="s">
        <v>335</v>
      </c>
      <c r="D387" s="21" t="s">
        <v>348</v>
      </c>
      <c r="E387" s="16" t="s">
        <v>349</v>
      </c>
      <c r="F387" s="21" t="s">
        <v>53</v>
      </c>
      <c r="G387" s="16" t="s">
        <v>54</v>
      </c>
      <c r="H387" s="46" t="n">
        <f aca="false">INDEX(A_Scoring_Model!$C$5:$C$10,MATCH(F387,A_Scoring_Model!$A$5:$A$10,0))</f>
        <v>0.2</v>
      </c>
      <c r="I387" s="16" t="s">
        <v>431</v>
      </c>
      <c r="J387" s="16" t="s">
        <v>1055</v>
      </c>
      <c r="K387" s="21" t="s">
        <v>451</v>
      </c>
      <c r="L387" s="16" t="s">
        <v>434</v>
      </c>
      <c r="M387" s="21" t="s">
        <v>435</v>
      </c>
      <c r="N387" s="49" t="n">
        <v>4</v>
      </c>
      <c r="O387" s="49"/>
      <c r="P387" s="16" t="s">
        <v>446</v>
      </c>
      <c r="Q387" s="16" t="s">
        <v>447</v>
      </c>
      <c r="R387" s="16"/>
    </row>
    <row r="388" customFormat="false" ht="23.85" hidden="false" customHeight="false" outlineLevel="0" collapsed="false">
      <c r="A388" s="45" t="s">
        <v>1056</v>
      </c>
      <c r="B388" s="21" t="n">
        <v>7</v>
      </c>
      <c r="C388" s="16" t="s">
        <v>335</v>
      </c>
      <c r="D388" s="21" t="s">
        <v>348</v>
      </c>
      <c r="E388" s="16" t="s">
        <v>349</v>
      </c>
      <c r="F388" s="21" t="s">
        <v>53</v>
      </c>
      <c r="G388" s="16" t="s">
        <v>54</v>
      </c>
      <c r="H388" s="46" t="n">
        <f aca="false">INDEX(A_Scoring_Model!$C$5:$C$10,MATCH(F388,A_Scoring_Model!$A$5:$A$10,0))</f>
        <v>0.2</v>
      </c>
      <c r="I388" s="16" t="s">
        <v>449</v>
      </c>
      <c r="J388" s="16" t="s">
        <v>450</v>
      </c>
      <c r="K388" s="21" t="s">
        <v>451</v>
      </c>
      <c r="L388" s="16" t="s">
        <v>434</v>
      </c>
      <c r="M388" s="21" t="s">
        <v>435</v>
      </c>
      <c r="N388" s="49" t="n">
        <v>3</v>
      </c>
      <c r="O388" s="49" t="n">
        <v>2</v>
      </c>
      <c r="P388" s="16" t="s">
        <v>436</v>
      </c>
      <c r="Q388" s="16" t="s">
        <v>447</v>
      </c>
      <c r="R388" s="16"/>
    </row>
    <row r="389" customFormat="false" ht="23.85" hidden="false" customHeight="false" outlineLevel="0" collapsed="false">
      <c r="A389" s="45" t="s">
        <v>1057</v>
      </c>
      <c r="B389" s="21" t="n">
        <v>7</v>
      </c>
      <c r="C389" s="16" t="s">
        <v>335</v>
      </c>
      <c r="D389" s="21" t="s">
        <v>348</v>
      </c>
      <c r="E389" s="16" t="s">
        <v>349</v>
      </c>
      <c r="F389" s="21" t="s">
        <v>53</v>
      </c>
      <c r="G389" s="16" t="s">
        <v>54</v>
      </c>
      <c r="H389" s="46" t="n">
        <f aca="false">INDEX(A_Scoring_Model!$C$5:$C$10,MATCH(F389,A_Scoring_Model!$A$5:$A$10,0))</f>
        <v>0.2</v>
      </c>
      <c r="I389" s="16" t="s">
        <v>449</v>
      </c>
      <c r="J389" s="16" t="s">
        <v>453</v>
      </c>
      <c r="K389" s="21" t="s">
        <v>445</v>
      </c>
      <c r="L389" s="16" t="s">
        <v>434</v>
      </c>
      <c r="M389" s="21" t="s">
        <v>435</v>
      </c>
      <c r="N389" s="19" t="n">
        <v>1</v>
      </c>
      <c r="O389" s="19"/>
      <c r="P389" s="16" t="s">
        <v>446</v>
      </c>
      <c r="Q389" s="16" t="s">
        <v>447</v>
      </c>
      <c r="R389" s="16"/>
    </row>
    <row r="390" customFormat="false" ht="23.85" hidden="false" customHeight="false" outlineLevel="0" collapsed="false">
      <c r="A390" s="45" t="s">
        <v>1058</v>
      </c>
      <c r="B390" s="21" t="n">
        <v>7</v>
      </c>
      <c r="C390" s="16" t="s">
        <v>335</v>
      </c>
      <c r="D390" s="21" t="s">
        <v>348</v>
      </c>
      <c r="E390" s="16" t="s">
        <v>349</v>
      </c>
      <c r="F390" s="21" t="s">
        <v>56</v>
      </c>
      <c r="G390" s="16" t="s">
        <v>57</v>
      </c>
      <c r="H390" s="46" t="n">
        <f aca="false">INDEX(A_Scoring_Model!$C$5:$C$10,MATCH(F390,A_Scoring_Model!$A$5:$A$10,0))</f>
        <v>0.15</v>
      </c>
      <c r="I390" s="16" t="s">
        <v>431</v>
      </c>
      <c r="J390" s="16" t="s">
        <v>1059</v>
      </c>
      <c r="K390" s="21" t="s">
        <v>503</v>
      </c>
      <c r="L390" s="16" t="s">
        <v>461</v>
      </c>
      <c r="M390" s="21" t="s">
        <v>462</v>
      </c>
      <c r="N390" s="49" t="n">
        <v>2</v>
      </c>
      <c r="O390" s="49"/>
      <c r="P390" s="16" t="s">
        <v>446</v>
      </c>
      <c r="Q390" s="16" t="s">
        <v>457</v>
      </c>
      <c r="R390" s="16"/>
    </row>
    <row r="391" customFormat="false" ht="23.85" hidden="false" customHeight="false" outlineLevel="0" collapsed="false">
      <c r="A391" s="45" t="s">
        <v>1060</v>
      </c>
      <c r="B391" s="21" t="n">
        <v>7</v>
      </c>
      <c r="C391" s="16" t="s">
        <v>335</v>
      </c>
      <c r="D391" s="21" t="s">
        <v>348</v>
      </c>
      <c r="E391" s="16" t="s">
        <v>349</v>
      </c>
      <c r="F391" s="21" t="s">
        <v>56</v>
      </c>
      <c r="G391" s="16" t="s">
        <v>57</v>
      </c>
      <c r="H391" s="46" t="n">
        <f aca="false">INDEX(A_Scoring_Model!$C$5:$C$10,MATCH(F391,A_Scoring_Model!$A$5:$A$10,0))</f>
        <v>0.15</v>
      </c>
      <c r="I391" s="16" t="s">
        <v>449</v>
      </c>
      <c r="J391" s="16" t="s">
        <v>464</v>
      </c>
      <c r="K391" s="21" t="s">
        <v>433</v>
      </c>
      <c r="L391" s="16" t="s">
        <v>461</v>
      </c>
      <c r="M391" s="21" t="s">
        <v>462</v>
      </c>
      <c r="N391" s="48" t="n">
        <v>0.2</v>
      </c>
      <c r="O391" s="48" t="n">
        <v>0.4</v>
      </c>
      <c r="P391" s="16" t="s">
        <v>436</v>
      </c>
      <c r="Q391" s="16" t="s">
        <v>457</v>
      </c>
      <c r="R391" s="16"/>
    </row>
    <row r="392" customFormat="false" ht="23.85" hidden="false" customHeight="false" outlineLevel="0" collapsed="false">
      <c r="A392" s="45" t="s">
        <v>1061</v>
      </c>
      <c r="B392" s="21" t="n">
        <v>7</v>
      </c>
      <c r="C392" s="16" t="s">
        <v>335</v>
      </c>
      <c r="D392" s="21" t="s">
        <v>348</v>
      </c>
      <c r="E392" s="16" t="s">
        <v>349</v>
      </c>
      <c r="F392" s="21" t="s">
        <v>59</v>
      </c>
      <c r="G392" s="16" t="s">
        <v>60</v>
      </c>
      <c r="H392" s="46" t="n">
        <f aca="false">INDEX(A_Scoring_Model!$C$5:$C$10,MATCH(F392,A_Scoring_Model!$A$5:$A$10,0))</f>
        <v>0.1</v>
      </c>
      <c r="I392" s="16" t="s">
        <v>431</v>
      </c>
      <c r="J392" s="16" t="s">
        <v>1062</v>
      </c>
      <c r="K392" s="21" t="s">
        <v>433</v>
      </c>
      <c r="L392" s="16" t="s">
        <v>434</v>
      </c>
      <c r="M392" s="21" t="s">
        <v>435</v>
      </c>
      <c r="N392" s="48" t="n">
        <v>1</v>
      </c>
      <c r="O392" s="48"/>
      <c r="P392" s="16" t="s">
        <v>446</v>
      </c>
      <c r="Q392" s="16" t="s">
        <v>467</v>
      </c>
      <c r="R392" s="16"/>
    </row>
    <row r="393" customFormat="false" ht="23.85" hidden="false" customHeight="false" outlineLevel="0" collapsed="false">
      <c r="A393" s="45" t="s">
        <v>1063</v>
      </c>
      <c r="B393" s="21" t="n">
        <v>7</v>
      </c>
      <c r="C393" s="16" t="s">
        <v>335</v>
      </c>
      <c r="D393" s="21" t="s">
        <v>348</v>
      </c>
      <c r="E393" s="16" t="s">
        <v>349</v>
      </c>
      <c r="F393" s="21" t="s">
        <v>59</v>
      </c>
      <c r="G393" s="16" t="s">
        <v>60</v>
      </c>
      <c r="H393" s="46" t="n">
        <f aca="false">INDEX(A_Scoring_Model!$C$5:$C$10,MATCH(F393,A_Scoring_Model!$A$5:$A$10,0))</f>
        <v>0.1</v>
      </c>
      <c r="I393" s="16" t="s">
        <v>449</v>
      </c>
      <c r="J393" s="16" t="s">
        <v>471</v>
      </c>
      <c r="K393" s="21" t="s">
        <v>433</v>
      </c>
      <c r="L393" s="16" t="s">
        <v>434</v>
      </c>
      <c r="M393" s="21" t="s">
        <v>435</v>
      </c>
      <c r="N393" s="48" t="n">
        <v>0.995</v>
      </c>
      <c r="O393" s="48" t="n">
        <v>0.99</v>
      </c>
      <c r="P393" s="16" t="s">
        <v>436</v>
      </c>
      <c r="Q393" s="16" t="s">
        <v>467</v>
      </c>
      <c r="R393" s="16"/>
    </row>
    <row r="394" customFormat="false" ht="23.85" hidden="false" customHeight="false" outlineLevel="0" collapsed="false">
      <c r="A394" s="45" t="s">
        <v>1064</v>
      </c>
      <c r="B394" s="21" t="n">
        <v>7</v>
      </c>
      <c r="C394" s="16" t="s">
        <v>335</v>
      </c>
      <c r="D394" s="21" t="s">
        <v>348</v>
      </c>
      <c r="E394" s="16" t="s">
        <v>349</v>
      </c>
      <c r="F394" s="21" t="s">
        <v>62</v>
      </c>
      <c r="G394" s="16" t="s">
        <v>63</v>
      </c>
      <c r="H394" s="46" t="n">
        <f aca="false">INDEX(A_Scoring_Model!$C$5:$C$10,MATCH(F394,A_Scoring_Model!$A$5:$A$10,0))</f>
        <v>0.15</v>
      </c>
      <c r="I394" s="16" t="s">
        <v>431</v>
      </c>
      <c r="J394" s="16" t="s">
        <v>1065</v>
      </c>
      <c r="K394" s="21" t="s">
        <v>433</v>
      </c>
      <c r="L394" s="16" t="s">
        <v>434</v>
      </c>
      <c r="M394" s="21" t="s">
        <v>435</v>
      </c>
      <c r="N394" s="48" t="n">
        <v>0.8</v>
      </c>
      <c r="O394" s="48"/>
      <c r="P394" s="16" t="s">
        <v>446</v>
      </c>
      <c r="Q394" s="16" t="s">
        <v>474</v>
      </c>
      <c r="R394" s="16"/>
    </row>
    <row r="395" customFormat="false" ht="23.85" hidden="false" customHeight="false" outlineLevel="0" collapsed="false">
      <c r="A395" s="45" t="s">
        <v>1066</v>
      </c>
      <c r="B395" s="21" t="n">
        <v>7</v>
      </c>
      <c r="C395" s="16" t="s">
        <v>335</v>
      </c>
      <c r="D395" s="21" t="s">
        <v>348</v>
      </c>
      <c r="E395" s="16" t="s">
        <v>349</v>
      </c>
      <c r="F395" s="21" t="s">
        <v>65</v>
      </c>
      <c r="G395" s="16" t="s">
        <v>66</v>
      </c>
      <c r="H395" s="46" t="n">
        <f aca="false">INDEX(A_Scoring_Model!$C$5:$C$10,MATCH(F395,A_Scoring_Model!$A$5:$A$10,0))</f>
        <v>0.1</v>
      </c>
      <c r="I395" s="16" t="s">
        <v>449</v>
      </c>
      <c r="J395" s="16" t="s">
        <v>478</v>
      </c>
      <c r="K395" s="21" t="s">
        <v>433</v>
      </c>
      <c r="L395" s="16" t="s">
        <v>434</v>
      </c>
      <c r="M395" s="21" t="s">
        <v>435</v>
      </c>
      <c r="N395" s="48" t="n">
        <v>0.8</v>
      </c>
      <c r="O395" s="48" t="n">
        <v>0.6</v>
      </c>
      <c r="P395" s="16" t="s">
        <v>436</v>
      </c>
      <c r="Q395" s="16" t="s">
        <v>479</v>
      </c>
      <c r="R395" s="16"/>
    </row>
    <row r="396" customFormat="false" ht="23.85" hidden="false" customHeight="false" outlineLevel="0" collapsed="false">
      <c r="A396" s="45" t="s">
        <v>1067</v>
      </c>
      <c r="B396" s="21" t="n">
        <v>7</v>
      </c>
      <c r="C396" s="16" t="s">
        <v>335</v>
      </c>
      <c r="D396" s="21" t="s">
        <v>348</v>
      </c>
      <c r="E396" s="16" t="s">
        <v>349</v>
      </c>
      <c r="F396" s="21" t="s">
        <v>65</v>
      </c>
      <c r="G396" s="16" t="s">
        <v>66</v>
      </c>
      <c r="H396" s="46" t="n">
        <f aca="false">INDEX(A_Scoring_Model!$C$5:$C$10,MATCH(F396,A_Scoring_Model!$A$5:$A$10,0))</f>
        <v>0.1</v>
      </c>
      <c r="I396" s="16" t="s">
        <v>449</v>
      </c>
      <c r="J396" s="16" t="s">
        <v>481</v>
      </c>
      <c r="K396" s="21" t="s">
        <v>451</v>
      </c>
      <c r="L396" s="16" t="s">
        <v>461</v>
      </c>
      <c r="M396" s="21" t="s">
        <v>462</v>
      </c>
      <c r="N396" s="49" t="n">
        <v>0</v>
      </c>
      <c r="O396" s="49"/>
      <c r="P396" s="16" t="s">
        <v>446</v>
      </c>
      <c r="Q396" s="16" t="s">
        <v>479</v>
      </c>
      <c r="R396" s="16"/>
    </row>
    <row r="397" customFormat="false" ht="23.85" hidden="false" customHeight="false" outlineLevel="0" collapsed="false">
      <c r="A397" s="45" t="s">
        <v>1068</v>
      </c>
      <c r="B397" s="21" t="n">
        <v>7</v>
      </c>
      <c r="C397" s="16" t="s">
        <v>335</v>
      </c>
      <c r="D397" s="21" t="s">
        <v>348</v>
      </c>
      <c r="E397" s="16" t="s">
        <v>349</v>
      </c>
      <c r="F397" s="21" t="s">
        <v>65</v>
      </c>
      <c r="G397" s="16" t="s">
        <v>66</v>
      </c>
      <c r="H397" s="46" t="n">
        <f aca="false">INDEX(A_Scoring_Model!$C$5:$C$10,MATCH(F397,A_Scoring_Model!$A$5:$A$10,0))</f>
        <v>0.1</v>
      </c>
      <c r="I397" s="16" t="s">
        <v>449</v>
      </c>
      <c r="J397" s="16" t="s">
        <v>483</v>
      </c>
      <c r="K397" s="21" t="s">
        <v>451</v>
      </c>
      <c r="L397" s="16" t="s">
        <v>461</v>
      </c>
      <c r="M397" s="21" t="s">
        <v>462</v>
      </c>
      <c r="N397" s="49" t="n">
        <v>0</v>
      </c>
      <c r="O397" s="49"/>
      <c r="P397" s="16" t="s">
        <v>446</v>
      </c>
      <c r="Q397" s="16" t="s">
        <v>479</v>
      </c>
      <c r="R397" s="16"/>
    </row>
    <row r="398" customFormat="false" ht="23.85" hidden="false" customHeight="false" outlineLevel="0" collapsed="false">
      <c r="A398" s="45" t="s">
        <v>1069</v>
      </c>
      <c r="B398" s="21" t="n">
        <v>7</v>
      </c>
      <c r="C398" s="16" t="s">
        <v>335</v>
      </c>
      <c r="D398" s="21" t="s">
        <v>348</v>
      </c>
      <c r="E398" s="16" t="s">
        <v>349</v>
      </c>
      <c r="F398" s="21" t="s">
        <v>65</v>
      </c>
      <c r="G398" s="16" t="s">
        <v>66</v>
      </c>
      <c r="H398" s="46" t="n">
        <f aca="false">INDEX(A_Scoring_Model!$C$5:$C$10,MATCH(F398,A_Scoring_Model!$A$5:$A$10,0))</f>
        <v>0.1</v>
      </c>
      <c r="I398" s="16" t="s">
        <v>449</v>
      </c>
      <c r="J398" s="16" t="s">
        <v>485</v>
      </c>
      <c r="K398" s="21" t="s">
        <v>445</v>
      </c>
      <c r="L398" s="16" t="s">
        <v>434</v>
      </c>
      <c r="M398" s="21" t="s">
        <v>435</v>
      </c>
      <c r="N398" s="19" t="n">
        <v>1</v>
      </c>
      <c r="O398" s="19"/>
      <c r="P398" s="16" t="s">
        <v>446</v>
      </c>
      <c r="Q398" s="16" t="s">
        <v>479</v>
      </c>
      <c r="R398" s="16"/>
    </row>
    <row r="399" customFormat="false" ht="23.85" hidden="false" customHeight="false" outlineLevel="0" collapsed="false">
      <c r="A399" s="45" t="s">
        <v>1070</v>
      </c>
      <c r="B399" s="21" t="n">
        <v>7</v>
      </c>
      <c r="C399" s="16" t="s">
        <v>335</v>
      </c>
      <c r="D399" s="21" t="s">
        <v>348</v>
      </c>
      <c r="E399" s="16" t="s">
        <v>349</v>
      </c>
      <c r="F399" s="21" t="s">
        <v>65</v>
      </c>
      <c r="G399" s="16" t="s">
        <v>66</v>
      </c>
      <c r="H399" s="46" t="n">
        <f aca="false">INDEX(A_Scoring_Model!$C$5:$C$10,MATCH(F399,A_Scoring_Model!$A$5:$A$10,0))</f>
        <v>0.1</v>
      </c>
      <c r="I399" s="16" t="s">
        <v>449</v>
      </c>
      <c r="J399" s="16" t="s">
        <v>487</v>
      </c>
      <c r="K399" s="21" t="s">
        <v>445</v>
      </c>
      <c r="L399" s="16" t="s">
        <v>434</v>
      </c>
      <c r="M399" s="21" t="s">
        <v>435</v>
      </c>
      <c r="N399" s="19" t="n">
        <v>1</v>
      </c>
      <c r="O399" s="19"/>
      <c r="P399" s="16" t="s">
        <v>446</v>
      </c>
      <c r="Q399" s="16" t="s">
        <v>479</v>
      </c>
      <c r="R399" s="16"/>
    </row>
    <row r="400" customFormat="false" ht="23.85" hidden="false" customHeight="false" outlineLevel="0" collapsed="false">
      <c r="A400" s="37" t="s">
        <v>1071</v>
      </c>
      <c r="B400" s="38" t="n">
        <v>8</v>
      </c>
      <c r="C400" s="39" t="s">
        <v>355</v>
      </c>
      <c r="D400" s="38" t="s">
        <v>356</v>
      </c>
      <c r="E400" s="39" t="s">
        <v>357</v>
      </c>
      <c r="F400" s="38" t="s">
        <v>50</v>
      </c>
      <c r="G400" s="39" t="s">
        <v>51</v>
      </c>
      <c r="H400" s="40" t="n">
        <f aca="false">INDEX(A_Scoring_Model!$C$5:$C$10,MATCH(F400,A_Scoring_Model!$A$5:$A$10,0))</f>
        <v>0.3</v>
      </c>
      <c r="I400" s="39" t="s">
        <v>431</v>
      </c>
      <c r="J400" s="39" t="s">
        <v>1072</v>
      </c>
      <c r="K400" s="38" t="s">
        <v>433</v>
      </c>
      <c r="L400" s="39" t="s">
        <v>434</v>
      </c>
      <c r="M400" s="38" t="s">
        <v>435</v>
      </c>
      <c r="N400" s="41" t="n">
        <v>1</v>
      </c>
      <c r="O400" s="41" t="n">
        <v>1</v>
      </c>
      <c r="P400" s="39" t="s">
        <v>436</v>
      </c>
      <c r="Q400" s="39" t="s">
        <v>437</v>
      </c>
      <c r="R400" s="39" t="s">
        <v>361</v>
      </c>
    </row>
    <row r="401" customFormat="false" ht="23.85" hidden="false" customHeight="false" outlineLevel="0" collapsed="false">
      <c r="A401" s="37" t="s">
        <v>1073</v>
      </c>
      <c r="B401" s="38" t="n">
        <v>8</v>
      </c>
      <c r="C401" s="39" t="s">
        <v>355</v>
      </c>
      <c r="D401" s="38" t="s">
        <v>356</v>
      </c>
      <c r="E401" s="39" t="s">
        <v>357</v>
      </c>
      <c r="F401" s="38" t="s">
        <v>50</v>
      </c>
      <c r="G401" s="39" t="s">
        <v>51</v>
      </c>
      <c r="H401" s="40" t="n">
        <f aca="false">INDEX(A_Scoring_Model!$C$5:$C$10,MATCH(F401,A_Scoring_Model!$A$5:$A$10,0))</f>
        <v>0.3</v>
      </c>
      <c r="I401" s="39" t="s">
        <v>431</v>
      </c>
      <c r="J401" s="39" t="s">
        <v>1074</v>
      </c>
      <c r="K401" s="38" t="s">
        <v>433</v>
      </c>
      <c r="L401" s="39" t="s">
        <v>434</v>
      </c>
      <c r="M401" s="38" t="s">
        <v>435</v>
      </c>
      <c r="N401" s="41" t="n">
        <v>0.85</v>
      </c>
      <c r="O401" s="41" t="n">
        <v>0.7</v>
      </c>
      <c r="P401" s="39" t="s">
        <v>436</v>
      </c>
      <c r="Q401" s="39" t="s">
        <v>437</v>
      </c>
      <c r="R401" s="39" t="s">
        <v>361</v>
      </c>
    </row>
    <row r="402" customFormat="false" ht="23.85" hidden="false" customHeight="false" outlineLevel="0" collapsed="false">
      <c r="A402" s="37" t="s">
        <v>1075</v>
      </c>
      <c r="B402" s="38" t="n">
        <v>8</v>
      </c>
      <c r="C402" s="39" t="s">
        <v>355</v>
      </c>
      <c r="D402" s="38" t="s">
        <v>356</v>
      </c>
      <c r="E402" s="39" t="s">
        <v>357</v>
      </c>
      <c r="F402" s="38" t="s">
        <v>53</v>
      </c>
      <c r="G402" s="39" t="s">
        <v>54</v>
      </c>
      <c r="H402" s="40" t="n">
        <f aca="false">INDEX(A_Scoring_Model!$C$5:$C$10,MATCH(F402,A_Scoring_Model!$A$5:$A$10,0))</f>
        <v>0.2</v>
      </c>
      <c r="I402" s="39" t="s">
        <v>431</v>
      </c>
      <c r="J402" s="39" t="s">
        <v>1076</v>
      </c>
      <c r="K402" s="38" t="s">
        <v>445</v>
      </c>
      <c r="L402" s="39" t="s">
        <v>434</v>
      </c>
      <c r="M402" s="38" t="s">
        <v>435</v>
      </c>
      <c r="N402" s="43" t="n">
        <v>1</v>
      </c>
      <c r="O402" s="43"/>
      <c r="P402" s="39" t="s">
        <v>446</v>
      </c>
      <c r="Q402" s="39" t="s">
        <v>447</v>
      </c>
      <c r="R402" s="39"/>
    </row>
    <row r="403" customFormat="false" ht="23.85" hidden="false" customHeight="false" outlineLevel="0" collapsed="false">
      <c r="A403" s="37" t="s">
        <v>1077</v>
      </c>
      <c r="B403" s="38" t="n">
        <v>8</v>
      </c>
      <c r="C403" s="39" t="s">
        <v>355</v>
      </c>
      <c r="D403" s="38" t="s">
        <v>356</v>
      </c>
      <c r="E403" s="39" t="s">
        <v>357</v>
      </c>
      <c r="F403" s="38" t="s">
        <v>53</v>
      </c>
      <c r="G403" s="39" t="s">
        <v>54</v>
      </c>
      <c r="H403" s="40" t="n">
        <f aca="false">INDEX(A_Scoring_Model!$C$5:$C$10,MATCH(F403,A_Scoring_Model!$A$5:$A$10,0))</f>
        <v>0.2</v>
      </c>
      <c r="I403" s="39" t="s">
        <v>449</v>
      </c>
      <c r="J403" s="39" t="s">
        <v>450</v>
      </c>
      <c r="K403" s="38" t="s">
        <v>451</v>
      </c>
      <c r="L403" s="39" t="s">
        <v>434</v>
      </c>
      <c r="M403" s="38" t="s">
        <v>435</v>
      </c>
      <c r="N403" s="44" t="n">
        <v>3</v>
      </c>
      <c r="O403" s="44" t="n">
        <v>2</v>
      </c>
      <c r="P403" s="39" t="s">
        <v>436</v>
      </c>
      <c r="Q403" s="39" t="s">
        <v>447</v>
      </c>
      <c r="R403" s="39"/>
    </row>
    <row r="404" customFormat="false" ht="23.85" hidden="false" customHeight="false" outlineLevel="0" collapsed="false">
      <c r="A404" s="37" t="s">
        <v>1078</v>
      </c>
      <c r="B404" s="38" t="n">
        <v>8</v>
      </c>
      <c r="C404" s="39" t="s">
        <v>355</v>
      </c>
      <c r="D404" s="38" t="s">
        <v>356</v>
      </c>
      <c r="E404" s="39" t="s">
        <v>357</v>
      </c>
      <c r="F404" s="38" t="s">
        <v>53</v>
      </c>
      <c r="G404" s="39" t="s">
        <v>54</v>
      </c>
      <c r="H404" s="40" t="n">
        <f aca="false">INDEX(A_Scoring_Model!$C$5:$C$10,MATCH(F404,A_Scoring_Model!$A$5:$A$10,0))</f>
        <v>0.2</v>
      </c>
      <c r="I404" s="39" t="s">
        <v>449</v>
      </c>
      <c r="J404" s="39" t="s">
        <v>453</v>
      </c>
      <c r="K404" s="38" t="s">
        <v>445</v>
      </c>
      <c r="L404" s="39" t="s">
        <v>434</v>
      </c>
      <c r="M404" s="38" t="s">
        <v>435</v>
      </c>
      <c r="N404" s="43" t="n">
        <v>1</v>
      </c>
      <c r="O404" s="43"/>
      <c r="P404" s="39" t="s">
        <v>446</v>
      </c>
      <c r="Q404" s="39" t="s">
        <v>447</v>
      </c>
      <c r="R404" s="39"/>
    </row>
    <row r="405" customFormat="false" ht="23.85" hidden="false" customHeight="false" outlineLevel="0" collapsed="false">
      <c r="A405" s="37" t="s">
        <v>1079</v>
      </c>
      <c r="B405" s="38" t="n">
        <v>8</v>
      </c>
      <c r="C405" s="39" t="s">
        <v>355</v>
      </c>
      <c r="D405" s="38" t="s">
        <v>356</v>
      </c>
      <c r="E405" s="39" t="s">
        <v>357</v>
      </c>
      <c r="F405" s="38" t="s">
        <v>56</v>
      </c>
      <c r="G405" s="39" t="s">
        <v>57</v>
      </c>
      <c r="H405" s="40" t="n">
        <f aca="false">INDEX(A_Scoring_Model!$C$5:$C$10,MATCH(F405,A_Scoring_Model!$A$5:$A$10,0))</f>
        <v>0.15</v>
      </c>
      <c r="I405" s="39" t="s">
        <v>431</v>
      </c>
      <c r="J405" s="39" t="s">
        <v>1080</v>
      </c>
      <c r="K405" s="38" t="s">
        <v>503</v>
      </c>
      <c r="L405" s="39" t="s">
        <v>461</v>
      </c>
      <c r="M405" s="38" t="s">
        <v>462</v>
      </c>
      <c r="N405" s="44" t="n">
        <v>1</v>
      </c>
      <c r="O405" s="44"/>
      <c r="P405" s="39" t="s">
        <v>446</v>
      </c>
      <c r="Q405" s="39" t="s">
        <v>457</v>
      </c>
      <c r="R405" s="39"/>
    </row>
    <row r="406" customFormat="false" ht="23.85" hidden="false" customHeight="false" outlineLevel="0" collapsed="false">
      <c r="A406" s="37" t="s">
        <v>1081</v>
      </c>
      <c r="B406" s="38" t="n">
        <v>8</v>
      </c>
      <c r="C406" s="39" t="s">
        <v>355</v>
      </c>
      <c r="D406" s="38" t="s">
        <v>356</v>
      </c>
      <c r="E406" s="39" t="s">
        <v>357</v>
      </c>
      <c r="F406" s="38" t="s">
        <v>56</v>
      </c>
      <c r="G406" s="39" t="s">
        <v>57</v>
      </c>
      <c r="H406" s="40" t="n">
        <f aca="false">INDEX(A_Scoring_Model!$C$5:$C$10,MATCH(F406,A_Scoring_Model!$A$5:$A$10,0))</f>
        <v>0.15</v>
      </c>
      <c r="I406" s="39" t="s">
        <v>449</v>
      </c>
      <c r="J406" s="39" t="s">
        <v>464</v>
      </c>
      <c r="K406" s="38" t="s">
        <v>433</v>
      </c>
      <c r="L406" s="39" t="s">
        <v>461</v>
      </c>
      <c r="M406" s="38" t="s">
        <v>462</v>
      </c>
      <c r="N406" s="41" t="n">
        <v>0.2</v>
      </c>
      <c r="O406" s="41" t="n">
        <v>0.4</v>
      </c>
      <c r="P406" s="39" t="s">
        <v>436</v>
      </c>
      <c r="Q406" s="39" t="s">
        <v>457</v>
      </c>
      <c r="R406" s="39"/>
    </row>
    <row r="407" customFormat="false" ht="23.85" hidden="false" customHeight="false" outlineLevel="0" collapsed="false">
      <c r="A407" s="37" t="s">
        <v>1082</v>
      </c>
      <c r="B407" s="38" t="n">
        <v>8</v>
      </c>
      <c r="C407" s="39" t="s">
        <v>355</v>
      </c>
      <c r="D407" s="38" t="s">
        <v>356</v>
      </c>
      <c r="E407" s="39" t="s">
        <v>357</v>
      </c>
      <c r="F407" s="38" t="s">
        <v>59</v>
      </c>
      <c r="G407" s="39" t="s">
        <v>60</v>
      </c>
      <c r="H407" s="40" t="n">
        <f aca="false">INDEX(A_Scoring_Model!$C$5:$C$10,MATCH(F407,A_Scoring_Model!$A$5:$A$10,0))</f>
        <v>0.1</v>
      </c>
      <c r="I407" s="39" t="s">
        <v>431</v>
      </c>
      <c r="J407" s="39" t="s">
        <v>1083</v>
      </c>
      <c r="K407" s="38" t="s">
        <v>433</v>
      </c>
      <c r="L407" s="39" t="s">
        <v>434</v>
      </c>
      <c r="M407" s="38" t="s">
        <v>435</v>
      </c>
      <c r="N407" s="41" t="n">
        <v>1</v>
      </c>
      <c r="O407" s="41"/>
      <c r="P407" s="39" t="s">
        <v>446</v>
      </c>
      <c r="Q407" s="39" t="s">
        <v>467</v>
      </c>
      <c r="R407" s="39"/>
    </row>
    <row r="408" customFormat="false" ht="23.85" hidden="false" customHeight="false" outlineLevel="0" collapsed="false">
      <c r="A408" s="37" t="s">
        <v>1084</v>
      </c>
      <c r="B408" s="38" t="n">
        <v>8</v>
      </c>
      <c r="C408" s="39" t="s">
        <v>355</v>
      </c>
      <c r="D408" s="38" t="s">
        <v>356</v>
      </c>
      <c r="E408" s="39" t="s">
        <v>357</v>
      </c>
      <c r="F408" s="38" t="s">
        <v>59</v>
      </c>
      <c r="G408" s="39" t="s">
        <v>60</v>
      </c>
      <c r="H408" s="40" t="n">
        <f aca="false">INDEX(A_Scoring_Model!$C$5:$C$10,MATCH(F408,A_Scoring_Model!$A$5:$A$10,0))</f>
        <v>0.1</v>
      </c>
      <c r="I408" s="39" t="s">
        <v>449</v>
      </c>
      <c r="J408" s="39" t="s">
        <v>471</v>
      </c>
      <c r="K408" s="38" t="s">
        <v>433</v>
      </c>
      <c r="L408" s="39" t="s">
        <v>434</v>
      </c>
      <c r="M408" s="38" t="s">
        <v>435</v>
      </c>
      <c r="N408" s="41" t="n">
        <v>0.995</v>
      </c>
      <c r="O408" s="41" t="n">
        <v>0.99</v>
      </c>
      <c r="P408" s="39" t="s">
        <v>436</v>
      </c>
      <c r="Q408" s="39" t="s">
        <v>467</v>
      </c>
      <c r="R408" s="39"/>
    </row>
    <row r="409" customFormat="false" ht="23.85" hidden="false" customHeight="false" outlineLevel="0" collapsed="false">
      <c r="A409" s="37" t="s">
        <v>1085</v>
      </c>
      <c r="B409" s="38" t="n">
        <v>8</v>
      </c>
      <c r="C409" s="39" t="s">
        <v>355</v>
      </c>
      <c r="D409" s="38" t="s">
        <v>356</v>
      </c>
      <c r="E409" s="39" t="s">
        <v>357</v>
      </c>
      <c r="F409" s="38" t="s">
        <v>62</v>
      </c>
      <c r="G409" s="39" t="s">
        <v>63</v>
      </c>
      <c r="H409" s="40" t="n">
        <f aca="false">INDEX(A_Scoring_Model!$C$5:$C$10,MATCH(F409,A_Scoring_Model!$A$5:$A$10,0))</f>
        <v>0.15</v>
      </c>
      <c r="I409" s="39" t="s">
        <v>431</v>
      </c>
      <c r="J409" s="39" t="s">
        <v>1086</v>
      </c>
      <c r="K409" s="38" t="s">
        <v>433</v>
      </c>
      <c r="L409" s="39" t="s">
        <v>434</v>
      </c>
      <c r="M409" s="38" t="s">
        <v>435</v>
      </c>
      <c r="N409" s="41" t="n">
        <v>0.5</v>
      </c>
      <c r="O409" s="41"/>
      <c r="P409" s="39" t="s">
        <v>446</v>
      </c>
      <c r="Q409" s="39" t="s">
        <v>474</v>
      </c>
      <c r="R409" s="39"/>
    </row>
    <row r="410" customFormat="false" ht="23.85" hidden="false" customHeight="false" outlineLevel="0" collapsed="false">
      <c r="A410" s="37" t="s">
        <v>1087</v>
      </c>
      <c r="B410" s="38" t="n">
        <v>8</v>
      </c>
      <c r="C410" s="39" t="s">
        <v>355</v>
      </c>
      <c r="D410" s="38" t="s">
        <v>356</v>
      </c>
      <c r="E410" s="39" t="s">
        <v>357</v>
      </c>
      <c r="F410" s="38" t="s">
        <v>65</v>
      </c>
      <c r="G410" s="39" t="s">
        <v>66</v>
      </c>
      <c r="H410" s="40" t="n">
        <f aca="false">INDEX(A_Scoring_Model!$C$5:$C$10,MATCH(F410,A_Scoring_Model!$A$5:$A$10,0))</f>
        <v>0.1</v>
      </c>
      <c r="I410" s="39" t="s">
        <v>449</v>
      </c>
      <c r="J410" s="39" t="s">
        <v>478</v>
      </c>
      <c r="K410" s="38" t="s">
        <v>433</v>
      </c>
      <c r="L410" s="39" t="s">
        <v>434</v>
      </c>
      <c r="M410" s="38" t="s">
        <v>435</v>
      </c>
      <c r="N410" s="41" t="n">
        <v>0.8</v>
      </c>
      <c r="O410" s="41" t="n">
        <v>0.6</v>
      </c>
      <c r="P410" s="39" t="s">
        <v>436</v>
      </c>
      <c r="Q410" s="39" t="s">
        <v>479</v>
      </c>
      <c r="R410" s="39"/>
    </row>
    <row r="411" customFormat="false" ht="23.85" hidden="false" customHeight="false" outlineLevel="0" collapsed="false">
      <c r="A411" s="37" t="s">
        <v>1088</v>
      </c>
      <c r="B411" s="38" t="n">
        <v>8</v>
      </c>
      <c r="C411" s="39" t="s">
        <v>355</v>
      </c>
      <c r="D411" s="38" t="s">
        <v>356</v>
      </c>
      <c r="E411" s="39" t="s">
        <v>357</v>
      </c>
      <c r="F411" s="38" t="s">
        <v>65</v>
      </c>
      <c r="G411" s="39" t="s">
        <v>66</v>
      </c>
      <c r="H411" s="40" t="n">
        <f aca="false">INDEX(A_Scoring_Model!$C$5:$C$10,MATCH(F411,A_Scoring_Model!$A$5:$A$10,0))</f>
        <v>0.1</v>
      </c>
      <c r="I411" s="39" t="s">
        <v>449</v>
      </c>
      <c r="J411" s="39" t="s">
        <v>481</v>
      </c>
      <c r="K411" s="38" t="s">
        <v>451</v>
      </c>
      <c r="L411" s="39" t="s">
        <v>461</v>
      </c>
      <c r="M411" s="38" t="s">
        <v>462</v>
      </c>
      <c r="N411" s="44" t="n">
        <v>0</v>
      </c>
      <c r="O411" s="44"/>
      <c r="P411" s="39" t="s">
        <v>446</v>
      </c>
      <c r="Q411" s="39" t="s">
        <v>479</v>
      </c>
      <c r="R411" s="39"/>
    </row>
    <row r="412" customFormat="false" ht="23.85" hidden="false" customHeight="false" outlineLevel="0" collapsed="false">
      <c r="A412" s="37" t="s">
        <v>1089</v>
      </c>
      <c r="B412" s="38" t="n">
        <v>8</v>
      </c>
      <c r="C412" s="39" t="s">
        <v>355</v>
      </c>
      <c r="D412" s="38" t="s">
        <v>356</v>
      </c>
      <c r="E412" s="39" t="s">
        <v>357</v>
      </c>
      <c r="F412" s="38" t="s">
        <v>65</v>
      </c>
      <c r="G412" s="39" t="s">
        <v>66</v>
      </c>
      <c r="H412" s="40" t="n">
        <f aca="false">INDEX(A_Scoring_Model!$C$5:$C$10,MATCH(F412,A_Scoring_Model!$A$5:$A$10,0))</f>
        <v>0.1</v>
      </c>
      <c r="I412" s="39" t="s">
        <v>449</v>
      </c>
      <c r="J412" s="39" t="s">
        <v>483</v>
      </c>
      <c r="K412" s="38" t="s">
        <v>451</v>
      </c>
      <c r="L412" s="39" t="s">
        <v>461</v>
      </c>
      <c r="M412" s="38" t="s">
        <v>462</v>
      </c>
      <c r="N412" s="44" t="n">
        <v>0</v>
      </c>
      <c r="O412" s="44"/>
      <c r="P412" s="39" t="s">
        <v>446</v>
      </c>
      <c r="Q412" s="39" t="s">
        <v>479</v>
      </c>
      <c r="R412" s="39"/>
    </row>
    <row r="413" customFormat="false" ht="23.85" hidden="false" customHeight="false" outlineLevel="0" collapsed="false">
      <c r="A413" s="37" t="s">
        <v>1090</v>
      </c>
      <c r="B413" s="38" t="n">
        <v>8</v>
      </c>
      <c r="C413" s="39" t="s">
        <v>355</v>
      </c>
      <c r="D413" s="38" t="s">
        <v>356</v>
      </c>
      <c r="E413" s="39" t="s">
        <v>357</v>
      </c>
      <c r="F413" s="38" t="s">
        <v>65</v>
      </c>
      <c r="G413" s="39" t="s">
        <v>66</v>
      </c>
      <c r="H413" s="40" t="n">
        <f aca="false">INDEX(A_Scoring_Model!$C$5:$C$10,MATCH(F413,A_Scoring_Model!$A$5:$A$10,0))</f>
        <v>0.1</v>
      </c>
      <c r="I413" s="39" t="s">
        <v>449</v>
      </c>
      <c r="J413" s="39" t="s">
        <v>485</v>
      </c>
      <c r="K413" s="38" t="s">
        <v>445</v>
      </c>
      <c r="L413" s="39" t="s">
        <v>434</v>
      </c>
      <c r="M413" s="38" t="s">
        <v>435</v>
      </c>
      <c r="N413" s="43" t="n">
        <v>1</v>
      </c>
      <c r="O413" s="43"/>
      <c r="P413" s="39" t="s">
        <v>446</v>
      </c>
      <c r="Q413" s="39" t="s">
        <v>479</v>
      </c>
      <c r="R413" s="39"/>
    </row>
    <row r="414" customFormat="false" ht="23.85" hidden="false" customHeight="false" outlineLevel="0" collapsed="false">
      <c r="A414" s="37" t="s">
        <v>1091</v>
      </c>
      <c r="B414" s="38" t="n">
        <v>8</v>
      </c>
      <c r="C414" s="39" t="s">
        <v>355</v>
      </c>
      <c r="D414" s="38" t="s">
        <v>356</v>
      </c>
      <c r="E414" s="39" t="s">
        <v>357</v>
      </c>
      <c r="F414" s="38" t="s">
        <v>65</v>
      </c>
      <c r="G414" s="39" t="s">
        <v>66</v>
      </c>
      <c r="H414" s="40" t="n">
        <f aca="false">INDEX(A_Scoring_Model!$C$5:$C$10,MATCH(F414,A_Scoring_Model!$A$5:$A$10,0))</f>
        <v>0.1</v>
      </c>
      <c r="I414" s="39" t="s">
        <v>449</v>
      </c>
      <c r="J414" s="39" t="s">
        <v>487</v>
      </c>
      <c r="K414" s="38" t="s">
        <v>445</v>
      </c>
      <c r="L414" s="39" t="s">
        <v>434</v>
      </c>
      <c r="M414" s="38" t="s">
        <v>435</v>
      </c>
      <c r="N414" s="43" t="n">
        <v>1</v>
      </c>
      <c r="O414" s="43"/>
      <c r="P414" s="39" t="s">
        <v>446</v>
      </c>
      <c r="Q414" s="39" t="s">
        <v>479</v>
      </c>
      <c r="R414" s="39"/>
    </row>
    <row r="415" customFormat="false" ht="23.85" hidden="false" customHeight="false" outlineLevel="0" collapsed="false">
      <c r="A415" s="45" t="s">
        <v>1092</v>
      </c>
      <c r="B415" s="21" t="n">
        <v>8</v>
      </c>
      <c r="C415" s="16" t="s">
        <v>355</v>
      </c>
      <c r="D415" s="21" t="s">
        <v>362</v>
      </c>
      <c r="E415" s="16" t="s">
        <v>363</v>
      </c>
      <c r="F415" s="21" t="s">
        <v>50</v>
      </c>
      <c r="G415" s="16" t="s">
        <v>51</v>
      </c>
      <c r="H415" s="46" t="n">
        <f aca="false">INDEX(A_Scoring_Model!$C$5:$C$10,MATCH(F415,A_Scoring_Model!$A$5:$A$10,0))</f>
        <v>0.3</v>
      </c>
      <c r="I415" s="16" t="s">
        <v>431</v>
      </c>
      <c r="J415" s="16" t="s">
        <v>1093</v>
      </c>
      <c r="K415" s="21" t="s">
        <v>490</v>
      </c>
      <c r="L415" s="16" t="s">
        <v>434</v>
      </c>
      <c r="M415" s="21" t="s">
        <v>435</v>
      </c>
      <c r="N415" s="47" t="n">
        <v>0.85</v>
      </c>
      <c r="O415" s="47" t="n">
        <v>0.75</v>
      </c>
      <c r="P415" s="16" t="s">
        <v>436</v>
      </c>
      <c r="Q415" s="16" t="s">
        <v>437</v>
      </c>
      <c r="R415" s="16" t="s">
        <v>367</v>
      </c>
    </row>
    <row r="416" customFormat="false" ht="23.85" hidden="false" customHeight="false" outlineLevel="0" collapsed="false">
      <c r="A416" s="45" t="s">
        <v>1094</v>
      </c>
      <c r="B416" s="21" t="n">
        <v>8</v>
      </c>
      <c r="C416" s="16" t="s">
        <v>355</v>
      </c>
      <c r="D416" s="21" t="s">
        <v>362</v>
      </c>
      <c r="E416" s="16" t="s">
        <v>363</v>
      </c>
      <c r="F416" s="21" t="s">
        <v>50</v>
      </c>
      <c r="G416" s="16" t="s">
        <v>51</v>
      </c>
      <c r="H416" s="46" t="n">
        <f aca="false">INDEX(A_Scoring_Model!$C$5:$C$10,MATCH(F416,A_Scoring_Model!$A$5:$A$10,0))</f>
        <v>0.3</v>
      </c>
      <c r="I416" s="16" t="s">
        <v>431</v>
      </c>
      <c r="J416" s="16" t="s">
        <v>1095</v>
      </c>
      <c r="K416" s="21" t="s">
        <v>490</v>
      </c>
      <c r="L416" s="16" t="s">
        <v>434</v>
      </c>
      <c r="M416" s="21" t="s">
        <v>435</v>
      </c>
      <c r="N416" s="47" t="n">
        <v>0.8</v>
      </c>
      <c r="O416" s="47" t="n">
        <v>0.65</v>
      </c>
      <c r="P416" s="16" t="s">
        <v>436</v>
      </c>
      <c r="Q416" s="16" t="s">
        <v>437</v>
      </c>
      <c r="R416" s="16" t="s">
        <v>367</v>
      </c>
    </row>
    <row r="417" customFormat="false" ht="23.85" hidden="false" customHeight="false" outlineLevel="0" collapsed="false">
      <c r="A417" s="45" t="s">
        <v>1096</v>
      </c>
      <c r="B417" s="21" t="n">
        <v>8</v>
      </c>
      <c r="C417" s="16" t="s">
        <v>355</v>
      </c>
      <c r="D417" s="21" t="s">
        <v>362</v>
      </c>
      <c r="E417" s="16" t="s">
        <v>363</v>
      </c>
      <c r="F417" s="21" t="s">
        <v>50</v>
      </c>
      <c r="G417" s="16" t="s">
        <v>51</v>
      </c>
      <c r="H417" s="46" t="n">
        <f aca="false">INDEX(A_Scoring_Model!$C$5:$C$10,MATCH(F417,A_Scoring_Model!$A$5:$A$10,0))</f>
        <v>0.3</v>
      </c>
      <c r="I417" s="16" t="s">
        <v>431</v>
      </c>
      <c r="J417" s="16" t="s">
        <v>1097</v>
      </c>
      <c r="K417" s="21" t="s">
        <v>433</v>
      </c>
      <c r="L417" s="16" t="s">
        <v>434</v>
      </c>
      <c r="M417" s="21" t="s">
        <v>435</v>
      </c>
      <c r="N417" s="48" t="n">
        <v>0.9</v>
      </c>
      <c r="O417" s="48" t="n">
        <v>0.8</v>
      </c>
      <c r="P417" s="16" t="s">
        <v>436</v>
      </c>
      <c r="Q417" s="16" t="s">
        <v>437</v>
      </c>
      <c r="R417" s="16" t="s">
        <v>367</v>
      </c>
    </row>
    <row r="418" customFormat="false" ht="23.85" hidden="false" customHeight="false" outlineLevel="0" collapsed="false">
      <c r="A418" s="45" t="s">
        <v>1098</v>
      </c>
      <c r="B418" s="21" t="n">
        <v>8</v>
      </c>
      <c r="C418" s="16" t="s">
        <v>355</v>
      </c>
      <c r="D418" s="21" t="s">
        <v>362</v>
      </c>
      <c r="E418" s="16" t="s">
        <v>363</v>
      </c>
      <c r="F418" s="21" t="s">
        <v>50</v>
      </c>
      <c r="G418" s="16" t="s">
        <v>51</v>
      </c>
      <c r="H418" s="46" t="n">
        <f aca="false">INDEX(A_Scoring_Model!$C$5:$C$10,MATCH(F418,A_Scoring_Model!$A$5:$A$10,0))</f>
        <v>0.3</v>
      </c>
      <c r="I418" s="16" t="s">
        <v>431</v>
      </c>
      <c r="J418" s="16" t="s">
        <v>1099</v>
      </c>
      <c r="K418" s="21" t="s">
        <v>433</v>
      </c>
      <c r="L418" s="16" t="s">
        <v>434</v>
      </c>
      <c r="M418" s="21" t="s">
        <v>435</v>
      </c>
      <c r="N418" s="48" t="n">
        <v>0.85</v>
      </c>
      <c r="O418" s="48" t="n">
        <v>0.7</v>
      </c>
      <c r="P418" s="16" t="s">
        <v>436</v>
      </c>
      <c r="Q418" s="16" t="s">
        <v>437</v>
      </c>
      <c r="R418" s="16" t="s">
        <v>367</v>
      </c>
    </row>
    <row r="419" customFormat="false" ht="23.85" hidden="false" customHeight="false" outlineLevel="0" collapsed="false">
      <c r="A419" s="45" t="s">
        <v>1100</v>
      </c>
      <c r="B419" s="21" t="n">
        <v>8</v>
      </c>
      <c r="C419" s="16" t="s">
        <v>355</v>
      </c>
      <c r="D419" s="21" t="s">
        <v>362</v>
      </c>
      <c r="E419" s="16" t="s">
        <v>363</v>
      </c>
      <c r="F419" s="21" t="s">
        <v>53</v>
      </c>
      <c r="G419" s="16" t="s">
        <v>54</v>
      </c>
      <c r="H419" s="46" t="n">
        <f aca="false">INDEX(A_Scoring_Model!$C$5:$C$10,MATCH(F419,A_Scoring_Model!$A$5:$A$10,0))</f>
        <v>0.2</v>
      </c>
      <c r="I419" s="16" t="s">
        <v>431</v>
      </c>
      <c r="J419" s="16" t="s">
        <v>1101</v>
      </c>
      <c r="K419" s="21" t="s">
        <v>445</v>
      </c>
      <c r="L419" s="16" t="s">
        <v>434</v>
      </c>
      <c r="M419" s="21" t="s">
        <v>435</v>
      </c>
      <c r="N419" s="19" t="n">
        <v>1</v>
      </c>
      <c r="O419" s="19"/>
      <c r="P419" s="16" t="s">
        <v>446</v>
      </c>
      <c r="Q419" s="16" t="s">
        <v>447</v>
      </c>
      <c r="R419" s="16"/>
    </row>
    <row r="420" customFormat="false" ht="23.85" hidden="false" customHeight="false" outlineLevel="0" collapsed="false">
      <c r="A420" s="45" t="s">
        <v>1102</v>
      </c>
      <c r="B420" s="21" t="n">
        <v>8</v>
      </c>
      <c r="C420" s="16" t="s">
        <v>355</v>
      </c>
      <c r="D420" s="21" t="s">
        <v>362</v>
      </c>
      <c r="E420" s="16" t="s">
        <v>363</v>
      </c>
      <c r="F420" s="21" t="s">
        <v>53</v>
      </c>
      <c r="G420" s="16" t="s">
        <v>54</v>
      </c>
      <c r="H420" s="46" t="n">
        <f aca="false">INDEX(A_Scoring_Model!$C$5:$C$10,MATCH(F420,A_Scoring_Model!$A$5:$A$10,0))</f>
        <v>0.2</v>
      </c>
      <c r="I420" s="16" t="s">
        <v>449</v>
      </c>
      <c r="J420" s="16" t="s">
        <v>450</v>
      </c>
      <c r="K420" s="21" t="s">
        <v>451</v>
      </c>
      <c r="L420" s="16" t="s">
        <v>434</v>
      </c>
      <c r="M420" s="21" t="s">
        <v>435</v>
      </c>
      <c r="N420" s="49" t="n">
        <v>3</v>
      </c>
      <c r="O420" s="49" t="n">
        <v>2</v>
      </c>
      <c r="P420" s="16" t="s">
        <v>436</v>
      </c>
      <c r="Q420" s="16" t="s">
        <v>447</v>
      </c>
      <c r="R420" s="16"/>
    </row>
    <row r="421" customFormat="false" ht="23.85" hidden="false" customHeight="false" outlineLevel="0" collapsed="false">
      <c r="A421" s="45" t="s">
        <v>1103</v>
      </c>
      <c r="B421" s="21" t="n">
        <v>8</v>
      </c>
      <c r="C421" s="16" t="s">
        <v>355</v>
      </c>
      <c r="D421" s="21" t="s">
        <v>362</v>
      </c>
      <c r="E421" s="16" t="s">
        <v>363</v>
      </c>
      <c r="F421" s="21" t="s">
        <v>53</v>
      </c>
      <c r="G421" s="16" t="s">
        <v>54</v>
      </c>
      <c r="H421" s="46" t="n">
        <f aca="false">INDEX(A_Scoring_Model!$C$5:$C$10,MATCH(F421,A_Scoring_Model!$A$5:$A$10,0))</f>
        <v>0.2</v>
      </c>
      <c r="I421" s="16" t="s">
        <v>449</v>
      </c>
      <c r="J421" s="16" t="s">
        <v>453</v>
      </c>
      <c r="K421" s="21" t="s">
        <v>445</v>
      </c>
      <c r="L421" s="16" t="s">
        <v>434</v>
      </c>
      <c r="M421" s="21" t="s">
        <v>435</v>
      </c>
      <c r="N421" s="19" t="n">
        <v>1</v>
      </c>
      <c r="O421" s="19"/>
      <c r="P421" s="16" t="s">
        <v>446</v>
      </c>
      <c r="Q421" s="16" t="s">
        <v>447</v>
      </c>
      <c r="R421" s="16"/>
    </row>
    <row r="422" customFormat="false" ht="23.85" hidden="false" customHeight="false" outlineLevel="0" collapsed="false">
      <c r="A422" s="45" t="s">
        <v>1104</v>
      </c>
      <c r="B422" s="21" t="n">
        <v>8</v>
      </c>
      <c r="C422" s="16" t="s">
        <v>355</v>
      </c>
      <c r="D422" s="21" t="s">
        <v>362</v>
      </c>
      <c r="E422" s="16" t="s">
        <v>363</v>
      </c>
      <c r="F422" s="21" t="s">
        <v>56</v>
      </c>
      <c r="G422" s="16" t="s">
        <v>57</v>
      </c>
      <c r="H422" s="46" t="n">
        <f aca="false">INDEX(A_Scoring_Model!$C$5:$C$10,MATCH(F422,A_Scoring_Model!$A$5:$A$10,0))</f>
        <v>0.15</v>
      </c>
      <c r="I422" s="16" t="s">
        <v>431</v>
      </c>
      <c r="J422" s="16" t="s">
        <v>1105</v>
      </c>
      <c r="K422" s="21" t="s">
        <v>1106</v>
      </c>
      <c r="L422" s="16" t="s">
        <v>434</v>
      </c>
      <c r="M422" s="21" t="s">
        <v>435</v>
      </c>
      <c r="N422" s="49" t="n">
        <v>1000</v>
      </c>
      <c r="O422" s="49"/>
      <c r="P422" s="16" t="s">
        <v>446</v>
      </c>
      <c r="Q422" s="16" t="s">
        <v>457</v>
      </c>
      <c r="R422" s="16"/>
    </row>
    <row r="423" customFormat="false" ht="23.85" hidden="false" customHeight="false" outlineLevel="0" collapsed="false">
      <c r="A423" s="45" t="s">
        <v>1107</v>
      </c>
      <c r="B423" s="21" t="n">
        <v>8</v>
      </c>
      <c r="C423" s="16" t="s">
        <v>355</v>
      </c>
      <c r="D423" s="21" t="s">
        <v>362</v>
      </c>
      <c r="E423" s="16" t="s">
        <v>363</v>
      </c>
      <c r="F423" s="21" t="s">
        <v>56</v>
      </c>
      <c r="G423" s="16" t="s">
        <v>57</v>
      </c>
      <c r="H423" s="46" t="n">
        <f aca="false">INDEX(A_Scoring_Model!$C$5:$C$10,MATCH(F423,A_Scoring_Model!$A$5:$A$10,0))</f>
        <v>0.15</v>
      </c>
      <c r="I423" s="16" t="s">
        <v>449</v>
      </c>
      <c r="J423" s="16" t="s">
        <v>464</v>
      </c>
      <c r="K423" s="21" t="s">
        <v>433</v>
      </c>
      <c r="L423" s="16" t="s">
        <v>461</v>
      </c>
      <c r="M423" s="21" t="s">
        <v>462</v>
      </c>
      <c r="N423" s="48" t="n">
        <v>0.2</v>
      </c>
      <c r="O423" s="48" t="n">
        <v>0.4</v>
      </c>
      <c r="P423" s="16" t="s">
        <v>436</v>
      </c>
      <c r="Q423" s="16" t="s">
        <v>457</v>
      </c>
      <c r="R423" s="16"/>
    </row>
    <row r="424" customFormat="false" ht="23.85" hidden="false" customHeight="false" outlineLevel="0" collapsed="false">
      <c r="A424" s="45" t="s">
        <v>1108</v>
      </c>
      <c r="B424" s="21" t="n">
        <v>8</v>
      </c>
      <c r="C424" s="16" t="s">
        <v>355</v>
      </c>
      <c r="D424" s="21" t="s">
        <v>362</v>
      </c>
      <c r="E424" s="16" t="s">
        <v>363</v>
      </c>
      <c r="F424" s="21" t="s">
        <v>59</v>
      </c>
      <c r="G424" s="16" t="s">
        <v>60</v>
      </c>
      <c r="H424" s="46" t="n">
        <f aca="false">INDEX(A_Scoring_Model!$C$5:$C$10,MATCH(F424,A_Scoring_Model!$A$5:$A$10,0))</f>
        <v>0.1</v>
      </c>
      <c r="I424" s="16" t="s">
        <v>431</v>
      </c>
      <c r="J424" s="16" t="s">
        <v>1109</v>
      </c>
      <c r="K424" s="21" t="s">
        <v>433</v>
      </c>
      <c r="L424" s="16" t="s">
        <v>434</v>
      </c>
      <c r="M424" s="21" t="s">
        <v>435</v>
      </c>
      <c r="N424" s="48" t="n">
        <v>1</v>
      </c>
      <c r="O424" s="48"/>
      <c r="P424" s="16" t="s">
        <v>446</v>
      </c>
      <c r="Q424" s="16" t="s">
        <v>467</v>
      </c>
      <c r="R424" s="16"/>
    </row>
    <row r="425" customFormat="false" ht="23.85" hidden="false" customHeight="false" outlineLevel="0" collapsed="false">
      <c r="A425" s="45" t="s">
        <v>1110</v>
      </c>
      <c r="B425" s="21" t="n">
        <v>8</v>
      </c>
      <c r="C425" s="16" t="s">
        <v>355</v>
      </c>
      <c r="D425" s="21" t="s">
        <v>362</v>
      </c>
      <c r="E425" s="16" t="s">
        <v>363</v>
      </c>
      <c r="F425" s="21" t="s">
        <v>59</v>
      </c>
      <c r="G425" s="16" t="s">
        <v>60</v>
      </c>
      <c r="H425" s="46" t="n">
        <f aca="false">INDEX(A_Scoring_Model!$C$5:$C$10,MATCH(F425,A_Scoring_Model!$A$5:$A$10,0))</f>
        <v>0.1</v>
      </c>
      <c r="I425" s="16" t="s">
        <v>449</v>
      </c>
      <c r="J425" s="16" t="s">
        <v>471</v>
      </c>
      <c r="K425" s="21" t="s">
        <v>433</v>
      </c>
      <c r="L425" s="16" t="s">
        <v>434</v>
      </c>
      <c r="M425" s="21" t="s">
        <v>435</v>
      </c>
      <c r="N425" s="48" t="n">
        <v>0.995</v>
      </c>
      <c r="O425" s="48" t="n">
        <v>0.99</v>
      </c>
      <c r="P425" s="16" t="s">
        <v>436</v>
      </c>
      <c r="Q425" s="16" t="s">
        <v>467</v>
      </c>
      <c r="R425" s="16"/>
    </row>
    <row r="426" customFormat="false" ht="23.85" hidden="false" customHeight="false" outlineLevel="0" collapsed="false">
      <c r="A426" s="45" t="s">
        <v>1111</v>
      </c>
      <c r="B426" s="21" t="n">
        <v>8</v>
      </c>
      <c r="C426" s="16" t="s">
        <v>355</v>
      </c>
      <c r="D426" s="21" t="s">
        <v>362</v>
      </c>
      <c r="E426" s="16" t="s">
        <v>363</v>
      </c>
      <c r="F426" s="21" t="s">
        <v>62</v>
      </c>
      <c r="G426" s="16" t="s">
        <v>63</v>
      </c>
      <c r="H426" s="46" t="n">
        <f aca="false">INDEX(A_Scoring_Model!$C$5:$C$10,MATCH(F426,A_Scoring_Model!$A$5:$A$10,0))</f>
        <v>0.15</v>
      </c>
      <c r="I426" s="16" t="s">
        <v>431</v>
      </c>
      <c r="J426" s="16" t="s">
        <v>1112</v>
      </c>
      <c r="K426" s="21" t="s">
        <v>433</v>
      </c>
      <c r="L426" s="16" t="s">
        <v>434</v>
      </c>
      <c r="M426" s="21" t="s">
        <v>435</v>
      </c>
      <c r="N426" s="48" t="n">
        <v>0.4</v>
      </c>
      <c r="O426" s="48"/>
      <c r="P426" s="16" t="s">
        <v>446</v>
      </c>
      <c r="Q426" s="16" t="s">
        <v>474</v>
      </c>
      <c r="R426" s="16"/>
    </row>
    <row r="427" customFormat="false" ht="23.85" hidden="false" customHeight="false" outlineLevel="0" collapsed="false">
      <c r="A427" s="45" t="s">
        <v>1113</v>
      </c>
      <c r="B427" s="21" t="n">
        <v>8</v>
      </c>
      <c r="C427" s="16" t="s">
        <v>355</v>
      </c>
      <c r="D427" s="21" t="s">
        <v>362</v>
      </c>
      <c r="E427" s="16" t="s">
        <v>363</v>
      </c>
      <c r="F427" s="21" t="s">
        <v>65</v>
      </c>
      <c r="G427" s="16" t="s">
        <v>66</v>
      </c>
      <c r="H427" s="46" t="n">
        <f aca="false">INDEX(A_Scoring_Model!$C$5:$C$10,MATCH(F427,A_Scoring_Model!$A$5:$A$10,0))</f>
        <v>0.1</v>
      </c>
      <c r="I427" s="16" t="s">
        <v>449</v>
      </c>
      <c r="J427" s="16" t="s">
        <v>478</v>
      </c>
      <c r="K427" s="21" t="s">
        <v>433</v>
      </c>
      <c r="L427" s="16" t="s">
        <v>434</v>
      </c>
      <c r="M427" s="21" t="s">
        <v>435</v>
      </c>
      <c r="N427" s="48" t="n">
        <v>0.8</v>
      </c>
      <c r="O427" s="48" t="n">
        <v>0.6</v>
      </c>
      <c r="P427" s="16" t="s">
        <v>436</v>
      </c>
      <c r="Q427" s="16" t="s">
        <v>479</v>
      </c>
      <c r="R427" s="16"/>
    </row>
    <row r="428" customFormat="false" ht="23.85" hidden="false" customHeight="false" outlineLevel="0" collapsed="false">
      <c r="A428" s="45" t="s">
        <v>1114</v>
      </c>
      <c r="B428" s="21" t="n">
        <v>8</v>
      </c>
      <c r="C428" s="16" t="s">
        <v>355</v>
      </c>
      <c r="D428" s="21" t="s">
        <v>362</v>
      </c>
      <c r="E428" s="16" t="s">
        <v>363</v>
      </c>
      <c r="F428" s="21" t="s">
        <v>65</v>
      </c>
      <c r="G428" s="16" t="s">
        <v>66</v>
      </c>
      <c r="H428" s="46" t="n">
        <f aca="false">INDEX(A_Scoring_Model!$C$5:$C$10,MATCH(F428,A_Scoring_Model!$A$5:$A$10,0))</f>
        <v>0.1</v>
      </c>
      <c r="I428" s="16" t="s">
        <v>449</v>
      </c>
      <c r="J428" s="16" t="s">
        <v>481</v>
      </c>
      <c r="K428" s="21" t="s">
        <v>451</v>
      </c>
      <c r="L428" s="16" t="s">
        <v>461</v>
      </c>
      <c r="M428" s="21" t="s">
        <v>462</v>
      </c>
      <c r="N428" s="49" t="n">
        <v>0</v>
      </c>
      <c r="O428" s="49"/>
      <c r="P428" s="16" t="s">
        <v>446</v>
      </c>
      <c r="Q428" s="16" t="s">
        <v>479</v>
      </c>
      <c r="R428" s="16"/>
    </row>
    <row r="429" customFormat="false" ht="23.85" hidden="false" customHeight="false" outlineLevel="0" collapsed="false">
      <c r="A429" s="45" t="s">
        <v>1115</v>
      </c>
      <c r="B429" s="21" t="n">
        <v>8</v>
      </c>
      <c r="C429" s="16" t="s">
        <v>355</v>
      </c>
      <c r="D429" s="21" t="s">
        <v>362</v>
      </c>
      <c r="E429" s="16" t="s">
        <v>363</v>
      </c>
      <c r="F429" s="21" t="s">
        <v>65</v>
      </c>
      <c r="G429" s="16" t="s">
        <v>66</v>
      </c>
      <c r="H429" s="46" t="n">
        <f aca="false">INDEX(A_Scoring_Model!$C$5:$C$10,MATCH(F429,A_Scoring_Model!$A$5:$A$10,0))</f>
        <v>0.1</v>
      </c>
      <c r="I429" s="16" t="s">
        <v>449</v>
      </c>
      <c r="J429" s="16" t="s">
        <v>483</v>
      </c>
      <c r="K429" s="21" t="s">
        <v>451</v>
      </c>
      <c r="L429" s="16" t="s">
        <v>461</v>
      </c>
      <c r="M429" s="21" t="s">
        <v>462</v>
      </c>
      <c r="N429" s="49" t="n">
        <v>0</v>
      </c>
      <c r="O429" s="49"/>
      <c r="P429" s="16" t="s">
        <v>446</v>
      </c>
      <c r="Q429" s="16" t="s">
        <v>479</v>
      </c>
      <c r="R429" s="16"/>
    </row>
    <row r="430" customFormat="false" ht="23.85" hidden="false" customHeight="false" outlineLevel="0" collapsed="false">
      <c r="A430" s="45" t="s">
        <v>1116</v>
      </c>
      <c r="B430" s="21" t="n">
        <v>8</v>
      </c>
      <c r="C430" s="16" t="s">
        <v>355</v>
      </c>
      <c r="D430" s="21" t="s">
        <v>362</v>
      </c>
      <c r="E430" s="16" t="s">
        <v>363</v>
      </c>
      <c r="F430" s="21" t="s">
        <v>65</v>
      </c>
      <c r="G430" s="16" t="s">
        <v>66</v>
      </c>
      <c r="H430" s="46" t="n">
        <f aca="false">INDEX(A_Scoring_Model!$C$5:$C$10,MATCH(F430,A_Scoring_Model!$A$5:$A$10,0))</f>
        <v>0.1</v>
      </c>
      <c r="I430" s="16" t="s">
        <v>449</v>
      </c>
      <c r="J430" s="16" t="s">
        <v>485</v>
      </c>
      <c r="K430" s="21" t="s">
        <v>445</v>
      </c>
      <c r="L430" s="16" t="s">
        <v>434</v>
      </c>
      <c r="M430" s="21" t="s">
        <v>435</v>
      </c>
      <c r="N430" s="19" t="n">
        <v>1</v>
      </c>
      <c r="O430" s="19"/>
      <c r="P430" s="16" t="s">
        <v>446</v>
      </c>
      <c r="Q430" s="16" t="s">
        <v>479</v>
      </c>
      <c r="R430" s="16"/>
    </row>
    <row r="431" customFormat="false" ht="23.85" hidden="false" customHeight="false" outlineLevel="0" collapsed="false">
      <c r="A431" s="45" t="s">
        <v>1117</v>
      </c>
      <c r="B431" s="21" t="n">
        <v>8</v>
      </c>
      <c r="C431" s="16" t="s">
        <v>355</v>
      </c>
      <c r="D431" s="21" t="s">
        <v>362</v>
      </c>
      <c r="E431" s="16" t="s">
        <v>363</v>
      </c>
      <c r="F431" s="21" t="s">
        <v>65</v>
      </c>
      <c r="G431" s="16" t="s">
        <v>66</v>
      </c>
      <c r="H431" s="46" t="n">
        <f aca="false">INDEX(A_Scoring_Model!$C$5:$C$10,MATCH(F431,A_Scoring_Model!$A$5:$A$10,0))</f>
        <v>0.1</v>
      </c>
      <c r="I431" s="16" t="s">
        <v>449</v>
      </c>
      <c r="J431" s="16" t="s">
        <v>487</v>
      </c>
      <c r="K431" s="21" t="s">
        <v>445</v>
      </c>
      <c r="L431" s="16" t="s">
        <v>434</v>
      </c>
      <c r="M431" s="21" t="s">
        <v>435</v>
      </c>
      <c r="N431" s="19" t="n">
        <v>1</v>
      </c>
      <c r="O431" s="19"/>
      <c r="P431" s="16" t="s">
        <v>446</v>
      </c>
      <c r="Q431" s="16" t="s">
        <v>479</v>
      </c>
      <c r="R431" s="16"/>
    </row>
    <row r="432" customFormat="false" ht="23.85" hidden="false" customHeight="false" outlineLevel="0" collapsed="false">
      <c r="A432" s="37" t="s">
        <v>1118</v>
      </c>
      <c r="B432" s="38" t="n">
        <v>8</v>
      </c>
      <c r="C432" s="39" t="s">
        <v>355</v>
      </c>
      <c r="D432" s="38" t="s">
        <v>369</v>
      </c>
      <c r="E432" s="39" t="s">
        <v>370</v>
      </c>
      <c r="F432" s="38" t="s">
        <v>50</v>
      </c>
      <c r="G432" s="39" t="s">
        <v>51</v>
      </c>
      <c r="H432" s="40" t="n">
        <f aca="false">INDEX(A_Scoring_Model!$C$5:$C$10,MATCH(F432,A_Scoring_Model!$A$5:$A$10,0))</f>
        <v>0.3</v>
      </c>
      <c r="I432" s="39" t="s">
        <v>431</v>
      </c>
      <c r="J432" s="39" t="s">
        <v>1119</v>
      </c>
      <c r="K432" s="38" t="s">
        <v>433</v>
      </c>
      <c r="L432" s="39" t="s">
        <v>434</v>
      </c>
      <c r="M432" s="38" t="s">
        <v>435</v>
      </c>
      <c r="N432" s="41" t="n">
        <v>0.8</v>
      </c>
      <c r="O432" s="41" t="n">
        <v>0.65</v>
      </c>
      <c r="P432" s="39" t="s">
        <v>436</v>
      </c>
      <c r="Q432" s="39" t="s">
        <v>437</v>
      </c>
      <c r="R432" s="39" t="s">
        <v>374</v>
      </c>
    </row>
    <row r="433" customFormat="false" ht="23.85" hidden="false" customHeight="false" outlineLevel="0" collapsed="false">
      <c r="A433" s="37" t="s">
        <v>1120</v>
      </c>
      <c r="B433" s="38" t="n">
        <v>8</v>
      </c>
      <c r="C433" s="39" t="s">
        <v>355</v>
      </c>
      <c r="D433" s="38" t="s">
        <v>369</v>
      </c>
      <c r="E433" s="39" t="s">
        <v>370</v>
      </c>
      <c r="F433" s="38" t="s">
        <v>50</v>
      </c>
      <c r="G433" s="39" t="s">
        <v>51</v>
      </c>
      <c r="H433" s="40" t="n">
        <f aca="false">INDEX(A_Scoring_Model!$C$5:$C$10,MATCH(F433,A_Scoring_Model!$A$5:$A$10,0))</f>
        <v>0.3</v>
      </c>
      <c r="I433" s="39" t="s">
        <v>431</v>
      </c>
      <c r="J433" s="39" t="s">
        <v>1121</v>
      </c>
      <c r="K433" s="38" t="s">
        <v>490</v>
      </c>
      <c r="L433" s="39" t="s">
        <v>434</v>
      </c>
      <c r="M433" s="38" t="s">
        <v>435</v>
      </c>
      <c r="N433" s="42" t="n">
        <v>0.9</v>
      </c>
      <c r="O433" s="42" t="n">
        <v>0.8</v>
      </c>
      <c r="P433" s="39" t="s">
        <v>436</v>
      </c>
      <c r="Q433" s="39" t="s">
        <v>437</v>
      </c>
      <c r="R433" s="39" t="s">
        <v>374</v>
      </c>
    </row>
    <row r="434" customFormat="false" ht="23.85" hidden="false" customHeight="false" outlineLevel="0" collapsed="false">
      <c r="A434" s="37" t="s">
        <v>1122</v>
      </c>
      <c r="B434" s="38" t="n">
        <v>8</v>
      </c>
      <c r="C434" s="39" t="s">
        <v>355</v>
      </c>
      <c r="D434" s="38" t="s">
        <v>369</v>
      </c>
      <c r="E434" s="39" t="s">
        <v>370</v>
      </c>
      <c r="F434" s="38" t="s">
        <v>50</v>
      </c>
      <c r="G434" s="39" t="s">
        <v>51</v>
      </c>
      <c r="H434" s="40" t="n">
        <f aca="false">INDEX(A_Scoring_Model!$C$5:$C$10,MATCH(F434,A_Scoring_Model!$A$5:$A$10,0))</f>
        <v>0.3</v>
      </c>
      <c r="I434" s="39" t="s">
        <v>431</v>
      </c>
      <c r="J434" s="39" t="s">
        <v>1123</v>
      </c>
      <c r="K434" s="38" t="s">
        <v>433</v>
      </c>
      <c r="L434" s="39" t="s">
        <v>434</v>
      </c>
      <c r="M434" s="38" t="s">
        <v>435</v>
      </c>
      <c r="N434" s="41" t="n">
        <v>0.5</v>
      </c>
      <c r="O434" s="41" t="n">
        <v>0.3</v>
      </c>
      <c r="P434" s="39" t="s">
        <v>436</v>
      </c>
      <c r="Q434" s="39" t="s">
        <v>437</v>
      </c>
      <c r="R434" s="39" t="s">
        <v>374</v>
      </c>
    </row>
    <row r="435" customFormat="false" ht="23.85" hidden="false" customHeight="false" outlineLevel="0" collapsed="false">
      <c r="A435" s="37" t="s">
        <v>1124</v>
      </c>
      <c r="B435" s="38" t="n">
        <v>8</v>
      </c>
      <c r="C435" s="39" t="s">
        <v>355</v>
      </c>
      <c r="D435" s="38" t="s">
        <v>369</v>
      </c>
      <c r="E435" s="39" t="s">
        <v>370</v>
      </c>
      <c r="F435" s="38" t="s">
        <v>53</v>
      </c>
      <c r="G435" s="39" t="s">
        <v>54</v>
      </c>
      <c r="H435" s="40" t="n">
        <f aca="false">INDEX(A_Scoring_Model!$C$5:$C$10,MATCH(F435,A_Scoring_Model!$A$5:$A$10,0))</f>
        <v>0.2</v>
      </c>
      <c r="I435" s="39" t="s">
        <v>431</v>
      </c>
      <c r="J435" s="39" t="s">
        <v>1125</v>
      </c>
      <c r="K435" s="38" t="s">
        <v>445</v>
      </c>
      <c r="L435" s="39" t="s">
        <v>434</v>
      </c>
      <c r="M435" s="38" t="s">
        <v>435</v>
      </c>
      <c r="N435" s="43" t="n">
        <v>1</v>
      </c>
      <c r="O435" s="43"/>
      <c r="P435" s="39" t="s">
        <v>446</v>
      </c>
      <c r="Q435" s="39" t="s">
        <v>447</v>
      </c>
      <c r="R435" s="39"/>
    </row>
    <row r="436" customFormat="false" ht="23.85" hidden="false" customHeight="false" outlineLevel="0" collapsed="false">
      <c r="A436" s="37" t="s">
        <v>1126</v>
      </c>
      <c r="B436" s="38" t="n">
        <v>8</v>
      </c>
      <c r="C436" s="39" t="s">
        <v>355</v>
      </c>
      <c r="D436" s="38" t="s">
        <v>369</v>
      </c>
      <c r="E436" s="39" t="s">
        <v>370</v>
      </c>
      <c r="F436" s="38" t="s">
        <v>53</v>
      </c>
      <c r="G436" s="39" t="s">
        <v>54</v>
      </c>
      <c r="H436" s="40" t="n">
        <f aca="false">INDEX(A_Scoring_Model!$C$5:$C$10,MATCH(F436,A_Scoring_Model!$A$5:$A$10,0))</f>
        <v>0.2</v>
      </c>
      <c r="I436" s="39" t="s">
        <v>449</v>
      </c>
      <c r="J436" s="39" t="s">
        <v>450</v>
      </c>
      <c r="K436" s="38" t="s">
        <v>451</v>
      </c>
      <c r="L436" s="39" t="s">
        <v>434</v>
      </c>
      <c r="M436" s="38" t="s">
        <v>435</v>
      </c>
      <c r="N436" s="44" t="n">
        <v>3</v>
      </c>
      <c r="O436" s="44" t="n">
        <v>2</v>
      </c>
      <c r="P436" s="39" t="s">
        <v>436</v>
      </c>
      <c r="Q436" s="39" t="s">
        <v>447</v>
      </c>
      <c r="R436" s="39"/>
    </row>
    <row r="437" customFormat="false" ht="23.85" hidden="false" customHeight="false" outlineLevel="0" collapsed="false">
      <c r="A437" s="37" t="s">
        <v>1127</v>
      </c>
      <c r="B437" s="38" t="n">
        <v>8</v>
      </c>
      <c r="C437" s="39" t="s">
        <v>355</v>
      </c>
      <c r="D437" s="38" t="s">
        <v>369</v>
      </c>
      <c r="E437" s="39" t="s">
        <v>370</v>
      </c>
      <c r="F437" s="38" t="s">
        <v>53</v>
      </c>
      <c r="G437" s="39" t="s">
        <v>54</v>
      </c>
      <c r="H437" s="40" t="n">
        <f aca="false">INDEX(A_Scoring_Model!$C$5:$C$10,MATCH(F437,A_Scoring_Model!$A$5:$A$10,0))</f>
        <v>0.2</v>
      </c>
      <c r="I437" s="39" t="s">
        <v>449</v>
      </c>
      <c r="J437" s="39" t="s">
        <v>453</v>
      </c>
      <c r="K437" s="38" t="s">
        <v>445</v>
      </c>
      <c r="L437" s="39" t="s">
        <v>434</v>
      </c>
      <c r="M437" s="38" t="s">
        <v>435</v>
      </c>
      <c r="N437" s="43" t="n">
        <v>1</v>
      </c>
      <c r="O437" s="43"/>
      <c r="P437" s="39" t="s">
        <v>446</v>
      </c>
      <c r="Q437" s="39" t="s">
        <v>447</v>
      </c>
      <c r="R437" s="39"/>
    </row>
    <row r="438" customFormat="false" ht="23.85" hidden="false" customHeight="false" outlineLevel="0" collapsed="false">
      <c r="A438" s="37" t="s">
        <v>1128</v>
      </c>
      <c r="B438" s="38" t="n">
        <v>8</v>
      </c>
      <c r="C438" s="39" t="s">
        <v>355</v>
      </c>
      <c r="D438" s="38" t="s">
        <v>369</v>
      </c>
      <c r="E438" s="39" t="s">
        <v>370</v>
      </c>
      <c r="F438" s="38" t="s">
        <v>56</v>
      </c>
      <c r="G438" s="39" t="s">
        <v>57</v>
      </c>
      <c r="H438" s="40" t="n">
        <f aca="false">INDEX(A_Scoring_Model!$C$5:$C$10,MATCH(F438,A_Scoring_Model!$A$5:$A$10,0))</f>
        <v>0.15</v>
      </c>
      <c r="I438" s="39" t="s">
        <v>431</v>
      </c>
      <c r="J438" s="39" t="s">
        <v>1129</v>
      </c>
      <c r="K438" s="38" t="s">
        <v>503</v>
      </c>
      <c r="L438" s="39" t="s">
        <v>461</v>
      </c>
      <c r="M438" s="38" t="s">
        <v>462</v>
      </c>
      <c r="N438" s="44" t="n">
        <v>10</v>
      </c>
      <c r="O438" s="44"/>
      <c r="P438" s="39" t="s">
        <v>446</v>
      </c>
      <c r="Q438" s="39" t="s">
        <v>457</v>
      </c>
      <c r="R438" s="39"/>
    </row>
    <row r="439" customFormat="false" ht="23.85" hidden="false" customHeight="false" outlineLevel="0" collapsed="false">
      <c r="A439" s="37" t="s">
        <v>1130</v>
      </c>
      <c r="B439" s="38" t="n">
        <v>8</v>
      </c>
      <c r="C439" s="39" t="s">
        <v>355</v>
      </c>
      <c r="D439" s="38" t="s">
        <v>369</v>
      </c>
      <c r="E439" s="39" t="s">
        <v>370</v>
      </c>
      <c r="F439" s="38" t="s">
        <v>56</v>
      </c>
      <c r="G439" s="39" t="s">
        <v>57</v>
      </c>
      <c r="H439" s="40" t="n">
        <f aca="false">INDEX(A_Scoring_Model!$C$5:$C$10,MATCH(F439,A_Scoring_Model!$A$5:$A$10,0))</f>
        <v>0.15</v>
      </c>
      <c r="I439" s="39" t="s">
        <v>449</v>
      </c>
      <c r="J439" s="39" t="s">
        <v>464</v>
      </c>
      <c r="K439" s="38" t="s">
        <v>433</v>
      </c>
      <c r="L439" s="39" t="s">
        <v>461</v>
      </c>
      <c r="M439" s="38" t="s">
        <v>462</v>
      </c>
      <c r="N439" s="41" t="n">
        <v>0.2</v>
      </c>
      <c r="O439" s="41" t="n">
        <v>0.4</v>
      </c>
      <c r="P439" s="39" t="s">
        <v>436</v>
      </c>
      <c r="Q439" s="39" t="s">
        <v>457</v>
      </c>
      <c r="R439" s="39"/>
    </row>
    <row r="440" customFormat="false" ht="23.85" hidden="false" customHeight="false" outlineLevel="0" collapsed="false">
      <c r="A440" s="37" t="s">
        <v>1131</v>
      </c>
      <c r="B440" s="38" t="n">
        <v>8</v>
      </c>
      <c r="C440" s="39" t="s">
        <v>355</v>
      </c>
      <c r="D440" s="38" t="s">
        <v>369</v>
      </c>
      <c r="E440" s="39" t="s">
        <v>370</v>
      </c>
      <c r="F440" s="38" t="s">
        <v>59</v>
      </c>
      <c r="G440" s="39" t="s">
        <v>60</v>
      </c>
      <c r="H440" s="40" t="n">
        <f aca="false">INDEX(A_Scoring_Model!$C$5:$C$10,MATCH(F440,A_Scoring_Model!$A$5:$A$10,0))</f>
        <v>0.1</v>
      </c>
      <c r="I440" s="39" t="s">
        <v>431</v>
      </c>
      <c r="J440" s="39" t="s">
        <v>1132</v>
      </c>
      <c r="K440" s="38" t="s">
        <v>433</v>
      </c>
      <c r="L440" s="39" t="s">
        <v>434</v>
      </c>
      <c r="M440" s="38" t="s">
        <v>435</v>
      </c>
      <c r="N440" s="41" t="n">
        <v>1</v>
      </c>
      <c r="O440" s="41"/>
      <c r="P440" s="39" t="s">
        <v>446</v>
      </c>
      <c r="Q440" s="39" t="s">
        <v>467</v>
      </c>
      <c r="R440" s="39"/>
    </row>
    <row r="441" customFormat="false" ht="23.85" hidden="false" customHeight="false" outlineLevel="0" collapsed="false">
      <c r="A441" s="37" t="s">
        <v>1133</v>
      </c>
      <c r="B441" s="38" t="n">
        <v>8</v>
      </c>
      <c r="C441" s="39" t="s">
        <v>355</v>
      </c>
      <c r="D441" s="38" t="s">
        <v>369</v>
      </c>
      <c r="E441" s="39" t="s">
        <v>370</v>
      </c>
      <c r="F441" s="38" t="s">
        <v>59</v>
      </c>
      <c r="G441" s="39" t="s">
        <v>60</v>
      </c>
      <c r="H441" s="40" t="n">
        <f aca="false">INDEX(A_Scoring_Model!$C$5:$C$10,MATCH(F441,A_Scoring_Model!$A$5:$A$10,0))</f>
        <v>0.1</v>
      </c>
      <c r="I441" s="39" t="s">
        <v>449</v>
      </c>
      <c r="J441" s="39" t="s">
        <v>471</v>
      </c>
      <c r="K441" s="38" t="s">
        <v>433</v>
      </c>
      <c r="L441" s="39" t="s">
        <v>434</v>
      </c>
      <c r="M441" s="38" t="s">
        <v>435</v>
      </c>
      <c r="N441" s="41" t="n">
        <v>0.995</v>
      </c>
      <c r="O441" s="41" t="n">
        <v>0.99</v>
      </c>
      <c r="P441" s="39" t="s">
        <v>436</v>
      </c>
      <c r="Q441" s="39" t="s">
        <v>467</v>
      </c>
      <c r="R441" s="39"/>
    </row>
    <row r="442" customFormat="false" ht="23.85" hidden="false" customHeight="false" outlineLevel="0" collapsed="false">
      <c r="A442" s="37" t="s">
        <v>1134</v>
      </c>
      <c r="B442" s="38" t="n">
        <v>8</v>
      </c>
      <c r="C442" s="39" t="s">
        <v>355</v>
      </c>
      <c r="D442" s="38" t="s">
        <v>369</v>
      </c>
      <c r="E442" s="39" t="s">
        <v>370</v>
      </c>
      <c r="F442" s="38" t="s">
        <v>62</v>
      </c>
      <c r="G442" s="39" t="s">
        <v>63</v>
      </c>
      <c r="H442" s="40" t="n">
        <f aca="false">INDEX(A_Scoring_Model!$C$5:$C$10,MATCH(F442,A_Scoring_Model!$A$5:$A$10,0))</f>
        <v>0.15</v>
      </c>
      <c r="I442" s="39" t="s">
        <v>431</v>
      </c>
      <c r="J442" s="39" t="s">
        <v>1135</v>
      </c>
      <c r="K442" s="38" t="s">
        <v>433</v>
      </c>
      <c r="L442" s="39" t="s">
        <v>434</v>
      </c>
      <c r="M442" s="38" t="s">
        <v>435</v>
      </c>
      <c r="N442" s="41" t="n">
        <v>0.15</v>
      </c>
      <c r="O442" s="41"/>
      <c r="P442" s="39" t="s">
        <v>446</v>
      </c>
      <c r="Q442" s="39" t="s">
        <v>474</v>
      </c>
      <c r="R442" s="39"/>
    </row>
    <row r="443" customFormat="false" ht="23.85" hidden="false" customHeight="false" outlineLevel="0" collapsed="false">
      <c r="A443" s="37" t="s">
        <v>1136</v>
      </c>
      <c r="B443" s="38" t="n">
        <v>8</v>
      </c>
      <c r="C443" s="39" t="s">
        <v>355</v>
      </c>
      <c r="D443" s="38" t="s">
        <v>369</v>
      </c>
      <c r="E443" s="39" t="s">
        <v>370</v>
      </c>
      <c r="F443" s="38" t="s">
        <v>65</v>
      </c>
      <c r="G443" s="39" t="s">
        <v>66</v>
      </c>
      <c r="H443" s="40" t="n">
        <f aca="false">INDEX(A_Scoring_Model!$C$5:$C$10,MATCH(F443,A_Scoring_Model!$A$5:$A$10,0))</f>
        <v>0.1</v>
      </c>
      <c r="I443" s="39" t="s">
        <v>449</v>
      </c>
      <c r="J443" s="39" t="s">
        <v>478</v>
      </c>
      <c r="K443" s="38" t="s">
        <v>433</v>
      </c>
      <c r="L443" s="39" t="s">
        <v>434</v>
      </c>
      <c r="M443" s="38" t="s">
        <v>435</v>
      </c>
      <c r="N443" s="41" t="n">
        <v>0.8</v>
      </c>
      <c r="O443" s="41" t="n">
        <v>0.6</v>
      </c>
      <c r="P443" s="39" t="s">
        <v>436</v>
      </c>
      <c r="Q443" s="39" t="s">
        <v>479</v>
      </c>
      <c r="R443" s="39"/>
    </row>
    <row r="444" customFormat="false" ht="23.85" hidden="false" customHeight="false" outlineLevel="0" collapsed="false">
      <c r="A444" s="37" t="s">
        <v>1137</v>
      </c>
      <c r="B444" s="38" t="n">
        <v>8</v>
      </c>
      <c r="C444" s="39" t="s">
        <v>355</v>
      </c>
      <c r="D444" s="38" t="s">
        <v>369</v>
      </c>
      <c r="E444" s="39" t="s">
        <v>370</v>
      </c>
      <c r="F444" s="38" t="s">
        <v>65</v>
      </c>
      <c r="G444" s="39" t="s">
        <v>66</v>
      </c>
      <c r="H444" s="40" t="n">
        <f aca="false">INDEX(A_Scoring_Model!$C$5:$C$10,MATCH(F444,A_Scoring_Model!$A$5:$A$10,0))</f>
        <v>0.1</v>
      </c>
      <c r="I444" s="39" t="s">
        <v>449</v>
      </c>
      <c r="J444" s="39" t="s">
        <v>481</v>
      </c>
      <c r="K444" s="38" t="s">
        <v>451</v>
      </c>
      <c r="L444" s="39" t="s">
        <v>461</v>
      </c>
      <c r="M444" s="38" t="s">
        <v>462</v>
      </c>
      <c r="N444" s="44" t="n">
        <v>0</v>
      </c>
      <c r="O444" s="44"/>
      <c r="P444" s="39" t="s">
        <v>446</v>
      </c>
      <c r="Q444" s="39" t="s">
        <v>479</v>
      </c>
      <c r="R444" s="39"/>
    </row>
    <row r="445" customFormat="false" ht="23.85" hidden="false" customHeight="false" outlineLevel="0" collapsed="false">
      <c r="A445" s="37" t="s">
        <v>1138</v>
      </c>
      <c r="B445" s="38" t="n">
        <v>8</v>
      </c>
      <c r="C445" s="39" t="s">
        <v>355</v>
      </c>
      <c r="D445" s="38" t="s">
        <v>369</v>
      </c>
      <c r="E445" s="39" t="s">
        <v>370</v>
      </c>
      <c r="F445" s="38" t="s">
        <v>65</v>
      </c>
      <c r="G445" s="39" t="s">
        <v>66</v>
      </c>
      <c r="H445" s="40" t="n">
        <f aca="false">INDEX(A_Scoring_Model!$C$5:$C$10,MATCH(F445,A_Scoring_Model!$A$5:$A$10,0))</f>
        <v>0.1</v>
      </c>
      <c r="I445" s="39" t="s">
        <v>449</v>
      </c>
      <c r="J445" s="39" t="s">
        <v>483</v>
      </c>
      <c r="K445" s="38" t="s">
        <v>451</v>
      </c>
      <c r="L445" s="39" t="s">
        <v>461</v>
      </c>
      <c r="M445" s="38" t="s">
        <v>462</v>
      </c>
      <c r="N445" s="44" t="n">
        <v>0</v>
      </c>
      <c r="O445" s="44"/>
      <c r="P445" s="39" t="s">
        <v>446</v>
      </c>
      <c r="Q445" s="39" t="s">
        <v>479</v>
      </c>
      <c r="R445" s="39"/>
    </row>
    <row r="446" customFormat="false" ht="23.85" hidden="false" customHeight="false" outlineLevel="0" collapsed="false">
      <c r="A446" s="37" t="s">
        <v>1139</v>
      </c>
      <c r="B446" s="38" t="n">
        <v>8</v>
      </c>
      <c r="C446" s="39" t="s">
        <v>355</v>
      </c>
      <c r="D446" s="38" t="s">
        <v>369</v>
      </c>
      <c r="E446" s="39" t="s">
        <v>370</v>
      </c>
      <c r="F446" s="38" t="s">
        <v>65</v>
      </c>
      <c r="G446" s="39" t="s">
        <v>66</v>
      </c>
      <c r="H446" s="40" t="n">
        <f aca="false">INDEX(A_Scoring_Model!$C$5:$C$10,MATCH(F446,A_Scoring_Model!$A$5:$A$10,0))</f>
        <v>0.1</v>
      </c>
      <c r="I446" s="39" t="s">
        <v>449</v>
      </c>
      <c r="J446" s="39" t="s">
        <v>485</v>
      </c>
      <c r="K446" s="38" t="s">
        <v>445</v>
      </c>
      <c r="L446" s="39" t="s">
        <v>434</v>
      </c>
      <c r="M446" s="38" t="s">
        <v>435</v>
      </c>
      <c r="N446" s="43" t="n">
        <v>1</v>
      </c>
      <c r="O446" s="43"/>
      <c r="P446" s="39" t="s">
        <v>446</v>
      </c>
      <c r="Q446" s="39" t="s">
        <v>479</v>
      </c>
      <c r="R446" s="39"/>
    </row>
    <row r="447" customFormat="false" ht="23.85" hidden="false" customHeight="false" outlineLevel="0" collapsed="false">
      <c r="A447" s="37" t="s">
        <v>1140</v>
      </c>
      <c r="B447" s="38" t="n">
        <v>8</v>
      </c>
      <c r="C447" s="39" t="s">
        <v>355</v>
      </c>
      <c r="D447" s="38" t="s">
        <v>369</v>
      </c>
      <c r="E447" s="39" t="s">
        <v>370</v>
      </c>
      <c r="F447" s="38" t="s">
        <v>65</v>
      </c>
      <c r="G447" s="39" t="s">
        <v>66</v>
      </c>
      <c r="H447" s="40" t="n">
        <f aca="false">INDEX(A_Scoring_Model!$C$5:$C$10,MATCH(F447,A_Scoring_Model!$A$5:$A$10,0))</f>
        <v>0.1</v>
      </c>
      <c r="I447" s="39" t="s">
        <v>449</v>
      </c>
      <c r="J447" s="39" t="s">
        <v>487</v>
      </c>
      <c r="K447" s="38" t="s">
        <v>445</v>
      </c>
      <c r="L447" s="39" t="s">
        <v>434</v>
      </c>
      <c r="M447" s="38" t="s">
        <v>435</v>
      </c>
      <c r="N447" s="43" t="n">
        <v>1</v>
      </c>
      <c r="O447" s="43"/>
      <c r="P447" s="39" t="s">
        <v>446</v>
      </c>
      <c r="Q447" s="39" t="s">
        <v>479</v>
      </c>
      <c r="R447" s="39"/>
    </row>
    <row r="448" customFormat="false" ht="23.85" hidden="false" customHeight="false" outlineLevel="0" collapsed="false">
      <c r="A448" s="45" t="s">
        <v>1141</v>
      </c>
      <c r="B448" s="21" t="n">
        <v>9</v>
      </c>
      <c r="C448" s="16" t="s">
        <v>375</v>
      </c>
      <c r="D448" s="21" t="s">
        <v>376</v>
      </c>
      <c r="E448" s="16" t="s">
        <v>377</v>
      </c>
      <c r="F448" s="21" t="s">
        <v>50</v>
      </c>
      <c r="G448" s="16" t="s">
        <v>51</v>
      </c>
      <c r="H448" s="46" t="n">
        <f aca="false">INDEX(A_Scoring_Model!$C$5:$C$10,MATCH(F448,A_Scoring_Model!$A$5:$A$10,0))</f>
        <v>0.3</v>
      </c>
      <c r="I448" s="16" t="s">
        <v>431</v>
      </c>
      <c r="J448" s="16" t="s">
        <v>1142</v>
      </c>
      <c r="K448" s="21" t="s">
        <v>433</v>
      </c>
      <c r="L448" s="16" t="s">
        <v>434</v>
      </c>
      <c r="M448" s="21" t="s">
        <v>435</v>
      </c>
      <c r="N448" s="48" t="n">
        <v>0.95</v>
      </c>
      <c r="O448" s="48" t="n">
        <v>0.9</v>
      </c>
      <c r="P448" s="16" t="s">
        <v>436</v>
      </c>
      <c r="Q448" s="16" t="s">
        <v>437</v>
      </c>
      <c r="R448" s="16" t="s">
        <v>381</v>
      </c>
    </row>
    <row r="449" customFormat="false" ht="23.85" hidden="false" customHeight="false" outlineLevel="0" collapsed="false">
      <c r="A449" s="45" t="s">
        <v>1143</v>
      </c>
      <c r="B449" s="21" t="n">
        <v>9</v>
      </c>
      <c r="C449" s="16" t="s">
        <v>375</v>
      </c>
      <c r="D449" s="21" t="s">
        <v>376</v>
      </c>
      <c r="E449" s="16" t="s">
        <v>377</v>
      </c>
      <c r="F449" s="21" t="s">
        <v>50</v>
      </c>
      <c r="G449" s="16" t="s">
        <v>51</v>
      </c>
      <c r="H449" s="46" t="n">
        <f aca="false">INDEX(A_Scoring_Model!$C$5:$C$10,MATCH(F449,A_Scoring_Model!$A$5:$A$10,0))</f>
        <v>0.3</v>
      </c>
      <c r="I449" s="16" t="s">
        <v>431</v>
      </c>
      <c r="J449" s="16" t="s">
        <v>1144</v>
      </c>
      <c r="K449" s="21" t="s">
        <v>433</v>
      </c>
      <c r="L449" s="16" t="s">
        <v>434</v>
      </c>
      <c r="M449" s="21" t="s">
        <v>435</v>
      </c>
      <c r="N449" s="48" t="n">
        <v>1</v>
      </c>
      <c r="O449" s="48" t="n">
        <v>1</v>
      </c>
      <c r="P449" s="16" t="s">
        <v>436</v>
      </c>
      <c r="Q449" s="16" t="s">
        <v>437</v>
      </c>
      <c r="R449" s="16" t="s">
        <v>381</v>
      </c>
    </row>
    <row r="450" customFormat="false" ht="23.85" hidden="false" customHeight="false" outlineLevel="0" collapsed="false">
      <c r="A450" s="45" t="s">
        <v>1145</v>
      </c>
      <c r="B450" s="21" t="n">
        <v>9</v>
      </c>
      <c r="C450" s="16" t="s">
        <v>375</v>
      </c>
      <c r="D450" s="21" t="s">
        <v>376</v>
      </c>
      <c r="E450" s="16" t="s">
        <v>377</v>
      </c>
      <c r="F450" s="21" t="s">
        <v>50</v>
      </c>
      <c r="G450" s="16" t="s">
        <v>51</v>
      </c>
      <c r="H450" s="46" t="n">
        <f aca="false">INDEX(A_Scoring_Model!$C$5:$C$10,MATCH(F450,A_Scoring_Model!$A$5:$A$10,0))</f>
        <v>0.3</v>
      </c>
      <c r="I450" s="16" t="s">
        <v>431</v>
      </c>
      <c r="J450" s="16" t="s">
        <v>1146</v>
      </c>
      <c r="K450" s="21" t="s">
        <v>451</v>
      </c>
      <c r="L450" s="16" t="s">
        <v>461</v>
      </c>
      <c r="M450" s="21" t="s">
        <v>462</v>
      </c>
      <c r="N450" s="49" t="n">
        <v>0</v>
      </c>
      <c r="O450" s="49" t="n">
        <v>0</v>
      </c>
      <c r="P450" s="16" t="s">
        <v>436</v>
      </c>
      <c r="Q450" s="16" t="s">
        <v>437</v>
      </c>
      <c r="R450" s="16" t="s">
        <v>381</v>
      </c>
    </row>
    <row r="451" customFormat="false" ht="23.85" hidden="false" customHeight="false" outlineLevel="0" collapsed="false">
      <c r="A451" s="45" t="s">
        <v>1147</v>
      </c>
      <c r="B451" s="21" t="n">
        <v>9</v>
      </c>
      <c r="C451" s="16" t="s">
        <v>375</v>
      </c>
      <c r="D451" s="21" t="s">
        <v>376</v>
      </c>
      <c r="E451" s="16" t="s">
        <v>377</v>
      </c>
      <c r="F451" s="21" t="s">
        <v>53</v>
      </c>
      <c r="G451" s="16" t="s">
        <v>54</v>
      </c>
      <c r="H451" s="46" t="n">
        <f aca="false">INDEX(A_Scoring_Model!$C$5:$C$10,MATCH(F451,A_Scoring_Model!$A$5:$A$10,0))</f>
        <v>0.2</v>
      </c>
      <c r="I451" s="16" t="s">
        <v>431</v>
      </c>
      <c r="J451" s="16" t="s">
        <v>1148</v>
      </c>
      <c r="K451" s="21" t="s">
        <v>445</v>
      </c>
      <c r="L451" s="16" t="s">
        <v>434</v>
      </c>
      <c r="M451" s="21" t="s">
        <v>435</v>
      </c>
      <c r="N451" s="19" t="n">
        <v>1</v>
      </c>
      <c r="O451" s="19"/>
      <c r="P451" s="16" t="s">
        <v>446</v>
      </c>
      <c r="Q451" s="16" t="s">
        <v>447</v>
      </c>
      <c r="R451" s="16"/>
    </row>
    <row r="452" customFormat="false" ht="23.85" hidden="false" customHeight="false" outlineLevel="0" collapsed="false">
      <c r="A452" s="45" t="s">
        <v>1149</v>
      </c>
      <c r="B452" s="21" t="n">
        <v>9</v>
      </c>
      <c r="C452" s="16" t="s">
        <v>375</v>
      </c>
      <c r="D452" s="21" t="s">
        <v>376</v>
      </c>
      <c r="E452" s="16" t="s">
        <v>377</v>
      </c>
      <c r="F452" s="21" t="s">
        <v>53</v>
      </c>
      <c r="G452" s="16" t="s">
        <v>54</v>
      </c>
      <c r="H452" s="46" t="n">
        <f aca="false">INDEX(A_Scoring_Model!$C$5:$C$10,MATCH(F452,A_Scoring_Model!$A$5:$A$10,0))</f>
        <v>0.2</v>
      </c>
      <c r="I452" s="16" t="s">
        <v>449</v>
      </c>
      <c r="J452" s="16" t="s">
        <v>450</v>
      </c>
      <c r="K452" s="21" t="s">
        <v>451</v>
      </c>
      <c r="L452" s="16" t="s">
        <v>434</v>
      </c>
      <c r="M452" s="21" t="s">
        <v>435</v>
      </c>
      <c r="N452" s="49" t="n">
        <v>3</v>
      </c>
      <c r="O452" s="49" t="n">
        <v>2</v>
      </c>
      <c r="P452" s="16" t="s">
        <v>436</v>
      </c>
      <c r="Q452" s="16" t="s">
        <v>447</v>
      </c>
      <c r="R452" s="16"/>
    </row>
    <row r="453" customFormat="false" ht="23.85" hidden="false" customHeight="false" outlineLevel="0" collapsed="false">
      <c r="A453" s="45" t="s">
        <v>1150</v>
      </c>
      <c r="B453" s="21" t="n">
        <v>9</v>
      </c>
      <c r="C453" s="16" t="s">
        <v>375</v>
      </c>
      <c r="D453" s="21" t="s">
        <v>376</v>
      </c>
      <c r="E453" s="16" t="s">
        <v>377</v>
      </c>
      <c r="F453" s="21" t="s">
        <v>53</v>
      </c>
      <c r="G453" s="16" t="s">
        <v>54</v>
      </c>
      <c r="H453" s="46" t="n">
        <f aca="false">INDEX(A_Scoring_Model!$C$5:$C$10,MATCH(F453,A_Scoring_Model!$A$5:$A$10,0))</f>
        <v>0.2</v>
      </c>
      <c r="I453" s="16" t="s">
        <v>449</v>
      </c>
      <c r="J453" s="16" t="s">
        <v>453</v>
      </c>
      <c r="K453" s="21" t="s">
        <v>445</v>
      </c>
      <c r="L453" s="16" t="s">
        <v>434</v>
      </c>
      <c r="M453" s="21" t="s">
        <v>435</v>
      </c>
      <c r="N453" s="19" t="n">
        <v>1</v>
      </c>
      <c r="O453" s="19"/>
      <c r="P453" s="16" t="s">
        <v>446</v>
      </c>
      <c r="Q453" s="16" t="s">
        <v>447</v>
      </c>
      <c r="R453" s="16"/>
    </row>
    <row r="454" customFormat="false" ht="23.85" hidden="false" customHeight="false" outlineLevel="0" collapsed="false">
      <c r="A454" s="45" t="s">
        <v>1151</v>
      </c>
      <c r="B454" s="21" t="n">
        <v>9</v>
      </c>
      <c r="C454" s="16" t="s">
        <v>375</v>
      </c>
      <c r="D454" s="21" t="s">
        <v>376</v>
      </c>
      <c r="E454" s="16" t="s">
        <v>377</v>
      </c>
      <c r="F454" s="21" t="s">
        <v>56</v>
      </c>
      <c r="G454" s="16" t="s">
        <v>57</v>
      </c>
      <c r="H454" s="46" t="n">
        <f aca="false">INDEX(A_Scoring_Model!$C$5:$C$10,MATCH(F454,A_Scoring_Model!$A$5:$A$10,0))</f>
        <v>0.15</v>
      </c>
      <c r="I454" s="16" t="s">
        <v>431</v>
      </c>
      <c r="J454" s="16" t="s">
        <v>1152</v>
      </c>
      <c r="K454" s="21" t="s">
        <v>503</v>
      </c>
      <c r="L454" s="16" t="s">
        <v>461</v>
      </c>
      <c r="M454" s="21" t="s">
        <v>462</v>
      </c>
      <c r="N454" s="49" t="n">
        <v>5</v>
      </c>
      <c r="O454" s="49"/>
      <c r="P454" s="16" t="s">
        <v>446</v>
      </c>
      <c r="Q454" s="16" t="s">
        <v>457</v>
      </c>
      <c r="R454" s="16"/>
    </row>
    <row r="455" customFormat="false" ht="23.85" hidden="false" customHeight="false" outlineLevel="0" collapsed="false">
      <c r="A455" s="45" t="s">
        <v>1153</v>
      </c>
      <c r="B455" s="21" t="n">
        <v>9</v>
      </c>
      <c r="C455" s="16" t="s">
        <v>375</v>
      </c>
      <c r="D455" s="21" t="s">
        <v>376</v>
      </c>
      <c r="E455" s="16" t="s">
        <v>377</v>
      </c>
      <c r="F455" s="21" t="s">
        <v>56</v>
      </c>
      <c r="G455" s="16" t="s">
        <v>57</v>
      </c>
      <c r="H455" s="46" t="n">
        <f aca="false">INDEX(A_Scoring_Model!$C$5:$C$10,MATCH(F455,A_Scoring_Model!$A$5:$A$10,0))</f>
        <v>0.15</v>
      </c>
      <c r="I455" s="16" t="s">
        <v>449</v>
      </c>
      <c r="J455" s="16" t="s">
        <v>464</v>
      </c>
      <c r="K455" s="21" t="s">
        <v>433</v>
      </c>
      <c r="L455" s="16" t="s">
        <v>461</v>
      </c>
      <c r="M455" s="21" t="s">
        <v>462</v>
      </c>
      <c r="N455" s="48" t="n">
        <v>0.2</v>
      </c>
      <c r="O455" s="48" t="n">
        <v>0.4</v>
      </c>
      <c r="P455" s="16" t="s">
        <v>436</v>
      </c>
      <c r="Q455" s="16" t="s">
        <v>457</v>
      </c>
      <c r="R455" s="16"/>
    </row>
    <row r="456" customFormat="false" ht="23.85" hidden="false" customHeight="false" outlineLevel="0" collapsed="false">
      <c r="A456" s="45" t="s">
        <v>1154</v>
      </c>
      <c r="B456" s="21" t="n">
        <v>9</v>
      </c>
      <c r="C456" s="16" t="s">
        <v>375</v>
      </c>
      <c r="D456" s="21" t="s">
        <v>376</v>
      </c>
      <c r="E456" s="16" t="s">
        <v>377</v>
      </c>
      <c r="F456" s="21" t="s">
        <v>59</v>
      </c>
      <c r="G456" s="16" t="s">
        <v>60</v>
      </c>
      <c r="H456" s="46" t="n">
        <f aca="false">INDEX(A_Scoring_Model!$C$5:$C$10,MATCH(F456,A_Scoring_Model!$A$5:$A$10,0))</f>
        <v>0.1</v>
      </c>
      <c r="I456" s="16" t="s">
        <v>431</v>
      </c>
      <c r="J456" s="16" t="s">
        <v>1155</v>
      </c>
      <c r="K456" s="21" t="s">
        <v>433</v>
      </c>
      <c r="L456" s="16" t="s">
        <v>434</v>
      </c>
      <c r="M456" s="21" t="s">
        <v>435</v>
      </c>
      <c r="N456" s="48" t="n">
        <v>1</v>
      </c>
      <c r="O456" s="48"/>
      <c r="P456" s="16" t="s">
        <v>446</v>
      </c>
      <c r="Q456" s="16" t="s">
        <v>467</v>
      </c>
      <c r="R456" s="16"/>
    </row>
    <row r="457" customFormat="false" ht="23.85" hidden="false" customHeight="false" outlineLevel="0" collapsed="false">
      <c r="A457" s="45" t="s">
        <v>1156</v>
      </c>
      <c r="B457" s="21" t="n">
        <v>9</v>
      </c>
      <c r="C457" s="16" t="s">
        <v>375</v>
      </c>
      <c r="D457" s="21" t="s">
        <v>376</v>
      </c>
      <c r="E457" s="16" t="s">
        <v>377</v>
      </c>
      <c r="F457" s="21" t="s">
        <v>59</v>
      </c>
      <c r="G457" s="16" t="s">
        <v>60</v>
      </c>
      <c r="H457" s="46" t="n">
        <f aca="false">INDEX(A_Scoring_Model!$C$5:$C$10,MATCH(F457,A_Scoring_Model!$A$5:$A$10,0))</f>
        <v>0.1</v>
      </c>
      <c r="I457" s="16" t="s">
        <v>449</v>
      </c>
      <c r="J457" s="16" t="s">
        <v>471</v>
      </c>
      <c r="K457" s="21" t="s">
        <v>433</v>
      </c>
      <c r="L457" s="16" t="s">
        <v>434</v>
      </c>
      <c r="M457" s="21" t="s">
        <v>435</v>
      </c>
      <c r="N457" s="48" t="n">
        <v>0.995</v>
      </c>
      <c r="O457" s="48" t="n">
        <v>0.99</v>
      </c>
      <c r="P457" s="16" t="s">
        <v>436</v>
      </c>
      <c r="Q457" s="16" t="s">
        <v>467</v>
      </c>
      <c r="R457" s="16"/>
    </row>
    <row r="458" customFormat="false" ht="23.85" hidden="false" customHeight="false" outlineLevel="0" collapsed="false">
      <c r="A458" s="45" t="s">
        <v>1157</v>
      </c>
      <c r="B458" s="21" t="n">
        <v>9</v>
      </c>
      <c r="C458" s="16" t="s">
        <v>375</v>
      </c>
      <c r="D458" s="21" t="s">
        <v>376</v>
      </c>
      <c r="E458" s="16" t="s">
        <v>377</v>
      </c>
      <c r="F458" s="21" t="s">
        <v>62</v>
      </c>
      <c r="G458" s="16" t="s">
        <v>63</v>
      </c>
      <c r="H458" s="46" t="n">
        <f aca="false">INDEX(A_Scoring_Model!$C$5:$C$10,MATCH(F458,A_Scoring_Model!$A$5:$A$10,0))</f>
        <v>0.15</v>
      </c>
      <c r="I458" s="16" t="s">
        <v>431</v>
      </c>
      <c r="J458" s="16" t="s">
        <v>1158</v>
      </c>
      <c r="K458" s="21" t="s">
        <v>433</v>
      </c>
      <c r="L458" s="16" t="s">
        <v>434</v>
      </c>
      <c r="M458" s="21" t="s">
        <v>435</v>
      </c>
      <c r="N458" s="48" t="n">
        <v>0.5</v>
      </c>
      <c r="O458" s="48"/>
      <c r="P458" s="16" t="s">
        <v>446</v>
      </c>
      <c r="Q458" s="16" t="s">
        <v>474</v>
      </c>
      <c r="R458" s="16"/>
    </row>
    <row r="459" customFormat="false" ht="23.85" hidden="false" customHeight="false" outlineLevel="0" collapsed="false">
      <c r="A459" s="45" t="s">
        <v>1159</v>
      </c>
      <c r="B459" s="21" t="n">
        <v>9</v>
      </c>
      <c r="C459" s="16" t="s">
        <v>375</v>
      </c>
      <c r="D459" s="21" t="s">
        <v>376</v>
      </c>
      <c r="E459" s="16" t="s">
        <v>377</v>
      </c>
      <c r="F459" s="21" t="s">
        <v>65</v>
      </c>
      <c r="G459" s="16" t="s">
        <v>66</v>
      </c>
      <c r="H459" s="46" t="n">
        <f aca="false">INDEX(A_Scoring_Model!$C$5:$C$10,MATCH(F459,A_Scoring_Model!$A$5:$A$10,0))</f>
        <v>0.1</v>
      </c>
      <c r="I459" s="16" t="s">
        <v>449</v>
      </c>
      <c r="J459" s="16" t="s">
        <v>478</v>
      </c>
      <c r="K459" s="21" t="s">
        <v>433</v>
      </c>
      <c r="L459" s="16" t="s">
        <v>434</v>
      </c>
      <c r="M459" s="21" t="s">
        <v>435</v>
      </c>
      <c r="N459" s="48" t="n">
        <v>0.8</v>
      </c>
      <c r="O459" s="48" t="n">
        <v>0.6</v>
      </c>
      <c r="P459" s="16" t="s">
        <v>436</v>
      </c>
      <c r="Q459" s="16" t="s">
        <v>479</v>
      </c>
      <c r="R459" s="16"/>
    </row>
    <row r="460" customFormat="false" ht="23.85" hidden="false" customHeight="false" outlineLevel="0" collapsed="false">
      <c r="A460" s="45" t="s">
        <v>1160</v>
      </c>
      <c r="B460" s="21" t="n">
        <v>9</v>
      </c>
      <c r="C460" s="16" t="s">
        <v>375</v>
      </c>
      <c r="D460" s="21" t="s">
        <v>376</v>
      </c>
      <c r="E460" s="16" t="s">
        <v>377</v>
      </c>
      <c r="F460" s="21" t="s">
        <v>65</v>
      </c>
      <c r="G460" s="16" t="s">
        <v>66</v>
      </c>
      <c r="H460" s="46" t="n">
        <f aca="false">INDEX(A_Scoring_Model!$C$5:$C$10,MATCH(F460,A_Scoring_Model!$A$5:$A$10,0))</f>
        <v>0.1</v>
      </c>
      <c r="I460" s="16" t="s">
        <v>449</v>
      </c>
      <c r="J460" s="16" t="s">
        <v>481</v>
      </c>
      <c r="K460" s="21" t="s">
        <v>451</v>
      </c>
      <c r="L460" s="16" t="s">
        <v>461</v>
      </c>
      <c r="M460" s="21" t="s">
        <v>462</v>
      </c>
      <c r="N460" s="49" t="n">
        <v>0</v>
      </c>
      <c r="O460" s="49"/>
      <c r="P460" s="16" t="s">
        <v>446</v>
      </c>
      <c r="Q460" s="16" t="s">
        <v>479</v>
      </c>
      <c r="R460" s="16"/>
    </row>
    <row r="461" customFormat="false" ht="23.85" hidden="false" customHeight="false" outlineLevel="0" collapsed="false">
      <c r="A461" s="45" t="s">
        <v>1161</v>
      </c>
      <c r="B461" s="21" t="n">
        <v>9</v>
      </c>
      <c r="C461" s="16" t="s">
        <v>375</v>
      </c>
      <c r="D461" s="21" t="s">
        <v>376</v>
      </c>
      <c r="E461" s="16" t="s">
        <v>377</v>
      </c>
      <c r="F461" s="21" t="s">
        <v>65</v>
      </c>
      <c r="G461" s="16" t="s">
        <v>66</v>
      </c>
      <c r="H461" s="46" t="n">
        <f aca="false">INDEX(A_Scoring_Model!$C$5:$C$10,MATCH(F461,A_Scoring_Model!$A$5:$A$10,0))</f>
        <v>0.1</v>
      </c>
      <c r="I461" s="16" t="s">
        <v>449</v>
      </c>
      <c r="J461" s="16" t="s">
        <v>483</v>
      </c>
      <c r="K461" s="21" t="s">
        <v>451</v>
      </c>
      <c r="L461" s="16" t="s">
        <v>461</v>
      </c>
      <c r="M461" s="21" t="s">
        <v>462</v>
      </c>
      <c r="N461" s="49" t="n">
        <v>0</v>
      </c>
      <c r="O461" s="49"/>
      <c r="P461" s="16" t="s">
        <v>446</v>
      </c>
      <c r="Q461" s="16" t="s">
        <v>479</v>
      </c>
      <c r="R461" s="16"/>
    </row>
    <row r="462" customFormat="false" ht="23.85" hidden="false" customHeight="false" outlineLevel="0" collapsed="false">
      <c r="A462" s="45" t="s">
        <v>1162</v>
      </c>
      <c r="B462" s="21" t="n">
        <v>9</v>
      </c>
      <c r="C462" s="16" t="s">
        <v>375</v>
      </c>
      <c r="D462" s="21" t="s">
        <v>376</v>
      </c>
      <c r="E462" s="16" t="s">
        <v>377</v>
      </c>
      <c r="F462" s="21" t="s">
        <v>65</v>
      </c>
      <c r="G462" s="16" t="s">
        <v>66</v>
      </c>
      <c r="H462" s="46" t="n">
        <f aca="false">INDEX(A_Scoring_Model!$C$5:$C$10,MATCH(F462,A_Scoring_Model!$A$5:$A$10,0))</f>
        <v>0.1</v>
      </c>
      <c r="I462" s="16" t="s">
        <v>449</v>
      </c>
      <c r="J462" s="16" t="s">
        <v>485</v>
      </c>
      <c r="K462" s="21" t="s">
        <v>445</v>
      </c>
      <c r="L462" s="16" t="s">
        <v>434</v>
      </c>
      <c r="M462" s="21" t="s">
        <v>435</v>
      </c>
      <c r="N462" s="19" t="n">
        <v>1</v>
      </c>
      <c r="O462" s="19"/>
      <c r="P462" s="16" t="s">
        <v>446</v>
      </c>
      <c r="Q462" s="16" t="s">
        <v>479</v>
      </c>
      <c r="R462" s="16"/>
    </row>
    <row r="463" customFormat="false" ht="23.85" hidden="false" customHeight="false" outlineLevel="0" collapsed="false">
      <c r="A463" s="45" t="s">
        <v>1163</v>
      </c>
      <c r="B463" s="21" t="n">
        <v>9</v>
      </c>
      <c r="C463" s="16" t="s">
        <v>375</v>
      </c>
      <c r="D463" s="21" t="s">
        <v>376</v>
      </c>
      <c r="E463" s="16" t="s">
        <v>377</v>
      </c>
      <c r="F463" s="21" t="s">
        <v>65</v>
      </c>
      <c r="G463" s="16" t="s">
        <v>66</v>
      </c>
      <c r="H463" s="46" t="n">
        <f aca="false">INDEX(A_Scoring_Model!$C$5:$C$10,MATCH(F463,A_Scoring_Model!$A$5:$A$10,0))</f>
        <v>0.1</v>
      </c>
      <c r="I463" s="16" t="s">
        <v>449</v>
      </c>
      <c r="J463" s="16" t="s">
        <v>487</v>
      </c>
      <c r="K463" s="21" t="s">
        <v>445</v>
      </c>
      <c r="L463" s="16" t="s">
        <v>434</v>
      </c>
      <c r="M463" s="21" t="s">
        <v>435</v>
      </c>
      <c r="N463" s="19" t="n">
        <v>1</v>
      </c>
      <c r="O463" s="19"/>
      <c r="P463" s="16" t="s">
        <v>446</v>
      </c>
      <c r="Q463" s="16" t="s">
        <v>479</v>
      </c>
      <c r="R463" s="16"/>
    </row>
    <row r="464" customFormat="false" ht="23.85" hidden="false" customHeight="false" outlineLevel="0" collapsed="false">
      <c r="A464" s="37" t="s">
        <v>1164</v>
      </c>
      <c r="B464" s="38" t="n">
        <v>9</v>
      </c>
      <c r="C464" s="39" t="s">
        <v>375</v>
      </c>
      <c r="D464" s="38" t="s">
        <v>383</v>
      </c>
      <c r="E464" s="39" t="s">
        <v>384</v>
      </c>
      <c r="F464" s="38" t="s">
        <v>50</v>
      </c>
      <c r="G464" s="39" t="s">
        <v>51</v>
      </c>
      <c r="H464" s="40" t="n">
        <f aca="false">INDEX(A_Scoring_Model!$C$5:$C$10,MATCH(F464,A_Scoring_Model!$A$5:$A$10,0))</f>
        <v>0.3</v>
      </c>
      <c r="I464" s="39" t="s">
        <v>431</v>
      </c>
      <c r="J464" s="39" t="s">
        <v>1165</v>
      </c>
      <c r="K464" s="38" t="s">
        <v>433</v>
      </c>
      <c r="L464" s="39" t="s">
        <v>434</v>
      </c>
      <c r="M464" s="38" t="s">
        <v>435</v>
      </c>
      <c r="N464" s="41" t="n">
        <v>0.98</v>
      </c>
      <c r="O464" s="41" t="n">
        <v>0.95</v>
      </c>
      <c r="P464" s="39" t="s">
        <v>436</v>
      </c>
      <c r="Q464" s="39" t="s">
        <v>437</v>
      </c>
      <c r="R464" s="39" t="s">
        <v>388</v>
      </c>
    </row>
    <row r="465" customFormat="false" ht="23.85" hidden="false" customHeight="false" outlineLevel="0" collapsed="false">
      <c r="A465" s="37" t="s">
        <v>1166</v>
      </c>
      <c r="B465" s="38" t="n">
        <v>9</v>
      </c>
      <c r="C465" s="39" t="s">
        <v>375</v>
      </c>
      <c r="D465" s="38" t="s">
        <v>383</v>
      </c>
      <c r="E465" s="39" t="s">
        <v>384</v>
      </c>
      <c r="F465" s="38" t="s">
        <v>50</v>
      </c>
      <c r="G465" s="39" t="s">
        <v>51</v>
      </c>
      <c r="H465" s="40" t="n">
        <f aca="false">INDEX(A_Scoring_Model!$C$5:$C$10,MATCH(F465,A_Scoring_Model!$A$5:$A$10,0))</f>
        <v>0.3</v>
      </c>
      <c r="I465" s="39" t="s">
        <v>431</v>
      </c>
      <c r="J465" s="39" t="s">
        <v>1167</v>
      </c>
      <c r="K465" s="38" t="s">
        <v>433</v>
      </c>
      <c r="L465" s="39" t="s">
        <v>434</v>
      </c>
      <c r="M465" s="38" t="s">
        <v>435</v>
      </c>
      <c r="N465" s="41" t="n">
        <v>1</v>
      </c>
      <c r="O465" s="41" t="n">
        <v>1</v>
      </c>
      <c r="P465" s="39" t="s">
        <v>436</v>
      </c>
      <c r="Q465" s="39" t="s">
        <v>437</v>
      </c>
      <c r="R465" s="39" t="s">
        <v>388</v>
      </c>
    </row>
    <row r="466" customFormat="false" ht="23.85" hidden="false" customHeight="false" outlineLevel="0" collapsed="false">
      <c r="A466" s="37" t="s">
        <v>1168</v>
      </c>
      <c r="B466" s="38" t="n">
        <v>9</v>
      </c>
      <c r="C466" s="39" t="s">
        <v>375</v>
      </c>
      <c r="D466" s="38" t="s">
        <v>383</v>
      </c>
      <c r="E466" s="39" t="s">
        <v>384</v>
      </c>
      <c r="F466" s="38" t="s">
        <v>53</v>
      </c>
      <c r="G466" s="39" t="s">
        <v>54</v>
      </c>
      <c r="H466" s="40" t="n">
        <f aca="false">INDEX(A_Scoring_Model!$C$5:$C$10,MATCH(F466,A_Scoring_Model!$A$5:$A$10,0))</f>
        <v>0.2</v>
      </c>
      <c r="I466" s="39" t="s">
        <v>431</v>
      </c>
      <c r="J466" s="39" t="s">
        <v>1169</v>
      </c>
      <c r="K466" s="38" t="s">
        <v>445</v>
      </c>
      <c r="L466" s="39" t="s">
        <v>434</v>
      </c>
      <c r="M466" s="38" t="s">
        <v>435</v>
      </c>
      <c r="N466" s="43" t="n">
        <v>1</v>
      </c>
      <c r="O466" s="43"/>
      <c r="P466" s="39" t="s">
        <v>446</v>
      </c>
      <c r="Q466" s="39" t="s">
        <v>447</v>
      </c>
      <c r="R466" s="39"/>
    </row>
    <row r="467" customFormat="false" ht="23.85" hidden="false" customHeight="false" outlineLevel="0" collapsed="false">
      <c r="A467" s="37" t="s">
        <v>1170</v>
      </c>
      <c r="B467" s="38" t="n">
        <v>9</v>
      </c>
      <c r="C467" s="39" t="s">
        <v>375</v>
      </c>
      <c r="D467" s="38" t="s">
        <v>383</v>
      </c>
      <c r="E467" s="39" t="s">
        <v>384</v>
      </c>
      <c r="F467" s="38" t="s">
        <v>53</v>
      </c>
      <c r="G467" s="39" t="s">
        <v>54</v>
      </c>
      <c r="H467" s="40" t="n">
        <f aca="false">INDEX(A_Scoring_Model!$C$5:$C$10,MATCH(F467,A_Scoring_Model!$A$5:$A$10,0))</f>
        <v>0.2</v>
      </c>
      <c r="I467" s="39" t="s">
        <v>449</v>
      </c>
      <c r="J467" s="39" t="s">
        <v>450</v>
      </c>
      <c r="K467" s="38" t="s">
        <v>451</v>
      </c>
      <c r="L467" s="39" t="s">
        <v>434</v>
      </c>
      <c r="M467" s="38" t="s">
        <v>435</v>
      </c>
      <c r="N467" s="44" t="n">
        <v>3</v>
      </c>
      <c r="O467" s="44" t="n">
        <v>2</v>
      </c>
      <c r="P467" s="39" t="s">
        <v>436</v>
      </c>
      <c r="Q467" s="39" t="s">
        <v>447</v>
      </c>
      <c r="R467" s="39"/>
    </row>
    <row r="468" customFormat="false" ht="23.85" hidden="false" customHeight="false" outlineLevel="0" collapsed="false">
      <c r="A468" s="37" t="s">
        <v>1171</v>
      </c>
      <c r="B468" s="38" t="n">
        <v>9</v>
      </c>
      <c r="C468" s="39" t="s">
        <v>375</v>
      </c>
      <c r="D468" s="38" t="s">
        <v>383</v>
      </c>
      <c r="E468" s="39" t="s">
        <v>384</v>
      </c>
      <c r="F468" s="38" t="s">
        <v>53</v>
      </c>
      <c r="G468" s="39" t="s">
        <v>54</v>
      </c>
      <c r="H468" s="40" t="n">
        <f aca="false">INDEX(A_Scoring_Model!$C$5:$C$10,MATCH(F468,A_Scoring_Model!$A$5:$A$10,0))</f>
        <v>0.2</v>
      </c>
      <c r="I468" s="39" t="s">
        <v>449</v>
      </c>
      <c r="J468" s="39" t="s">
        <v>453</v>
      </c>
      <c r="K468" s="38" t="s">
        <v>445</v>
      </c>
      <c r="L468" s="39" t="s">
        <v>434</v>
      </c>
      <c r="M468" s="38" t="s">
        <v>435</v>
      </c>
      <c r="N468" s="43" t="n">
        <v>1</v>
      </c>
      <c r="O468" s="43"/>
      <c r="P468" s="39" t="s">
        <v>446</v>
      </c>
      <c r="Q468" s="39" t="s">
        <v>447</v>
      </c>
      <c r="R468" s="39"/>
    </row>
    <row r="469" customFormat="false" ht="23.85" hidden="false" customHeight="false" outlineLevel="0" collapsed="false">
      <c r="A469" s="37" t="s">
        <v>1172</v>
      </c>
      <c r="B469" s="38" t="n">
        <v>9</v>
      </c>
      <c r="C469" s="39" t="s">
        <v>375</v>
      </c>
      <c r="D469" s="38" t="s">
        <v>383</v>
      </c>
      <c r="E469" s="39" t="s">
        <v>384</v>
      </c>
      <c r="F469" s="38" t="s">
        <v>56</v>
      </c>
      <c r="G469" s="39" t="s">
        <v>57</v>
      </c>
      <c r="H469" s="40" t="n">
        <f aca="false">INDEX(A_Scoring_Model!$C$5:$C$10,MATCH(F469,A_Scoring_Model!$A$5:$A$10,0))</f>
        <v>0.15</v>
      </c>
      <c r="I469" s="39" t="s">
        <v>431</v>
      </c>
      <c r="J469" s="39" t="s">
        <v>1173</v>
      </c>
      <c r="K469" s="38" t="s">
        <v>451</v>
      </c>
      <c r="L469" s="39" t="s">
        <v>434</v>
      </c>
      <c r="M469" s="38" t="s">
        <v>435</v>
      </c>
      <c r="N469" s="44" t="n">
        <v>100</v>
      </c>
      <c r="O469" s="44"/>
      <c r="P469" s="39" t="s">
        <v>446</v>
      </c>
      <c r="Q469" s="39" t="s">
        <v>457</v>
      </c>
      <c r="R469" s="39"/>
    </row>
    <row r="470" customFormat="false" ht="23.85" hidden="false" customHeight="false" outlineLevel="0" collapsed="false">
      <c r="A470" s="37" t="s">
        <v>1174</v>
      </c>
      <c r="B470" s="38" t="n">
        <v>9</v>
      </c>
      <c r="C470" s="39" t="s">
        <v>375</v>
      </c>
      <c r="D470" s="38" t="s">
        <v>383</v>
      </c>
      <c r="E470" s="39" t="s">
        <v>384</v>
      </c>
      <c r="F470" s="38" t="s">
        <v>56</v>
      </c>
      <c r="G470" s="39" t="s">
        <v>57</v>
      </c>
      <c r="H470" s="40" t="n">
        <f aca="false">INDEX(A_Scoring_Model!$C$5:$C$10,MATCH(F470,A_Scoring_Model!$A$5:$A$10,0))</f>
        <v>0.15</v>
      </c>
      <c r="I470" s="39" t="s">
        <v>431</v>
      </c>
      <c r="J470" s="39" t="s">
        <v>1175</v>
      </c>
      <c r="K470" s="38" t="s">
        <v>503</v>
      </c>
      <c r="L470" s="39" t="s">
        <v>461</v>
      </c>
      <c r="M470" s="38" t="s">
        <v>462</v>
      </c>
      <c r="N470" s="44" t="n">
        <v>15</v>
      </c>
      <c r="O470" s="44"/>
      <c r="P470" s="39" t="s">
        <v>446</v>
      </c>
      <c r="Q470" s="39" t="s">
        <v>457</v>
      </c>
      <c r="R470" s="39"/>
    </row>
    <row r="471" customFormat="false" ht="23.85" hidden="false" customHeight="false" outlineLevel="0" collapsed="false">
      <c r="A471" s="37" t="s">
        <v>1176</v>
      </c>
      <c r="B471" s="38" t="n">
        <v>9</v>
      </c>
      <c r="C471" s="39" t="s">
        <v>375</v>
      </c>
      <c r="D471" s="38" t="s">
        <v>383</v>
      </c>
      <c r="E471" s="39" t="s">
        <v>384</v>
      </c>
      <c r="F471" s="38" t="s">
        <v>56</v>
      </c>
      <c r="G471" s="39" t="s">
        <v>57</v>
      </c>
      <c r="H471" s="40" t="n">
        <f aca="false">INDEX(A_Scoring_Model!$C$5:$C$10,MATCH(F471,A_Scoring_Model!$A$5:$A$10,0))</f>
        <v>0.15</v>
      </c>
      <c r="I471" s="39" t="s">
        <v>449</v>
      </c>
      <c r="J471" s="39" t="s">
        <v>464</v>
      </c>
      <c r="K471" s="38" t="s">
        <v>433</v>
      </c>
      <c r="L471" s="39" t="s">
        <v>461</v>
      </c>
      <c r="M471" s="38" t="s">
        <v>462</v>
      </c>
      <c r="N471" s="41" t="n">
        <v>0.2</v>
      </c>
      <c r="O471" s="41" t="n">
        <v>0.4</v>
      </c>
      <c r="P471" s="39" t="s">
        <v>436</v>
      </c>
      <c r="Q471" s="39" t="s">
        <v>457</v>
      </c>
      <c r="R471" s="39"/>
    </row>
    <row r="472" customFormat="false" ht="23.85" hidden="false" customHeight="false" outlineLevel="0" collapsed="false">
      <c r="A472" s="37" t="s">
        <v>1177</v>
      </c>
      <c r="B472" s="38" t="n">
        <v>9</v>
      </c>
      <c r="C472" s="39" t="s">
        <v>375</v>
      </c>
      <c r="D472" s="38" t="s">
        <v>383</v>
      </c>
      <c r="E472" s="39" t="s">
        <v>384</v>
      </c>
      <c r="F472" s="38" t="s">
        <v>59</v>
      </c>
      <c r="G472" s="39" t="s">
        <v>60</v>
      </c>
      <c r="H472" s="40" t="n">
        <f aca="false">INDEX(A_Scoring_Model!$C$5:$C$10,MATCH(F472,A_Scoring_Model!$A$5:$A$10,0))</f>
        <v>0.1</v>
      </c>
      <c r="I472" s="39" t="s">
        <v>431</v>
      </c>
      <c r="J472" s="39" t="s">
        <v>1178</v>
      </c>
      <c r="K472" s="38" t="s">
        <v>433</v>
      </c>
      <c r="L472" s="39" t="s">
        <v>434</v>
      </c>
      <c r="M472" s="38" t="s">
        <v>435</v>
      </c>
      <c r="N472" s="41" t="n">
        <v>1</v>
      </c>
      <c r="O472" s="41"/>
      <c r="P472" s="39" t="s">
        <v>446</v>
      </c>
      <c r="Q472" s="39" t="s">
        <v>467</v>
      </c>
      <c r="R472" s="39"/>
    </row>
    <row r="473" customFormat="false" ht="23.85" hidden="false" customHeight="false" outlineLevel="0" collapsed="false">
      <c r="A473" s="37" t="s">
        <v>1179</v>
      </c>
      <c r="B473" s="38" t="n">
        <v>9</v>
      </c>
      <c r="C473" s="39" t="s">
        <v>375</v>
      </c>
      <c r="D473" s="38" t="s">
        <v>383</v>
      </c>
      <c r="E473" s="39" t="s">
        <v>384</v>
      </c>
      <c r="F473" s="38" t="s">
        <v>59</v>
      </c>
      <c r="G473" s="39" t="s">
        <v>60</v>
      </c>
      <c r="H473" s="40" t="n">
        <f aca="false">INDEX(A_Scoring_Model!$C$5:$C$10,MATCH(F473,A_Scoring_Model!$A$5:$A$10,0))</f>
        <v>0.1</v>
      </c>
      <c r="I473" s="39" t="s">
        <v>449</v>
      </c>
      <c r="J473" s="39" t="s">
        <v>471</v>
      </c>
      <c r="K473" s="38" t="s">
        <v>433</v>
      </c>
      <c r="L473" s="39" t="s">
        <v>434</v>
      </c>
      <c r="M473" s="38" t="s">
        <v>435</v>
      </c>
      <c r="N473" s="41" t="n">
        <v>0.995</v>
      </c>
      <c r="O473" s="41" t="n">
        <v>0.99</v>
      </c>
      <c r="P473" s="39" t="s">
        <v>436</v>
      </c>
      <c r="Q473" s="39" t="s">
        <v>467</v>
      </c>
      <c r="R473" s="39"/>
    </row>
    <row r="474" customFormat="false" ht="23.85" hidden="false" customHeight="false" outlineLevel="0" collapsed="false">
      <c r="A474" s="37" t="s">
        <v>1180</v>
      </c>
      <c r="B474" s="38" t="n">
        <v>9</v>
      </c>
      <c r="C474" s="39" t="s">
        <v>375</v>
      </c>
      <c r="D474" s="38" t="s">
        <v>383</v>
      </c>
      <c r="E474" s="39" t="s">
        <v>384</v>
      </c>
      <c r="F474" s="38" t="s">
        <v>62</v>
      </c>
      <c r="G474" s="39" t="s">
        <v>63</v>
      </c>
      <c r="H474" s="40" t="n">
        <f aca="false">INDEX(A_Scoring_Model!$C$5:$C$10,MATCH(F474,A_Scoring_Model!$A$5:$A$10,0))</f>
        <v>0.15</v>
      </c>
      <c r="I474" s="39" t="s">
        <v>431</v>
      </c>
      <c r="J474" s="39" t="s">
        <v>1181</v>
      </c>
      <c r="K474" s="38" t="s">
        <v>433</v>
      </c>
      <c r="L474" s="39" t="s">
        <v>434</v>
      </c>
      <c r="M474" s="38" t="s">
        <v>435</v>
      </c>
      <c r="N474" s="41" t="n">
        <v>0.5</v>
      </c>
      <c r="O474" s="41"/>
      <c r="P474" s="39" t="s">
        <v>446</v>
      </c>
      <c r="Q474" s="39" t="s">
        <v>474</v>
      </c>
      <c r="R474" s="39"/>
    </row>
    <row r="475" customFormat="false" ht="23.85" hidden="false" customHeight="false" outlineLevel="0" collapsed="false">
      <c r="A475" s="37" t="s">
        <v>1182</v>
      </c>
      <c r="B475" s="38" t="n">
        <v>9</v>
      </c>
      <c r="C475" s="39" t="s">
        <v>375</v>
      </c>
      <c r="D475" s="38" t="s">
        <v>383</v>
      </c>
      <c r="E475" s="39" t="s">
        <v>384</v>
      </c>
      <c r="F475" s="38" t="s">
        <v>65</v>
      </c>
      <c r="G475" s="39" t="s">
        <v>66</v>
      </c>
      <c r="H475" s="40" t="n">
        <f aca="false">INDEX(A_Scoring_Model!$C$5:$C$10,MATCH(F475,A_Scoring_Model!$A$5:$A$10,0))</f>
        <v>0.1</v>
      </c>
      <c r="I475" s="39" t="s">
        <v>449</v>
      </c>
      <c r="J475" s="39" t="s">
        <v>478</v>
      </c>
      <c r="K475" s="38" t="s">
        <v>433</v>
      </c>
      <c r="L475" s="39" t="s">
        <v>434</v>
      </c>
      <c r="M475" s="38" t="s">
        <v>435</v>
      </c>
      <c r="N475" s="41" t="n">
        <v>0.8</v>
      </c>
      <c r="O475" s="41" t="n">
        <v>0.6</v>
      </c>
      <c r="P475" s="39" t="s">
        <v>436</v>
      </c>
      <c r="Q475" s="39" t="s">
        <v>479</v>
      </c>
      <c r="R475" s="39"/>
    </row>
    <row r="476" customFormat="false" ht="23.85" hidden="false" customHeight="false" outlineLevel="0" collapsed="false">
      <c r="A476" s="37" t="s">
        <v>1183</v>
      </c>
      <c r="B476" s="38" t="n">
        <v>9</v>
      </c>
      <c r="C476" s="39" t="s">
        <v>375</v>
      </c>
      <c r="D476" s="38" t="s">
        <v>383</v>
      </c>
      <c r="E476" s="39" t="s">
        <v>384</v>
      </c>
      <c r="F476" s="38" t="s">
        <v>65</v>
      </c>
      <c r="G476" s="39" t="s">
        <v>66</v>
      </c>
      <c r="H476" s="40" t="n">
        <f aca="false">INDEX(A_Scoring_Model!$C$5:$C$10,MATCH(F476,A_Scoring_Model!$A$5:$A$10,0))</f>
        <v>0.1</v>
      </c>
      <c r="I476" s="39" t="s">
        <v>449</v>
      </c>
      <c r="J476" s="39" t="s">
        <v>481</v>
      </c>
      <c r="K476" s="38" t="s">
        <v>451</v>
      </c>
      <c r="L476" s="39" t="s">
        <v>461</v>
      </c>
      <c r="M476" s="38" t="s">
        <v>462</v>
      </c>
      <c r="N476" s="44" t="n">
        <v>0</v>
      </c>
      <c r="O476" s="44"/>
      <c r="P476" s="39" t="s">
        <v>446</v>
      </c>
      <c r="Q476" s="39" t="s">
        <v>479</v>
      </c>
      <c r="R476" s="39"/>
    </row>
    <row r="477" customFormat="false" ht="23.85" hidden="false" customHeight="false" outlineLevel="0" collapsed="false">
      <c r="A477" s="37" t="s">
        <v>1184</v>
      </c>
      <c r="B477" s="38" t="n">
        <v>9</v>
      </c>
      <c r="C477" s="39" t="s">
        <v>375</v>
      </c>
      <c r="D477" s="38" t="s">
        <v>383</v>
      </c>
      <c r="E477" s="39" t="s">
        <v>384</v>
      </c>
      <c r="F477" s="38" t="s">
        <v>65</v>
      </c>
      <c r="G477" s="39" t="s">
        <v>66</v>
      </c>
      <c r="H477" s="40" t="n">
        <f aca="false">INDEX(A_Scoring_Model!$C$5:$C$10,MATCH(F477,A_Scoring_Model!$A$5:$A$10,0))</f>
        <v>0.1</v>
      </c>
      <c r="I477" s="39" t="s">
        <v>449</v>
      </c>
      <c r="J477" s="39" t="s">
        <v>483</v>
      </c>
      <c r="K477" s="38" t="s">
        <v>451</v>
      </c>
      <c r="L477" s="39" t="s">
        <v>461</v>
      </c>
      <c r="M477" s="38" t="s">
        <v>462</v>
      </c>
      <c r="N477" s="44" t="n">
        <v>0</v>
      </c>
      <c r="O477" s="44"/>
      <c r="P477" s="39" t="s">
        <v>446</v>
      </c>
      <c r="Q477" s="39" t="s">
        <v>479</v>
      </c>
      <c r="R477" s="39"/>
    </row>
    <row r="478" customFormat="false" ht="23.85" hidden="false" customHeight="false" outlineLevel="0" collapsed="false">
      <c r="A478" s="37" t="s">
        <v>1185</v>
      </c>
      <c r="B478" s="38" t="n">
        <v>9</v>
      </c>
      <c r="C478" s="39" t="s">
        <v>375</v>
      </c>
      <c r="D478" s="38" t="s">
        <v>383</v>
      </c>
      <c r="E478" s="39" t="s">
        <v>384</v>
      </c>
      <c r="F478" s="38" t="s">
        <v>65</v>
      </c>
      <c r="G478" s="39" t="s">
        <v>66</v>
      </c>
      <c r="H478" s="40" t="n">
        <f aca="false">INDEX(A_Scoring_Model!$C$5:$C$10,MATCH(F478,A_Scoring_Model!$A$5:$A$10,0))</f>
        <v>0.1</v>
      </c>
      <c r="I478" s="39" t="s">
        <v>449</v>
      </c>
      <c r="J478" s="39" t="s">
        <v>485</v>
      </c>
      <c r="K478" s="38" t="s">
        <v>445</v>
      </c>
      <c r="L478" s="39" t="s">
        <v>434</v>
      </c>
      <c r="M478" s="38" t="s">
        <v>435</v>
      </c>
      <c r="N478" s="43" t="n">
        <v>1</v>
      </c>
      <c r="O478" s="43"/>
      <c r="P478" s="39" t="s">
        <v>446</v>
      </c>
      <c r="Q478" s="39" t="s">
        <v>479</v>
      </c>
      <c r="R478" s="39"/>
    </row>
    <row r="479" customFormat="false" ht="23.85" hidden="false" customHeight="false" outlineLevel="0" collapsed="false">
      <c r="A479" s="37" t="s">
        <v>1186</v>
      </c>
      <c r="B479" s="38" t="n">
        <v>9</v>
      </c>
      <c r="C479" s="39" t="s">
        <v>375</v>
      </c>
      <c r="D479" s="38" t="s">
        <v>383</v>
      </c>
      <c r="E479" s="39" t="s">
        <v>384</v>
      </c>
      <c r="F479" s="38" t="s">
        <v>65</v>
      </c>
      <c r="G479" s="39" t="s">
        <v>66</v>
      </c>
      <c r="H479" s="40" t="n">
        <f aca="false">INDEX(A_Scoring_Model!$C$5:$C$10,MATCH(F479,A_Scoring_Model!$A$5:$A$10,0))</f>
        <v>0.1</v>
      </c>
      <c r="I479" s="39" t="s">
        <v>449</v>
      </c>
      <c r="J479" s="39" t="s">
        <v>487</v>
      </c>
      <c r="K479" s="38" t="s">
        <v>445</v>
      </c>
      <c r="L479" s="39" t="s">
        <v>434</v>
      </c>
      <c r="M479" s="38" t="s">
        <v>435</v>
      </c>
      <c r="N479" s="43" t="n">
        <v>1</v>
      </c>
      <c r="O479" s="43"/>
      <c r="P479" s="39" t="s">
        <v>446</v>
      </c>
      <c r="Q479" s="39" t="s">
        <v>479</v>
      </c>
      <c r="R479" s="39"/>
    </row>
    <row r="480" customFormat="false" ht="23.85" hidden="false" customHeight="false" outlineLevel="0" collapsed="false">
      <c r="A480" s="45" t="s">
        <v>1187</v>
      </c>
      <c r="B480" s="21" t="n">
        <v>9</v>
      </c>
      <c r="C480" s="16" t="s">
        <v>375</v>
      </c>
      <c r="D480" s="21" t="s">
        <v>389</v>
      </c>
      <c r="E480" s="16" t="s">
        <v>390</v>
      </c>
      <c r="F480" s="21" t="s">
        <v>50</v>
      </c>
      <c r="G480" s="16" t="s">
        <v>51</v>
      </c>
      <c r="H480" s="46" t="n">
        <f aca="false">INDEX(A_Scoring_Model!$C$5:$C$10,MATCH(F480,A_Scoring_Model!$A$5:$A$10,0))</f>
        <v>0.3</v>
      </c>
      <c r="I480" s="16" t="s">
        <v>431</v>
      </c>
      <c r="J480" s="16" t="s">
        <v>1188</v>
      </c>
      <c r="K480" s="21" t="s">
        <v>433</v>
      </c>
      <c r="L480" s="16" t="s">
        <v>434</v>
      </c>
      <c r="M480" s="21" t="s">
        <v>435</v>
      </c>
      <c r="N480" s="48" t="n">
        <v>0.98</v>
      </c>
      <c r="O480" s="48" t="n">
        <v>0.95</v>
      </c>
      <c r="P480" s="16" t="s">
        <v>436</v>
      </c>
      <c r="Q480" s="16" t="s">
        <v>437</v>
      </c>
      <c r="R480" s="16" t="s">
        <v>394</v>
      </c>
    </row>
    <row r="481" customFormat="false" ht="23.85" hidden="false" customHeight="false" outlineLevel="0" collapsed="false">
      <c r="A481" s="45" t="s">
        <v>1189</v>
      </c>
      <c r="B481" s="21" t="n">
        <v>9</v>
      </c>
      <c r="C481" s="16" t="s">
        <v>375</v>
      </c>
      <c r="D481" s="21" t="s">
        <v>389</v>
      </c>
      <c r="E481" s="16" t="s">
        <v>390</v>
      </c>
      <c r="F481" s="21" t="s">
        <v>50</v>
      </c>
      <c r="G481" s="16" t="s">
        <v>51</v>
      </c>
      <c r="H481" s="46" t="n">
        <f aca="false">INDEX(A_Scoring_Model!$C$5:$C$10,MATCH(F481,A_Scoring_Model!$A$5:$A$10,0))</f>
        <v>0.3</v>
      </c>
      <c r="I481" s="16" t="s">
        <v>431</v>
      </c>
      <c r="J481" s="16" t="s">
        <v>1190</v>
      </c>
      <c r="K481" s="21" t="s">
        <v>451</v>
      </c>
      <c r="L481" s="16" t="s">
        <v>461</v>
      </c>
      <c r="M481" s="21" t="s">
        <v>462</v>
      </c>
      <c r="N481" s="49" t="n">
        <v>0</v>
      </c>
      <c r="O481" s="49" t="n">
        <v>0</v>
      </c>
      <c r="P481" s="16" t="s">
        <v>436</v>
      </c>
      <c r="Q481" s="16" t="s">
        <v>437</v>
      </c>
      <c r="R481" s="16" t="s">
        <v>394</v>
      </c>
    </row>
    <row r="482" customFormat="false" ht="23.85" hidden="false" customHeight="false" outlineLevel="0" collapsed="false">
      <c r="A482" s="45" t="s">
        <v>1191</v>
      </c>
      <c r="B482" s="21" t="n">
        <v>9</v>
      </c>
      <c r="C482" s="16" t="s">
        <v>375</v>
      </c>
      <c r="D482" s="21" t="s">
        <v>389</v>
      </c>
      <c r="E482" s="16" t="s">
        <v>390</v>
      </c>
      <c r="F482" s="21" t="s">
        <v>50</v>
      </c>
      <c r="G482" s="16" t="s">
        <v>51</v>
      </c>
      <c r="H482" s="46" t="n">
        <f aca="false">INDEX(A_Scoring_Model!$C$5:$C$10,MATCH(F482,A_Scoring_Model!$A$5:$A$10,0))</f>
        <v>0.3</v>
      </c>
      <c r="I482" s="16" t="s">
        <v>431</v>
      </c>
      <c r="J482" s="16" t="s">
        <v>1192</v>
      </c>
      <c r="K482" s="21" t="s">
        <v>433</v>
      </c>
      <c r="L482" s="16" t="s">
        <v>434</v>
      </c>
      <c r="M482" s="21" t="s">
        <v>435</v>
      </c>
      <c r="N482" s="48" t="n">
        <v>0.95</v>
      </c>
      <c r="O482" s="48" t="n">
        <v>0.9</v>
      </c>
      <c r="P482" s="16" t="s">
        <v>436</v>
      </c>
      <c r="Q482" s="16" t="s">
        <v>437</v>
      </c>
      <c r="R482" s="16" t="s">
        <v>394</v>
      </c>
    </row>
    <row r="483" customFormat="false" ht="23.85" hidden="false" customHeight="false" outlineLevel="0" collapsed="false">
      <c r="A483" s="45" t="s">
        <v>1193</v>
      </c>
      <c r="B483" s="21" t="n">
        <v>9</v>
      </c>
      <c r="C483" s="16" t="s">
        <v>375</v>
      </c>
      <c r="D483" s="21" t="s">
        <v>389</v>
      </c>
      <c r="E483" s="16" t="s">
        <v>390</v>
      </c>
      <c r="F483" s="21" t="s">
        <v>53</v>
      </c>
      <c r="G483" s="16" t="s">
        <v>54</v>
      </c>
      <c r="H483" s="46" t="n">
        <f aca="false">INDEX(A_Scoring_Model!$C$5:$C$10,MATCH(F483,A_Scoring_Model!$A$5:$A$10,0))</f>
        <v>0.2</v>
      </c>
      <c r="I483" s="16" t="s">
        <v>431</v>
      </c>
      <c r="J483" s="16" t="s">
        <v>1194</v>
      </c>
      <c r="K483" s="21" t="s">
        <v>445</v>
      </c>
      <c r="L483" s="16" t="s">
        <v>434</v>
      </c>
      <c r="M483" s="21" t="s">
        <v>435</v>
      </c>
      <c r="N483" s="19" t="n">
        <v>1</v>
      </c>
      <c r="O483" s="19"/>
      <c r="P483" s="16" t="s">
        <v>446</v>
      </c>
      <c r="Q483" s="16" t="s">
        <v>447</v>
      </c>
      <c r="R483" s="16"/>
    </row>
    <row r="484" customFormat="false" ht="23.85" hidden="false" customHeight="false" outlineLevel="0" collapsed="false">
      <c r="A484" s="45" t="s">
        <v>1195</v>
      </c>
      <c r="B484" s="21" t="n">
        <v>9</v>
      </c>
      <c r="C484" s="16" t="s">
        <v>375</v>
      </c>
      <c r="D484" s="21" t="s">
        <v>389</v>
      </c>
      <c r="E484" s="16" t="s">
        <v>390</v>
      </c>
      <c r="F484" s="21" t="s">
        <v>53</v>
      </c>
      <c r="G484" s="16" t="s">
        <v>54</v>
      </c>
      <c r="H484" s="46" t="n">
        <f aca="false">INDEX(A_Scoring_Model!$C$5:$C$10,MATCH(F484,A_Scoring_Model!$A$5:$A$10,0))</f>
        <v>0.2</v>
      </c>
      <c r="I484" s="16" t="s">
        <v>449</v>
      </c>
      <c r="J484" s="16" t="s">
        <v>450</v>
      </c>
      <c r="K484" s="21" t="s">
        <v>451</v>
      </c>
      <c r="L484" s="16" t="s">
        <v>434</v>
      </c>
      <c r="M484" s="21" t="s">
        <v>435</v>
      </c>
      <c r="N484" s="49" t="n">
        <v>3</v>
      </c>
      <c r="O484" s="49" t="n">
        <v>2</v>
      </c>
      <c r="P484" s="16" t="s">
        <v>436</v>
      </c>
      <c r="Q484" s="16" t="s">
        <v>447</v>
      </c>
      <c r="R484" s="16"/>
    </row>
    <row r="485" customFormat="false" ht="23.85" hidden="false" customHeight="false" outlineLevel="0" collapsed="false">
      <c r="A485" s="45" t="s">
        <v>1196</v>
      </c>
      <c r="B485" s="21" t="n">
        <v>9</v>
      </c>
      <c r="C485" s="16" t="s">
        <v>375</v>
      </c>
      <c r="D485" s="21" t="s">
        <v>389</v>
      </c>
      <c r="E485" s="16" t="s">
        <v>390</v>
      </c>
      <c r="F485" s="21" t="s">
        <v>53</v>
      </c>
      <c r="G485" s="16" t="s">
        <v>54</v>
      </c>
      <c r="H485" s="46" t="n">
        <f aca="false">INDEX(A_Scoring_Model!$C$5:$C$10,MATCH(F485,A_Scoring_Model!$A$5:$A$10,0))</f>
        <v>0.2</v>
      </c>
      <c r="I485" s="16" t="s">
        <v>449</v>
      </c>
      <c r="J485" s="16" t="s">
        <v>453</v>
      </c>
      <c r="K485" s="21" t="s">
        <v>445</v>
      </c>
      <c r="L485" s="16" t="s">
        <v>434</v>
      </c>
      <c r="M485" s="21" t="s">
        <v>435</v>
      </c>
      <c r="N485" s="19" t="n">
        <v>1</v>
      </c>
      <c r="O485" s="19"/>
      <c r="P485" s="16" t="s">
        <v>446</v>
      </c>
      <c r="Q485" s="16" t="s">
        <v>447</v>
      </c>
      <c r="R485" s="16"/>
    </row>
    <row r="486" customFormat="false" ht="23.85" hidden="false" customHeight="false" outlineLevel="0" collapsed="false">
      <c r="A486" s="45" t="s">
        <v>1197</v>
      </c>
      <c r="B486" s="21" t="n">
        <v>9</v>
      </c>
      <c r="C486" s="16" t="s">
        <v>375</v>
      </c>
      <c r="D486" s="21" t="s">
        <v>389</v>
      </c>
      <c r="E486" s="16" t="s">
        <v>390</v>
      </c>
      <c r="F486" s="21" t="s">
        <v>56</v>
      </c>
      <c r="G486" s="16" t="s">
        <v>57</v>
      </c>
      <c r="H486" s="46" t="n">
        <f aca="false">INDEX(A_Scoring_Model!$C$5:$C$10,MATCH(F486,A_Scoring_Model!$A$5:$A$10,0))</f>
        <v>0.15</v>
      </c>
      <c r="I486" s="16" t="s">
        <v>431</v>
      </c>
      <c r="J486" s="16" t="s">
        <v>1198</v>
      </c>
      <c r="K486" s="21" t="s">
        <v>503</v>
      </c>
      <c r="L486" s="16" t="s">
        <v>461</v>
      </c>
      <c r="M486" s="21" t="s">
        <v>462</v>
      </c>
      <c r="N486" s="49" t="n">
        <v>5</v>
      </c>
      <c r="O486" s="49"/>
      <c r="P486" s="16" t="s">
        <v>446</v>
      </c>
      <c r="Q486" s="16" t="s">
        <v>457</v>
      </c>
      <c r="R486" s="16"/>
    </row>
    <row r="487" customFormat="false" ht="23.85" hidden="false" customHeight="false" outlineLevel="0" collapsed="false">
      <c r="A487" s="45" t="s">
        <v>1199</v>
      </c>
      <c r="B487" s="21" t="n">
        <v>9</v>
      </c>
      <c r="C487" s="16" t="s">
        <v>375</v>
      </c>
      <c r="D487" s="21" t="s">
        <v>389</v>
      </c>
      <c r="E487" s="16" t="s">
        <v>390</v>
      </c>
      <c r="F487" s="21" t="s">
        <v>56</v>
      </c>
      <c r="G487" s="16" t="s">
        <v>57</v>
      </c>
      <c r="H487" s="46" t="n">
        <f aca="false">INDEX(A_Scoring_Model!$C$5:$C$10,MATCH(F487,A_Scoring_Model!$A$5:$A$10,0))</f>
        <v>0.15</v>
      </c>
      <c r="I487" s="16" t="s">
        <v>449</v>
      </c>
      <c r="J487" s="16" t="s">
        <v>464</v>
      </c>
      <c r="K487" s="21" t="s">
        <v>433</v>
      </c>
      <c r="L487" s="16" t="s">
        <v>461</v>
      </c>
      <c r="M487" s="21" t="s">
        <v>462</v>
      </c>
      <c r="N487" s="48" t="n">
        <v>0.2</v>
      </c>
      <c r="O487" s="48" t="n">
        <v>0.4</v>
      </c>
      <c r="P487" s="16" t="s">
        <v>436</v>
      </c>
      <c r="Q487" s="16" t="s">
        <v>457</v>
      </c>
      <c r="R487" s="16"/>
    </row>
    <row r="488" customFormat="false" ht="23.85" hidden="false" customHeight="false" outlineLevel="0" collapsed="false">
      <c r="A488" s="45" t="s">
        <v>1200</v>
      </c>
      <c r="B488" s="21" t="n">
        <v>9</v>
      </c>
      <c r="C488" s="16" t="s">
        <v>375</v>
      </c>
      <c r="D488" s="21" t="s">
        <v>389</v>
      </c>
      <c r="E488" s="16" t="s">
        <v>390</v>
      </c>
      <c r="F488" s="21" t="s">
        <v>59</v>
      </c>
      <c r="G488" s="16" t="s">
        <v>60</v>
      </c>
      <c r="H488" s="46" t="n">
        <f aca="false">INDEX(A_Scoring_Model!$C$5:$C$10,MATCH(F488,A_Scoring_Model!$A$5:$A$10,0))</f>
        <v>0.1</v>
      </c>
      <c r="I488" s="16" t="s">
        <v>431</v>
      </c>
      <c r="J488" s="16" t="s">
        <v>1201</v>
      </c>
      <c r="K488" s="21" t="s">
        <v>433</v>
      </c>
      <c r="L488" s="16" t="s">
        <v>434</v>
      </c>
      <c r="M488" s="21" t="s">
        <v>435</v>
      </c>
      <c r="N488" s="48" t="n">
        <v>1</v>
      </c>
      <c r="O488" s="48"/>
      <c r="P488" s="16" t="s">
        <v>446</v>
      </c>
      <c r="Q488" s="16" t="s">
        <v>467</v>
      </c>
      <c r="R488" s="16"/>
    </row>
    <row r="489" customFormat="false" ht="23.85" hidden="false" customHeight="false" outlineLevel="0" collapsed="false">
      <c r="A489" s="45" t="s">
        <v>1202</v>
      </c>
      <c r="B489" s="21" t="n">
        <v>9</v>
      </c>
      <c r="C489" s="16" t="s">
        <v>375</v>
      </c>
      <c r="D489" s="21" t="s">
        <v>389</v>
      </c>
      <c r="E489" s="16" t="s">
        <v>390</v>
      </c>
      <c r="F489" s="21" t="s">
        <v>59</v>
      </c>
      <c r="G489" s="16" t="s">
        <v>60</v>
      </c>
      <c r="H489" s="46" t="n">
        <f aca="false">INDEX(A_Scoring_Model!$C$5:$C$10,MATCH(F489,A_Scoring_Model!$A$5:$A$10,0))</f>
        <v>0.1</v>
      </c>
      <c r="I489" s="16" t="s">
        <v>449</v>
      </c>
      <c r="J489" s="16" t="s">
        <v>471</v>
      </c>
      <c r="K489" s="21" t="s">
        <v>433</v>
      </c>
      <c r="L489" s="16" t="s">
        <v>434</v>
      </c>
      <c r="M489" s="21" t="s">
        <v>435</v>
      </c>
      <c r="N489" s="48" t="n">
        <v>0.995</v>
      </c>
      <c r="O489" s="48" t="n">
        <v>0.99</v>
      </c>
      <c r="P489" s="16" t="s">
        <v>436</v>
      </c>
      <c r="Q489" s="16" t="s">
        <v>467</v>
      </c>
      <c r="R489" s="16"/>
    </row>
    <row r="490" customFormat="false" ht="23.85" hidden="false" customHeight="false" outlineLevel="0" collapsed="false">
      <c r="A490" s="45" t="s">
        <v>1203</v>
      </c>
      <c r="B490" s="21" t="n">
        <v>9</v>
      </c>
      <c r="C490" s="16" t="s">
        <v>375</v>
      </c>
      <c r="D490" s="21" t="s">
        <v>389</v>
      </c>
      <c r="E490" s="16" t="s">
        <v>390</v>
      </c>
      <c r="F490" s="21" t="s">
        <v>62</v>
      </c>
      <c r="G490" s="16" t="s">
        <v>63</v>
      </c>
      <c r="H490" s="46" t="n">
        <f aca="false">INDEX(A_Scoring_Model!$C$5:$C$10,MATCH(F490,A_Scoring_Model!$A$5:$A$10,0))</f>
        <v>0.15</v>
      </c>
      <c r="I490" s="16" t="s">
        <v>431</v>
      </c>
      <c r="J490" s="16" t="s">
        <v>1204</v>
      </c>
      <c r="K490" s="21" t="s">
        <v>433</v>
      </c>
      <c r="L490" s="16" t="s">
        <v>434</v>
      </c>
      <c r="M490" s="21" t="s">
        <v>435</v>
      </c>
      <c r="N490" s="48" t="n">
        <v>0.7</v>
      </c>
      <c r="O490" s="48"/>
      <c r="P490" s="16" t="s">
        <v>446</v>
      </c>
      <c r="Q490" s="16" t="s">
        <v>474</v>
      </c>
      <c r="R490" s="16"/>
    </row>
    <row r="491" customFormat="false" ht="23.85" hidden="false" customHeight="false" outlineLevel="0" collapsed="false">
      <c r="A491" s="45" t="s">
        <v>1205</v>
      </c>
      <c r="B491" s="21" t="n">
        <v>9</v>
      </c>
      <c r="C491" s="16" t="s">
        <v>375</v>
      </c>
      <c r="D491" s="21" t="s">
        <v>389</v>
      </c>
      <c r="E491" s="16" t="s">
        <v>390</v>
      </c>
      <c r="F491" s="21" t="s">
        <v>65</v>
      </c>
      <c r="G491" s="16" t="s">
        <v>66</v>
      </c>
      <c r="H491" s="46" t="n">
        <f aca="false">INDEX(A_Scoring_Model!$C$5:$C$10,MATCH(F491,A_Scoring_Model!$A$5:$A$10,0))</f>
        <v>0.1</v>
      </c>
      <c r="I491" s="16" t="s">
        <v>449</v>
      </c>
      <c r="J491" s="16" t="s">
        <v>478</v>
      </c>
      <c r="K491" s="21" t="s">
        <v>433</v>
      </c>
      <c r="L491" s="16" t="s">
        <v>434</v>
      </c>
      <c r="M491" s="21" t="s">
        <v>435</v>
      </c>
      <c r="N491" s="48" t="n">
        <v>0.8</v>
      </c>
      <c r="O491" s="48" t="n">
        <v>0.6</v>
      </c>
      <c r="P491" s="16" t="s">
        <v>436</v>
      </c>
      <c r="Q491" s="16" t="s">
        <v>479</v>
      </c>
      <c r="R491" s="16"/>
    </row>
    <row r="492" customFormat="false" ht="23.85" hidden="false" customHeight="false" outlineLevel="0" collapsed="false">
      <c r="A492" s="45" t="s">
        <v>1206</v>
      </c>
      <c r="B492" s="21" t="n">
        <v>9</v>
      </c>
      <c r="C492" s="16" t="s">
        <v>375</v>
      </c>
      <c r="D492" s="21" t="s">
        <v>389</v>
      </c>
      <c r="E492" s="16" t="s">
        <v>390</v>
      </c>
      <c r="F492" s="21" t="s">
        <v>65</v>
      </c>
      <c r="G492" s="16" t="s">
        <v>66</v>
      </c>
      <c r="H492" s="46" t="n">
        <f aca="false">INDEX(A_Scoring_Model!$C$5:$C$10,MATCH(F492,A_Scoring_Model!$A$5:$A$10,0))</f>
        <v>0.1</v>
      </c>
      <c r="I492" s="16" t="s">
        <v>449</v>
      </c>
      <c r="J492" s="16" t="s">
        <v>481</v>
      </c>
      <c r="K492" s="21" t="s">
        <v>451</v>
      </c>
      <c r="L492" s="16" t="s">
        <v>461</v>
      </c>
      <c r="M492" s="21" t="s">
        <v>462</v>
      </c>
      <c r="N492" s="49" t="n">
        <v>0</v>
      </c>
      <c r="O492" s="49"/>
      <c r="P492" s="16" t="s">
        <v>446</v>
      </c>
      <c r="Q492" s="16" t="s">
        <v>479</v>
      </c>
      <c r="R492" s="16"/>
    </row>
    <row r="493" customFormat="false" ht="23.85" hidden="false" customHeight="false" outlineLevel="0" collapsed="false">
      <c r="A493" s="45" t="s">
        <v>1207</v>
      </c>
      <c r="B493" s="21" t="n">
        <v>9</v>
      </c>
      <c r="C493" s="16" t="s">
        <v>375</v>
      </c>
      <c r="D493" s="21" t="s">
        <v>389</v>
      </c>
      <c r="E493" s="16" t="s">
        <v>390</v>
      </c>
      <c r="F493" s="21" t="s">
        <v>65</v>
      </c>
      <c r="G493" s="16" t="s">
        <v>66</v>
      </c>
      <c r="H493" s="46" t="n">
        <f aca="false">INDEX(A_Scoring_Model!$C$5:$C$10,MATCH(F493,A_Scoring_Model!$A$5:$A$10,0))</f>
        <v>0.1</v>
      </c>
      <c r="I493" s="16" t="s">
        <v>449</v>
      </c>
      <c r="J493" s="16" t="s">
        <v>483</v>
      </c>
      <c r="K493" s="21" t="s">
        <v>451</v>
      </c>
      <c r="L493" s="16" t="s">
        <v>461</v>
      </c>
      <c r="M493" s="21" t="s">
        <v>462</v>
      </c>
      <c r="N493" s="49" t="n">
        <v>0</v>
      </c>
      <c r="O493" s="49"/>
      <c r="P493" s="16" t="s">
        <v>446</v>
      </c>
      <c r="Q493" s="16" t="s">
        <v>479</v>
      </c>
      <c r="R493" s="16"/>
    </row>
    <row r="494" customFormat="false" ht="23.85" hidden="false" customHeight="false" outlineLevel="0" collapsed="false">
      <c r="A494" s="45" t="s">
        <v>1208</v>
      </c>
      <c r="B494" s="21" t="n">
        <v>9</v>
      </c>
      <c r="C494" s="16" t="s">
        <v>375</v>
      </c>
      <c r="D494" s="21" t="s">
        <v>389</v>
      </c>
      <c r="E494" s="16" t="s">
        <v>390</v>
      </c>
      <c r="F494" s="21" t="s">
        <v>65</v>
      </c>
      <c r="G494" s="16" t="s">
        <v>66</v>
      </c>
      <c r="H494" s="46" t="n">
        <f aca="false">INDEX(A_Scoring_Model!$C$5:$C$10,MATCH(F494,A_Scoring_Model!$A$5:$A$10,0))</f>
        <v>0.1</v>
      </c>
      <c r="I494" s="16" t="s">
        <v>449</v>
      </c>
      <c r="J494" s="16" t="s">
        <v>485</v>
      </c>
      <c r="K494" s="21" t="s">
        <v>445</v>
      </c>
      <c r="L494" s="16" t="s">
        <v>434</v>
      </c>
      <c r="M494" s="21" t="s">
        <v>435</v>
      </c>
      <c r="N494" s="19" t="n">
        <v>1</v>
      </c>
      <c r="O494" s="19"/>
      <c r="P494" s="16" t="s">
        <v>446</v>
      </c>
      <c r="Q494" s="16" t="s">
        <v>479</v>
      </c>
      <c r="R494" s="16"/>
    </row>
    <row r="495" customFormat="false" ht="23.85" hidden="false" customHeight="false" outlineLevel="0" collapsed="false">
      <c r="A495" s="45" t="s">
        <v>1209</v>
      </c>
      <c r="B495" s="21" t="n">
        <v>9</v>
      </c>
      <c r="C495" s="16" t="s">
        <v>375</v>
      </c>
      <c r="D495" s="21" t="s">
        <v>389</v>
      </c>
      <c r="E495" s="16" t="s">
        <v>390</v>
      </c>
      <c r="F495" s="21" t="s">
        <v>65</v>
      </c>
      <c r="G495" s="16" t="s">
        <v>66</v>
      </c>
      <c r="H495" s="46" t="n">
        <f aca="false">INDEX(A_Scoring_Model!$C$5:$C$10,MATCH(F495,A_Scoring_Model!$A$5:$A$10,0))</f>
        <v>0.1</v>
      </c>
      <c r="I495" s="16" t="s">
        <v>449</v>
      </c>
      <c r="J495" s="16" t="s">
        <v>487</v>
      </c>
      <c r="K495" s="21" t="s">
        <v>445</v>
      </c>
      <c r="L495" s="16" t="s">
        <v>434</v>
      </c>
      <c r="M495" s="21" t="s">
        <v>435</v>
      </c>
      <c r="N495" s="19" t="n">
        <v>1</v>
      </c>
      <c r="O495" s="19"/>
      <c r="P495" s="16" t="s">
        <v>446</v>
      </c>
      <c r="Q495" s="16" t="s">
        <v>479</v>
      </c>
      <c r="R495" s="16"/>
    </row>
    <row r="496" customFormat="false" ht="23.85" hidden="false" customHeight="false" outlineLevel="0" collapsed="false">
      <c r="A496" s="37" t="s">
        <v>1210</v>
      </c>
      <c r="B496" s="38" t="n">
        <v>10</v>
      </c>
      <c r="C496" s="39" t="s">
        <v>395</v>
      </c>
      <c r="D496" s="38" t="s">
        <v>396</v>
      </c>
      <c r="E496" s="39" t="s">
        <v>397</v>
      </c>
      <c r="F496" s="38" t="s">
        <v>50</v>
      </c>
      <c r="G496" s="39" t="s">
        <v>51</v>
      </c>
      <c r="H496" s="40" t="n">
        <f aca="false">INDEX(A_Scoring_Model!$C$5:$C$10,MATCH(F496,A_Scoring_Model!$A$5:$A$10,0))</f>
        <v>0.3</v>
      </c>
      <c r="I496" s="39" t="s">
        <v>431</v>
      </c>
      <c r="J496" s="39" t="s">
        <v>1211</v>
      </c>
      <c r="K496" s="38" t="s">
        <v>490</v>
      </c>
      <c r="L496" s="39" t="s">
        <v>434</v>
      </c>
      <c r="M496" s="38" t="s">
        <v>435</v>
      </c>
      <c r="N496" s="42" t="n">
        <v>0.85</v>
      </c>
      <c r="O496" s="42" t="n">
        <v>0.75</v>
      </c>
      <c r="P496" s="39" t="s">
        <v>436</v>
      </c>
      <c r="Q496" s="39" t="s">
        <v>437</v>
      </c>
      <c r="R496" s="39" t="s">
        <v>401</v>
      </c>
    </row>
    <row r="497" customFormat="false" ht="23.85" hidden="false" customHeight="false" outlineLevel="0" collapsed="false">
      <c r="A497" s="37" t="s">
        <v>1212</v>
      </c>
      <c r="B497" s="38" t="n">
        <v>10</v>
      </c>
      <c r="C497" s="39" t="s">
        <v>395</v>
      </c>
      <c r="D497" s="38" t="s">
        <v>396</v>
      </c>
      <c r="E497" s="39" t="s">
        <v>397</v>
      </c>
      <c r="F497" s="38" t="s">
        <v>50</v>
      </c>
      <c r="G497" s="39" t="s">
        <v>51</v>
      </c>
      <c r="H497" s="40" t="n">
        <f aca="false">INDEX(A_Scoring_Model!$C$5:$C$10,MATCH(F497,A_Scoring_Model!$A$5:$A$10,0))</f>
        <v>0.3</v>
      </c>
      <c r="I497" s="39" t="s">
        <v>431</v>
      </c>
      <c r="J497" s="39" t="s">
        <v>1213</v>
      </c>
      <c r="K497" s="38" t="s">
        <v>490</v>
      </c>
      <c r="L497" s="39" t="s">
        <v>434</v>
      </c>
      <c r="M497" s="38" t="s">
        <v>435</v>
      </c>
      <c r="N497" s="42" t="n">
        <v>0.9</v>
      </c>
      <c r="O497" s="42" t="n">
        <v>0.8</v>
      </c>
      <c r="P497" s="39" t="s">
        <v>436</v>
      </c>
      <c r="Q497" s="39" t="s">
        <v>437</v>
      </c>
      <c r="R497" s="39" t="s">
        <v>401</v>
      </c>
    </row>
    <row r="498" customFormat="false" ht="23.85" hidden="false" customHeight="false" outlineLevel="0" collapsed="false">
      <c r="A498" s="37" t="s">
        <v>1214</v>
      </c>
      <c r="B498" s="38" t="n">
        <v>10</v>
      </c>
      <c r="C498" s="39" t="s">
        <v>395</v>
      </c>
      <c r="D498" s="38" t="s">
        <v>396</v>
      </c>
      <c r="E498" s="39" t="s">
        <v>397</v>
      </c>
      <c r="F498" s="38" t="s">
        <v>50</v>
      </c>
      <c r="G498" s="39" t="s">
        <v>51</v>
      </c>
      <c r="H498" s="40" t="n">
        <f aca="false">INDEX(A_Scoring_Model!$C$5:$C$10,MATCH(F498,A_Scoring_Model!$A$5:$A$10,0))</f>
        <v>0.3</v>
      </c>
      <c r="I498" s="39" t="s">
        <v>431</v>
      </c>
      <c r="J498" s="39" t="s">
        <v>1215</v>
      </c>
      <c r="K498" s="38" t="s">
        <v>588</v>
      </c>
      <c r="L498" s="39" t="s">
        <v>434</v>
      </c>
      <c r="M498" s="38" t="s">
        <v>435</v>
      </c>
      <c r="N498" s="44" t="n">
        <v>24</v>
      </c>
      <c r="O498" s="44" t="n">
        <v>8</v>
      </c>
      <c r="P498" s="39" t="s">
        <v>436</v>
      </c>
      <c r="Q498" s="39" t="s">
        <v>437</v>
      </c>
      <c r="R498" s="39" t="s">
        <v>401</v>
      </c>
    </row>
    <row r="499" customFormat="false" ht="23.85" hidden="false" customHeight="false" outlineLevel="0" collapsed="false">
      <c r="A499" s="37" t="s">
        <v>1216</v>
      </c>
      <c r="B499" s="38" t="n">
        <v>10</v>
      </c>
      <c r="C499" s="39" t="s">
        <v>395</v>
      </c>
      <c r="D499" s="38" t="s">
        <v>396</v>
      </c>
      <c r="E499" s="39" t="s">
        <v>397</v>
      </c>
      <c r="F499" s="38" t="s">
        <v>50</v>
      </c>
      <c r="G499" s="39" t="s">
        <v>51</v>
      </c>
      <c r="H499" s="40" t="n">
        <f aca="false">INDEX(A_Scoring_Model!$C$5:$C$10,MATCH(F499,A_Scoring_Model!$A$5:$A$10,0))</f>
        <v>0.3</v>
      </c>
      <c r="I499" s="39" t="s">
        <v>431</v>
      </c>
      <c r="J499" s="39" t="s">
        <v>1217</v>
      </c>
      <c r="K499" s="38" t="s">
        <v>1218</v>
      </c>
      <c r="L499" s="39" t="s">
        <v>461</v>
      </c>
      <c r="M499" s="38" t="s">
        <v>462</v>
      </c>
      <c r="N499" s="44" t="n">
        <v>5</v>
      </c>
      <c r="O499" s="44" t="n">
        <v>10</v>
      </c>
      <c r="P499" s="39" t="s">
        <v>436</v>
      </c>
      <c r="Q499" s="39" t="s">
        <v>437</v>
      </c>
      <c r="R499" s="39" t="s">
        <v>401</v>
      </c>
    </row>
    <row r="500" customFormat="false" ht="23.85" hidden="false" customHeight="false" outlineLevel="0" collapsed="false">
      <c r="A500" s="37" t="s">
        <v>1219</v>
      </c>
      <c r="B500" s="38" t="n">
        <v>10</v>
      </c>
      <c r="C500" s="39" t="s">
        <v>395</v>
      </c>
      <c r="D500" s="38" t="s">
        <v>396</v>
      </c>
      <c r="E500" s="39" t="s">
        <v>397</v>
      </c>
      <c r="F500" s="38" t="s">
        <v>53</v>
      </c>
      <c r="G500" s="39" t="s">
        <v>54</v>
      </c>
      <c r="H500" s="40" t="n">
        <f aca="false">INDEX(A_Scoring_Model!$C$5:$C$10,MATCH(F500,A_Scoring_Model!$A$5:$A$10,0))</f>
        <v>0.2</v>
      </c>
      <c r="I500" s="39" t="s">
        <v>431</v>
      </c>
      <c r="J500" s="39" t="s">
        <v>1220</v>
      </c>
      <c r="K500" s="38" t="s">
        <v>445</v>
      </c>
      <c r="L500" s="39" t="s">
        <v>434</v>
      </c>
      <c r="M500" s="38" t="s">
        <v>435</v>
      </c>
      <c r="N500" s="43" t="n">
        <v>1</v>
      </c>
      <c r="O500" s="43"/>
      <c r="P500" s="39" t="s">
        <v>446</v>
      </c>
      <c r="Q500" s="39" t="s">
        <v>447</v>
      </c>
      <c r="R500" s="39"/>
    </row>
    <row r="501" customFormat="false" ht="23.85" hidden="false" customHeight="false" outlineLevel="0" collapsed="false">
      <c r="A501" s="37" t="s">
        <v>1221</v>
      </c>
      <c r="B501" s="38" t="n">
        <v>10</v>
      </c>
      <c r="C501" s="39" t="s">
        <v>395</v>
      </c>
      <c r="D501" s="38" t="s">
        <v>396</v>
      </c>
      <c r="E501" s="39" t="s">
        <v>397</v>
      </c>
      <c r="F501" s="38" t="s">
        <v>53</v>
      </c>
      <c r="G501" s="39" t="s">
        <v>54</v>
      </c>
      <c r="H501" s="40" t="n">
        <f aca="false">INDEX(A_Scoring_Model!$C$5:$C$10,MATCH(F501,A_Scoring_Model!$A$5:$A$10,0))</f>
        <v>0.2</v>
      </c>
      <c r="I501" s="39" t="s">
        <v>449</v>
      </c>
      <c r="J501" s="39" t="s">
        <v>450</v>
      </c>
      <c r="K501" s="38" t="s">
        <v>451</v>
      </c>
      <c r="L501" s="39" t="s">
        <v>434</v>
      </c>
      <c r="M501" s="38" t="s">
        <v>435</v>
      </c>
      <c r="N501" s="44" t="n">
        <v>3</v>
      </c>
      <c r="O501" s="44" t="n">
        <v>2</v>
      </c>
      <c r="P501" s="39" t="s">
        <v>436</v>
      </c>
      <c r="Q501" s="39" t="s">
        <v>447</v>
      </c>
      <c r="R501" s="39"/>
    </row>
    <row r="502" customFormat="false" ht="23.85" hidden="false" customHeight="false" outlineLevel="0" collapsed="false">
      <c r="A502" s="37" t="s">
        <v>1222</v>
      </c>
      <c r="B502" s="38" t="n">
        <v>10</v>
      </c>
      <c r="C502" s="39" t="s">
        <v>395</v>
      </c>
      <c r="D502" s="38" t="s">
        <v>396</v>
      </c>
      <c r="E502" s="39" t="s">
        <v>397</v>
      </c>
      <c r="F502" s="38" t="s">
        <v>53</v>
      </c>
      <c r="G502" s="39" t="s">
        <v>54</v>
      </c>
      <c r="H502" s="40" t="n">
        <f aca="false">INDEX(A_Scoring_Model!$C$5:$C$10,MATCH(F502,A_Scoring_Model!$A$5:$A$10,0))</f>
        <v>0.2</v>
      </c>
      <c r="I502" s="39" t="s">
        <v>449</v>
      </c>
      <c r="J502" s="39" t="s">
        <v>453</v>
      </c>
      <c r="K502" s="38" t="s">
        <v>445</v>
      </c>
      <c r="L502" s="39" t="s">
        <v>434</v>
      </c>
      <c r="M502" s="38" t="s">
        <v>435</v>
      </c>
      <c r="N502" s="43" t="n">
        <v>1</v>
      </c>
      <c r="O502" s="43"/>
      <c r="P502" s="39" t="s">
        <v>446</v>
      </c>
      <c r="Q502" s="39" t="s">
        <v>447</v>
      </c>
      <c r="R502" s="39"/>
    </row>
    <row r="503" customFormat="false" ht="23.85" hidden="false" customHeight="false" outlineLevel="0" collapsed="false">
      <c r="A503" s="37" t="s">
        <v>1223</v>
      </c>
      <c r="B503" s="38" t="n">
        <v>10</v>
      </c>
      <c r="C503" s="39" t="s">
        <v>395</v>
      </c>
      <c r="D503" s="38" t="s">
        <v>396</v>
      </c>
      <c r="E503" s="39" t="s">
        <v>397</v>
      </c>
      <c r="F503" s="38" t="s">
        <v>56</v>
      </c>
      <c r="G503" s="39" t="s">
        <v>57</v>
      </c>
      <c r="H503" s="40" t="n">
        <f aca="false">INDEX(A_Scoring_Model!$C$5:$C$10,MATCH(F503,A_Scoring_Model!$A$5:$A$10,0))</f>
        <v>0.15</v>
      </c>
      <c r="I503" s="39" t="s">
        <v>431</v>
      </c>
      <c r="J503" s="39" t="s">
        <v>1224</v>
      </c>
      <c r="K503" s="38" t="s">
        <v>1225</v>
      </c>
      <c r="L503" s="39" t="s">
        <v>434</v>
      </c>
      <c r="M503" s="38" t="s">
        <v>435</v>
      </c>
      <c r="N503" s="44" t="n">
        <v>100000</v>
      </c>
      <c r="O503" s="44"/>
      <c r="P503" s="39" t="s">
        <v>446</v>
      </c>
      <c r="Q503" s="39" t="s">
        <v>457</v>
      </c>
      <c r="R503" s="39"/>
    </row>
    <row r="504" customFormat="false" ht="23.85" hidden="false" customHeight="false" outlineLevel="0" collapsed="false">
      <c r="A504" s="37" t="s">
        <v>1226</v>
      </c>
      <c r="B504" s="38" t="n">
        <v>10</v>
      </c>
      <c r="C504" s="39" t="s">
        <v>395</v>
      </c>
      <c r="D504" s="38" t="s">
        <v>396</v>
      </c>
      <c r="E504" s="39" t="s">
        <v>397</v>
      </c>
      <c r="F504" s="38" t="s">
        <v>56</v>
      </c>
      <c r="G504" s="39" t="s">
        <v>57</v>
      </c>
      <c r="H504" s="40" t="n">
        <f aca="false">INDEX(A_Scoring_Model!$C$5:$C$10,MATCH(F504,A_Scoring_Model!$A$5:$A$10,0))</f>
        <v>0.15</v>
      </c>
      <c r="I504" s="39" t="s">
        <v>431</v>
      </c>
      <c r="J504" s="39" t="s">
        <v>1227</v>
      </c>
      <c r="K504" s="38" t="s">
        <v>503</v>
      </c>
      <c r="L504" s="39" t="s">
        <v>461</v>
      </c>
      <c r="M504" s="38" t="s">
        <v>462</v>
      </c>
      <c r="N504" s="44" t="n">
        <v>1</v>
      </c>
      <c r="O504" s="44"/>
      <c r="P504" s="39" t="s">
        <v>446</v>
      </c>
      <c r="Q504" s="39" t="s">
        <v>457</v>
      </c>
      <c r="R504" s="39"/>
    </row>
    <row r="505" customFormat="false" ht="23.85" hidden="false" customHeight="false" outlineLevel="0" collapsed="false">
      <c r="A505" s="37" t="s">
        <v>1228</v>
      </c>
      <c r="B505" s="38" t="n">
        <v>10</v>
      </c>
      <c r="C505" s="39" t="s">
        <v>395</v>
      </c>
      <c r="D505" s="38" t="s">
        <v>396</v>
      </c>
      <c r="E505" s="39" t="s">
        <v>397</v>
      </c>
      <c r="F505" s="38" t="s">
        <v>56</v>
      </c>
      <c r="G505" s="39" t="s">
        <v>57</v>
      </c>
      <c r="H505" s="40" t="n">
        <f aca="false">INDEX(A_Scoring_Model!$C$5:$C$10,MATCH(F505,A_Scoring_Model!$A$5:$A$10,0))</f>
        <v>0.15</v>
      </c>
      <c r="I505" s="39" t="s">
        <v>449</v>
      </c>
      <c r="J505" s="39" t="s">
        <v>464</v>
      </c>
      <c r="K505" s="38" t="s">
        <v>433</v>
      </c>
      <c r="L505" s="39" t="s">
        <v>461</v>
      </c>
      <c r="M505" s="38" t="s">
        <v>462</v>
      </c>
      <c r="N505" s="41" t="n">
        <v>0.2</v>
      </c>
      <c r="O505" s="41" t="n">
        <v>0.4</v>
      </c>
      <c r="P505" s="39" t="s">
        <v>436</v>
      </c>
      <c r="Q505" s="39" t="s">
        <v>457</v>
      </c>
      <c r="R505" s="39"/>
    </row>
    <row r="506" customFormat="false" ht="23.85" hidden="false" customHeight="false" outlineLevel="0" collapsed="false">
      <c r="A506" s="37" t="s">
        <v>1229</v>
      </c>
      <c r="B506" s="38" t="n">
        <v>10</v>
      </c>
      <c r="C506" s="39" t="s">
        <v>395</v>
      </c>
      <c r="D506" s="38" t="s">
        <v>396</v>
      </c>
      <c r="E506" s="39" t="s">
        <v>397</v>
      </c>
      <c r="F506" s="38" t="s">
        <v>59</v>
      </c>
      <c r="G506" s="39" t="s">
        <v>60</v>
      </c>
      <c r="H506" s="40" t="n">
        <f aca="false">INDEX(A_Scoring_Model!$C$5:$C$10,MATCH(F506,A_Scoring_Model!$A$5:$A$10,0))</f>
        <v>0.1</v>
      </c>
      <c r="I506" s="39" t="s">
        <v>431</v>
      </c>
      <c r="J506" s="39" t="s">
        <v>1230</v>
      </c>
      <c r="K506" s="38" t="s">
        <v>433</v>
      </c>
      <c r="L506" s="39" t="s">
        <v>434</v>
      </c>
      <c r="M506" s="38" t="s">
        <v>435</v>
      </c>
      <c r="N506" s="41" t="n">
        <v>1</v>
      </c>
      <c r="O506" s="41"/>
      <c r="P506" s="39" t="s">
        <v>446</v>
      </c>
      <c r="Q506" s="39" t="s">
        <v>467</v>
      </c>
      <c r="R506" s="39"/>
    </row>
    <row r="507" customFormat="false" ht="23.85" hidden="false" customHeight="false" outlineLevel="0" collapsed="false">
      <c r="A507" s="37" t="s">
        <v>1231</v>
      </c>
      <c r="B507" s="38" t="n">
        <v>10</v>
      </c>
      <c r="C507" s="39" t="s">
        <v>395</v>
      </c>
      <c r="D507" s="38" t="s">
        <v>396</v>
      </c>
      <c r="E507" s="39" t="s">
        <v>397</v>
      </c>
      <c r="F507" s="38" t="s">
        <v>59</v>
      </c>
      <c r="G507" s="39" t="s">
        <v>60</v>
      </c>
      <c r="H507" s="40" t="n">
        <f aca="false">INDEX(A_Scoring_Model!$C$5:$C$10,MATCH(F507,A_Scoring_Model!$A$5:$A$10,0))</f>
        <v>0.1</v>
      </c>
      <c r="I507" s="39" t="s">
        <v>449</v>
      </c>
      <c r="J507" s="39" t="s">
        <v>471</v>
      </c>
      <c r="K507" s="38" t="s">
        <v>433</v>
      </c>
      <c r="L507" s="39" t="s">
        <v>434</v>
      </c>
      <c r="M507" s="38" t="s">
        <v>435</v>
      </c>
      <c r="N507" s="41" t="n">
        <v>0.995</v>
      </c>
      <c r="O507" s="41" t="n">
        <v>0.99</v>
      </c>
      <c r="P507" s="39" t="s">
        <v>436</v>
      </c>
      <c r="Q507" s="39" t="s">
        <v>467</v>
      </c>
      <c r="R507" s="39"/>
    </row>
    <row r="508" customFormat="false" ht="23.85" hidden="false" customHeight="false" outlineLevel="0" collapsed="false">
      <c r="A508" s="37" t="s">
        <v>1232</v>
      </c>
      <c r="B508" s="38" t="n">
        <v>10</v>
      </c>
      <c r="C508" s="39" t="s">
        <v>395</v>
      </c>
      <c r="D508" s="38" t="s">
        <v>396</v>
      </c>
      <c r="E508" s="39" t="s">
        <v>397</v>
      </c>
      <c r="F508" s="38" t="s">
        <v>62</v>
      </c>
      <c r="G508" s="39" t="s">
        <v>63</v>
      </c>
      <c r="H508" s="40" t="n">
        <f aca="false">INDEX(A_Scoring_Model!$C$5:$C$10,MATCH(F508,A_Scoring_Model!$A$5:$A$10,0))</f>
        <v>0.15</v>
      </c>
      <c r="I508" s="39" t="s">
        <v>431</v>
      </c>
      <c r="J508" s="39" t="s">
        <v>1233</v>
      </c>
      <c r="K508" s="38" t="s">
        <v>433</v>
      </c>
      <c r="L508" s="39" t="s">
        <v>434</v>
      </c>
      <c r="M508" s="38" t="s">
        <v>435</v>
      </c>
      <c r="N508" s="41" t="n">
        <v>0.5</v>
      </c>
      <c r="O508" s="41"/>
      <c r="P508" s="39" t="s">
        <v>446</v>
      </c>
      <c r="Q508" s="39" t="s">
        <v>474</v>
      </c>
      <c r="R508" s="39"/>
    </row>
    <row r="509" customFormat="false" ht="23.85" hidden="false" customHeight="false" outlineLevel="0" collapsed="false">
      <c r="A509" s="37" t="s">
        <v>1234</v>
      </c>
      <c r="B509" s="38" t="n">
        <v>10</v>
      </c>
      <c r="C509" s="39" t="s">
        <v>395</v>
      </c>
      <c r="D509" s="38" t="s">
        <v>396</v>
      </c>
      <c r="E509" s="39" t="s">
        <v>397</v>
      </c>
      <c r="F509" s="38" t="s">
        <v>65</v>
      </c>
      <c r="G509" s="39" t="s">
        <v>66</v>
      </c>
      <c r="H509" s="40" t="n">
        <f aca="false">INDEX(A_Scoring_Model!$C$5:$C$10,MATCH(F509,A_Scoring_Model!$A$5:$A$10,0))</f>
        <v>0.1</v>
      </c>
      <c r="I509" s="39" t="s">
        <v>449</v>
      </c>
      <c r="J509" s="39" t="s">
        <v>478</v>
      </c>
      <c r="K509" s="38" t="s">
        <v>433</v>
      </c>
      <c r="L509" s="39" t="s">
        <v>434</v>
      </c>
      <c r="M509" s="38" t="s">
        <v>435</v>
      </c>
      <c r="N509" s="41" t="n">
        <v>0.8</v>
      </c>
      <c r="O509" s="41" t="n">
        <v>0.6</v>
      </c>
      <c r="P509" s="39" t="s">
        <v>436</v>
      </c>
      <c r="Q509" s="39" t="s">
        <v>479</v>
      </c>
      <c r="R509" s="39"/>
    </row>
    <row r="510" customFormat="false" ht="23.85" hidden="false" customHeight="false" outlineLevel="0" collapsed="false">
      <c r="A510" s="37" t="s">
        <v>1235</v>
      </c>
      <c r="B510" s="38" t="n">
        <v>10</v>
      </c>
      <c r="C510" s="39" t="s">
        <v>395</v>
      </c>
      <c r="D510" s="38" t="s">
        <v>396</v>
      </c>
      <c r="E510" s="39" t="s">
        <v>397</v>
      </c>
      <c r="F510" s="38" t="s">
        <v>65</v>
      </c>
      <c r="G510" s="39" t="s">
        <v>66</v>
      </c>
      <c r="H510" s="40" t="n">
        <f aca="false">INDEX(A_Scoring_Model!$C$5:$C$10,MATCH(F510,A_Scoring_Model!$A$5:$A$10,0))</f>
        <v>0.1</v>
      </c>
      <c r="I510" s="39" t="s">
        <v>449</v>
      </c>
      <c r="J510" s="39" t="s">
        <v>481</v>
      </c>
      <c r="K510" s="38" t="s">
        <v>451</v>
      </c>
      <c r="L510" s="39" t="s">
        <v>461</v>
      </c>
      <c r="M510" s="38" t="s">
        <v>462</v>
      </c>
      <c r="N510" s="44" t="n">
        <v>0</v>
      </c>
      <c r="O510" s="44"/>
      <c r="P510" s="39" t="s">
        <v>446</v>
      </c>
      <c r="Q510" s="39" t="s">
        <v>479</v>
      </c>
      <c r="R510" s="39"/>
    </row>
    <row r="511" customFormat="false" ht="23.85" hidden="false" customHeight="false" outlineLevel="0" collapsed="false">
      <c r="A511" s="37" t="s">
        <v>1236</v>
      </c>
      <c r="B511" s="38" t="n">
        <v>10</v>
      </c>
      <c r="C511" s="39" t="s">
        <v>395</v>
      </c>
      <c r="D511" s="38" t="s">
        <v>396</v>
      </c>
      <c r="E511" s="39" t="s">
        <v>397</v>
      </c>
      <c r="F511" s="38" t="s">
        <v>65</v>
      </c>
      <c r="G511" s="39" t="s">
        <v>66</v>
      </c>
      <c r="H511" s="40" t="n">
        <f aca="false">INDEX(A_Scoring_Model!$C$5:$C$10,MATCH(F511,A_Scoring_Model!$A$5:$A$10,0))</f>
        <v>0.1</v>
      </c>
      <c r="I511" s="39" t="s">
        <v>449</v>
      </c>
      <c r="J511" s="39" t="s">
        <v>483</v>
      </c>
      <c r="K511" s="38" t="s">
        <v>451</v>
      </c>
      <c r="L511" s="39" t="s">
        <v>461</v>
      </c>
      <c r="M511" s="38" t="s">
        <v>462</v>
      </c>
      <c r="N511" s="44" t="n">
        <v>0</v>
      </c>
      <c r="O511" s="44"/>
      <c r="P511" s="39" t="s">
        <v>446</v>
      </c>
      <c r="Q511" s="39" t="s">
        <v>479</v>
      </c>
      <c r="R511" s="39"/>
    </row>
    <row r="512" customFormat="false" ht="23.85" hidden="false" customHeight="false" outlineLevel="0" collapsed="false">
      <c r="A512" s="37" t="s">
        <v>1237</v>
      </c>
      <c r="B512" s="38" t="n">
        <v>10</v>
      </c>
      <c r="C512" s="39" t="s">
        <v>395</v>
      </c>
      <c r="D512" s="38" t="s">
        <v>396</v>
      </c>
      <c r="E512" s="39" t="s">
        <v>397</v>
      </c>
      <c r="F512" s="38" t="s">
        <v>65</v>
      </c>
      <c r="G512" s="39" t="s">
        <v>66</v>
      </c>
      <c r="H512" s="40" t="n">
        <f aca="false">INDEX(A_Scoring_Model!$C$5:$C$10,MATCH(F512,A_Scoring_Model!$A$5:$A$10,0))</f>
        <v>0.1</v>
      </c>
      <c r="I512" s="39" t="s">
        <v>449</v>
      </c>
      <c r="J512" s="39" t="s">
        <v>485</v>
      </c>
      <c r="K512" s="38" t="s">
        <v>445</v>
      </c>
      <c r="L512" s="39" t="s">
        <v>434</v>
      </c>
      <c r="M512" s="38" t="s">
        <v>435</v>
      </c>
      <c r="N512" s="43" t="n">
        <v>1</v>
      </c>
      <c r="O512" s="43"/>
      <c r="P512" s="39" t="s">
        <v>446</v>
      </c>
      <c r="Q512" s="39" t="s">
        <v>479</v>
      </c>
      <c r="R512" s="39"/>
    </row>
    <row r="513" customFormat="false" ht="23.85" hidden="false" customHeight="false" outlineLevel="0" collapsed="false">
      <c r="A513" s="37" t="s">
        <v>1238</v>
      </c>
      <c r="B513" s="38" t="n">
        <v>10</v>
      </c>
      <c r="C513" s="39" t="s">
        <v>395</v>
      </c>
      <c r="D513" s="38" t="s">
        <v>396</v>
      </c>
      <c r="E513" s="39" t="s">
        <v>397</v>
      </c>
      <c r="F513" s="38" t="s">
        <v>65</v>
      </c>
      <c r="G513" s="39" t="s">
        <v>66</v>
      </c>
      <c r="H513" s="40" t="n">
        <f aca="false">INDEX(A_Scoring_Model!$C$5:$C$10,MATCH(F513,A_Scoring_Model!$A$5:$A$10,0))</f>
        <v>0.1</v>
      </c>
      <c r="I513" s="39" t="s">
        <v>449</v>
      </c>
      <c r="J513" s="39" t="s">
        <v>487</v>
      </c>
      <c r="K513" s="38" t="s">
        <v>445</v>
      </c>
      <c r="L513" s="39" t="s">
        <v>434</v>
      </c>
      <c r="M513" s="38" t="s">
        <v>435</v>
      </c>
      <c r="N513" s="43" t="n">
        <v>1</v>
      </c>
      <c r="O513" s="43"/>
      <c r="P513" s="39" t="s">
        <v>446</v>
      </c>
      <c r="Q513" s="39" t="s">
        <v>479</v>
      </c>
      <c r="R513" s="39"/>
    </row>
    <row r="514" customFormat="false" ht="23.85" hidden="false" customHeight="false" outlineLevel="0" collapsed="false">
      <c r="A514" s="45" t="s">
        <v>1239</v>
      </c>
      <c r="B514" s="21" t="n">
        <v>10</v>
      </c>
      <c r="C514" s="16" t="s">
        <v>395</v>
      </c>
      <c r="D514" s="21" t="s">
        <v>402</v>
      </c>
      <c r="E514" s="16" t="s">
        <v>403</v>
      </c>
      <c r="F514" s="21" t="s">
        <v>50</v>
      </c>
      <c r="G514" s="16" t="s">
        <v>51</v>
      </c>
      <c r="H514" s="46" t="n">
        <f aca="false">INDEX(A_Scoring_Model!$C$5:$C$10,MATCH(F514,A_Scoring_Model!$A$5:$A$10,0))</f>
        <v>0.3</v>
      </c>
      <c r="I514" s="16" t="s">
        <v>431</v>
      </c>
      <c r="J514" s="16" t="s">
        <v>1240</v>
      </c>
      <c r="K514" s="21" t="s">
        <v>440</v>
      </c>
      <c r="L514" s="16" t="s">
        <v>434</v>
      </c>
      <c r="M514" s="21" t="s">
        <v>435</v>
      </c>
      <c r="N514" s="47" t="n">
        <v>0.85</v>
      </c>
      <c r="O514" s="47" t="n">
        <v>0.75</v>
      </c>
      <c r="P514" s="16" t="s">
        <v>436</v>
      </c>
      <c r="Q514" s="16" t="s">
        <v>437</v>
      </c>
      <c r="R514" s="16" t="s">
        <v>407</v>
      </c>
    </row>
    <row r="515" customFormat="false" ht="23.85" hidden="false" customHeight="false" outlineLevel="0" collapsed="false">
      <c r="A515" s="45" t="s">
        <v>1241</v>
      </c>
      <c r="B515" s="21" t="n">
        <v>10</v>
      </c>
      <c r="C515" s="16" t="s">
        <v>395</v>
      </c>
      <c r="D515" s="21" t="s">
        <v>402</v>
      </c>
      <c r="E515" s="16" t="s">
        <v>403</v>
      </c>
      <c r="F515" s="21" t="s">
        <v>50</v>
      </c>
      <c r="G515" s="16" t="s">
        <v>51</v>
      </c>
      <c r="H515" s="46" t="n">
        <f aca="false">INDEX(A_Scoring_Model!$C$5:$C$10,MATCH(F515,A_Scoring_Model!$A$5:$A$10,0))</f>
        <v>0.3</v>
      </c>
      <c r="I515" s="16" t="s">
        <v>431</v>
      </c>
      <c r="J515" s="16" t="s">
        <v>1242</v>
      </c>
      <c r="K515" s="21" t="s">
        <v>433</v>
      </c>
      <c r="L515" s="16" t="s">
        <v>434</v>
      </c>
      <c r="M515" s="21" t="s">
        <v>435</v>
      </c>
      <c r="N515" s="48" t="n">
        <v>0.88</v>
      </c>
      <c r="O515" s="48" t="n">
        <v>0.78</v>
      </c>
      <c r="P515" s="16" t="s">
        <v>436</v>
      </c>
      <c r="Q515" s="16" t="s">
        <v>437</v>
      </c>
      <c r="R515" s="16" t="s">
        <v>407</v>
      </c>
    </row>
    <row r="516" customFormat="false" ht="23.85" hidden="false" customHeight="false" outlineLevel="0" collapsed="false">
      <c r="A516" s="45" t="s">
        <v>1243</v>
      </c>
      <c r="B516" s="21" t="n">
        <v>10</v>
      </c>
      <c r="C516" s="16" t="s">
        <v>395</v>
      </c>
      <c r="D516" s="21" t="s">
        <v>402</v>
      </c>
      <c r="E516" s="16" t="s">
        <v>403</v>
      </c>
      <c r="F516" s="21" t="s">
        <v>50</v>
      </c>
      <c r="G516" s="16" t="s">
        <v>51</v>
      </c>
      <c r="H516" s="46" t="n">
        <f aca="false">INDEX(A_Scoring_Model!$C$5:$C$10,MATCH(F516,A_Scoring_Model!$A$5:$A$10,0))</f>
        <v>0.3</v>
      </c>
      <c r="I516" s="16" t="s">
        <v>431</v>
      </c>
      <c r="J516" s="16" t="s">
        <v>1244</v>
      </c>
      <c r="K516" s="21" t="s">
        <v>433</v>
      </c>
      <c r="L516" s="16" t="s">
        <v>434</v>
      </c>
      <c r="M516" s="21" t="s">
        <v>435</v>
      </c>
      <c r="N516" s="48" t="n">
        <v>0.9</v>
      </c>
      <c r="O516" s="48" t="n">
        <v>0.8</v>
      </c>
      <c r="P516" s="16" t="s">
        <v>436</v>
      </c>
      <c r="Q516" s="16" t="s">
        <v>437</v>
      </c>
      <c r="R516" s="16" t="s">
        <v>407</v>
      </c>
    </row>
    <row r="517" customFormat="false" ht="23.85" hidden="false" customHeight="false" outlineLevel="0" collapsed="false">
      <c r="A517" s="45" t="s">
        <v>1245</v>
      </c>
      <c r="B517" s="21" t="n">
        <v>10</v>
      </c>
      <c r="C517" s="16" t="s">
        <v>395</v>
      </c>
      <c r="D517" s="21" t="s">
        <v>402</v>
      </c>
      <c r="E517" s="16" t="s">
        <v>403</v>
      </c>
      <c r="F517" s="21" t="s">
        <v>53</v>
      </c>
      <c r="G517" s="16" t="s">
        <v>54</v>
      </c>
      <c r="H517" s="46" t="n">
        <f aca="false">INDEX(A_Scoring_Model!$C$5:$C$10,MATCH(F517,A_Scoring_Model!$A$5:$A$10,0))</f>
        <v>0.2</v>
      </c>
      <c r="I517" s="16" t="s">
        <v>431</v>
      </c>
      <c r="J517" s="16" t="s">
        <v>1246</v>
      </c>
      <c r="K517" s="21" t="s">
        <v>451</v>
      </c>
      <c r="L517" s="16" t="s">
        <v>434</v>
      </c>
      <c r="M517" s="21" t="s">
        <v>435</v>
      </c>
      <c r="N517" s="49" t="n">
        <v>3</v>
      </c>
      <c r="O517" s="49"/>
      <c r="P517" s="16" t="s">
        <v>446</v>
      </c>
      <c r="Q517" s="16" t="s">
        <v>447</v>
      </c>
      <c r="R517" s="16"/>
    </row>
    <row r="518" customFormat="false" ht="23.85" hidden="false" customHeight="false" outlineLevel="0" collapsed="false">
      <c r="A518" s="45" t="s">
        <v>1247</v>
      </c>
      <c r="B518" s="21" t="n">
        <v>10</v>
      </c>
      <c r="C518" s="16" t="s">
        <v>395</v>
      </c>
      <c r="D518" s="21" t="s">
        <v>402</v>
      </c>
      <c r="E518" s="16" t="s">
        <v>403</v>
      </c>
      <c r="F518" s="21" t="s">
        <v>53</v>
      </c>
      <c r="G518" s="16" t="s">
        <v>54</v>
      </c>
      <c r="H518" s="46" t="n">
        <f aca="false">INDEX(A_Scoring_Model!$C$5:$C$10,MATCH(F518,A_Scoring_Model!$A$5:$A$10,0))</f>
        <v>0.2</v>
      </c>
      <c r="I518" s="16" t="s">
        <v>449</v>
      </c>
      <c r="J518" s="16" t="s">
        <v>450</v>
      </c>
      <c r="K518" s="21" t="s">
        <v>451</v>
      </c>
      <c r="L518" s="16" t="s">
        <v>434</v>
      </c>
      <c r="M518" s="21" t="s">
        <v>435</v>
      </c>
      <c r="N518" s="49" t="n">
        <v>3</v>
      </c>
      <c r="O518" s="49" t="n">
        <v>2</v>
      </c>
      <c r="P518" s="16" t="s">
        <v>436</v>
      </c>
      <c r="Q518" s="16" t="s">
        <v>447</v>
      </c>
      <c r="R518" s="16"/>
    </row>
    <row r="519" customFormat="false" ht="23.85" hidden="false" customHeight="false" outlineLevel="0" collapsed="false">
      <c r="A519" s="45" t="s">
        <v>1248</v>
      </c>
      <c r="B519" s="21" t="n">
        <v>10</v>
      </c>
      <c r="C519" s="16" t="s">
        <v>395</v>
      </c>
      <c r="D519" s="21" t="s">
        <v>402</v>
      </c>
      <c r="E519" s="16" t="s">
        <v>403</v>
      </c>
      <c r="F519" s="21" t="s">
        <v>53</v>
      </c>
      <c r="G519" s="16" t="s">
        <v>54</v>
      </c>
      <c r="H519" s="46" t="n">
        <f aca="false">INDEX(A_Scoring_Model!$C$5:$C$10,MATCH(F519,A_Scoring_Model!$A$5:$A$10,0))</f>
        <v>0.2</v>
      </c>
      <c r="I519" s="16" t="s">
        <v>449</v>
      </c>
      <c r="J519" s="16" t="s">
        <v>453</v>
      </c>
      <c r="K519" s="21" t="s">
        <v>445</v>
      </c>
      <c r="L519" s="16" t="s">
        <v>434</v>
      </c>
      <c r="M519" s="21" t="s">
        <v>435</v>
      </c>
      <c r="N519" s="19" t="n">
        <v>1</v>
      </c>
      <c r="O519" s="19"/>
      <c r="P519" s="16" t="s">
        <v>446</v>
      </c>
      <c r="Q519" s="16" t="s">
        <v>447</v>
      </c>
      <c r="R519" s="16"/>
    </row>
    <row r="520" customFormat="false" ht="23.85" hidden="false" customHeight="false" outlineLevel="0" collapsed="false">
      <c r="A520" s="45" t="s">
        <v>1249</v>
      </c>
      <c r="B520" s="21" t="n">
        <v>10</v>
      </c>
      <c r="C520" s="16" t="s">
        <v>395</v>
      </c>
      <c r="D520" s="21" t="s">
        <v>402</v>
      </c>
      <c r="E520" s="16" t="s">
        <v>403</v>
      </c>
      <c r="F520" s="21" t="s">
        <v>56</v>
      </c>
      <c r="G520" s="16" t="s">
        <v>57</v>
      </c>
      <c r="H520" s="46" t="n">
        <f aca="false">INDEX(A_Scoring_Model!$C$5:$C$10,MATCH(F520,A_Scoring_Model!$A$5:$A$10,0))</f>
        <v>0.15</v>
      </c>
      <c r="I520" s="16" t="s">
        <v>431</v>
      </c>
      <c r="J520" s="16" t="s">
        <v>1250</v>
      </c>
      <c r="K520" s="21" t="s">
        <v>1251</v>
      </c>
      <c r="L520" s="16" t="s">
        <v>434</v>
      </c>
      <c r="M520" s="21" t="s">
        <v>435</v>
      </c>
      <c r="N520" s="49" t="n">
        <v>10000</v>
      </c>
      <c r="O520" s="49"/>
      <c r="P520" s="16" t="s">
        <v>446</v>
      </c>
      <c r="Q520" s="16" t="s">
        <v>457</v>
      </c>
      <c r="R520" s="16"/>
    </row>
    <row r="521" customFormat="false" ht="23.85" hidden="false" customHeight="false" outlineLevel="0" collapsed="false">
      <c r="A521" s="45" t="s">
        <v>1252</v>
      </c>
      <c r="B521" s="21" t="n">
        <v>10</v>
      </c>
      <c r="C521" s="16" t="s">
        <v>395</v>
      </c>
      <c r="D521" s="21" t="s">
        <v>402</v>
      </c>
      <c r="E521" s="16" t="s">
        <v>403</v>
      </c>
      <c r="F521" s="21" t="s">
        <v>56</v>
      </c>
      <c r="G521" s="16" t="s">
        <v>57</v>
      </c>
      <c r="H521" s="46" t="n">
        <f aca="false">INDEX(A_Scoring_Model!$C$5:$C$10,MATCH(F521,A_Scoring_Model!$A$5:$A$10,0))</f>
        <v>0.15</v>
      </c>
      <c r="I521" s="16" t="s">
        <v>449</v>
      </c>
      <c r="J521" s="16" t="s">
        <v>464</v>
      </c>
      <c r="K521" s="21" t="s">
        <v>433</v>
      </c>
      <c r="L521" s="16" t="s">
        <v>461</v>
      </c>
      <c r="M521" s="21" t="s">
        <v>462</v>
      </c>
      <c r="N521" s="48" t="n">
        <v>0.2</v>
      </c>
      <c r="O521" s="48" t="n">
        <v>0.4</v>
      </c>
      <c r="P521" s="16" t="s">
        <v>436</v>
      </c>
      <c r="Q521" s="16" t="s">
        <v>457</v>
      </c>
      <c r="R521" s="16"/>
    </row>
    <row r="522" customFormat="false" ht="23.85" hidden="false" customHeight="false" outlineLevel="0" collapsed="false">
      <c r="A522" s="45" t="s">
        <v>1253</v>
      </c>
      <c r="B522" s="21" t="n">
        <v>10</v>
      </c>
      <c r="C522" s="16" t="s">
        <v>395</v>
      </c>
      <c r="D522" s="21" t="s">
        <v>402</v>
      </c>
      <c r="E522" s="16" t="s">
        <v>403</v>
      </c>
      <c r="F522" s="21" t="s">
        <v>59</v>
      </c>
      <c r="G522" s="16" t="s">
        <v>60</v>
      </c>
      <c r="H522" s="46" t="n">
        <f aca="false">INDEX(A_Scoring_Model!$C$5:$C$10,MATCH(F522,A_Scoring_Model!$A$5:$A$10,0))</f>
        <v>0.1</v>
      </c>
      <c r="I522" s="16" t="s">
        <v>431</v>
      </c>
      <c r="J522" s="16" t="s">
        <v>1254</v>
      </c>
      <c r="K522" s="21" t="s">
        <v>433</v>
      </c>
      <c r="L522" s="16" t="s">
        <v>434</v>
      </c>
      <c r="M522" s="21" t="s">
        <v>435</v>
      </c>
      <c r="N522" s="48" t="n">
        <v>1</v>
      </c>
      <c r="O522" s="48"/>
      <c r="P522" s="16" t="s">
        <v>446</v>
      </c>
      <c r="Q522" s="16" t="s">
        <v>467</v>
      </c>
      <c r="R522" s="16"/>
    </row>
    <row r="523" customFormat="false" ht="23.85" hidden="false" customHeight="false" outlineLevel="0" collapsed="false">
      <c r="A523" s="45" t="s">
        <v>1255</v>
      </c>
      <c r="B523" s="21" t="n">
        <v>10</v>
      </c>
      <c r="C523" s="16" t="s">
        <v>395</v>
      </c>
      <c r="D523" s="21" t="s">
        <v>402</v>
      </c>
      <c r="E523" s="16" t="s">
        <v>403</v>
      </c>
      <c r="F523" s="21" t="s">
        <v>59</v>
      </c>
      <c r="G523" s="16" t="s">
        <v>60</v>
      </c>
      <c r="H523" s="46" t="n">
        <f aca="false">INDEX(A_Scoring_Model!$C$5:$C$10,MATCH(F523,A_Scoring_Model!$A$5:$A$10,0))</f>
        <v>0.1</v>
      </c>
      <c r="I523" s="16" t="s">
        <v>449</v>
      </c>
      <c r="J523" s="16" t="s">
        <v>471</v>
      </c>
      <c r="K523" s="21" t="s">
        <v>433</v>
      </c>
      <c r="L523" s="16" t="s">
        <v>434</v>
      </c>
      <c r="M523" s="21" t="s">
        <v>435</v>
      </c>
      <c r="N523" s="48" t="n">
        <v>0.995</v>
      </c>
      <c r="O523" s="48" t="n">
        <v>0.99</v>
      </c>
      <c r="P523" s="16" t="s">
        <v>436</v>
      </c>
      <c r="Q523" s="16" t="s">
        <v>467</v>
      </c>
      <c r="R523" s="16"/>
    </row>
    <row r="524" customFormat="false" ht="23.85" hidden="false" customHeight="false" outlineLevel="0" collapsed="false">
      <c r="A524" s="45" t="s">
        <v>1256</v>
      </c>
      <c r="B524" s="21" t="n">
        <v>10</v>
      </c>
      <c r="C524" s="16" t="s">
        <v>395</v>
      </c>
      <c r="D524" s="21" t="s">
        <v>402</v>
      </c>
      <c r="E524" s="16" t="s">
        <v>403</v>
      </c>
      <c r="F524" s="21" t="s">
        <v>62</v>
      </c>
      <c r="G524" s="16" t="s">
        <v>63</v>
      </c>
      <c r="H524" s="46" t="n">
        <f aca="false">INDEX(A_Scoring_Model!$C$5:$C$10,MATCH(F524,A_Scoring_Model!$A$5:$A$10,0))</f>
        <v>0.15</v>
      </c>
      <c r="I524" s="16" t="s">
        <v>431</v>
      </c>
      <c r="J524" s="16" t="s">
        <v>1257</v>
      </c>
      <c r="K524" s="21" t="s">
        <v>433</v>
      </c>
      <c r="L524" s="16" t="s">
        <v>434</v>
      </c>
      <c r="M524" s="21" t="s">
        <v>435</v>
      </c>
      <c r="N524" s="48" t="n">
        <v>0.4</v>
      </c>
      <c r="O524" s="48"/>
      <c r="P524" s="16" t="s">
        <v>446</v>
      </c>
      <c r="Q524" s="16" t="s">
        <v>474</v>
      </c>
      <c r="R524" s="16"/>
    </row>
    <row r="525" customFormat="false" ht="23.85" hidden="false" customHeight="false" outlineLevel="0" collapsed="false">
      <c r="A525" s="45" t="s">
        <v>1258</v>
      </c>
      <c r="B525" s="21" t="n">
        <v>10</v>
      </c>
      <c r="C525" s="16" t="s">
        <v>395</v>
      </c>
      <c r="D525" s="21" t="s">
        <v>402</v>
      </c>
      <c r="E525" s="16" t="s">
        <v>403</v>
      </c>
      <c r="F525" s="21" t="s">
        <v>65</v>
      </c>
      <c r="G525" s="16" t="s">
        <v>66</v>
      </c>
      <c r="H525" s="46" t="n">
        <f aca="false">INDEX(A_Scoring_Model!$C$5:$C$10,MATCH(F525,A_Scoring_Model!$A$5:$A$10,0))</f>
        <v>0.1</v>
      </c>
      <c r="I525" s="16" t="s">
        <v>449</v>
      </c>
      <c r="J525" s="16" t="s">
        <v>478</v>
      </c>
      <c r="K525" s="21" t="s">
        <v>433</v>
      </c>
      <c r="L525" s="16" t="s">
        <v>434</v>
      </c>
      <c r="M525" s="21" t="s">
        <v>435</v>
      </c>
      <c r="N525" s="48" t="n">
        <v>0.8</v>
      </c>
      <c r="O525" s="48" t="n">
        <v>0.6</v>
      </c>
      <c r="P525" s="16" t="s">
        <v>436</v>
      </c>
      <c r="Q525" s="16" t="s">
        <v>479</v>
      </c>
      <c r="R525" s="16"/>
    </row>
    <row r="526" customFormat="false" ht="23.85" hidden="false" customHeight="false" outlineLevel="0" collapsed="false">
      <c r="A526" s="45" t="s">
        <v>1259</v>
      </c>
      <c r="B526" s="21" t="n">
        <v>10</v>
      </c>
      <c r="C526" s="16" t="s">
        <v>395</v>
      </c>
      <c r="D526" s="21" t="s">
        <v>402</v>
      </c>
      <c r="E526" s="16" t="s">
        <v>403</v>
      </c>
      <c r="F526" s="21" t="s">
        <v>65</v>
      </c>
      <c r="G526" s="16" t="s">
        <v>66</v>
      </c>
      <c r="H526" s="46" t="n">
        <f aca="false">INDEX(A_Scoring_Model!$C$5:$C$10,MATCH(F526,A_Scoring_Model!$A$5:$A$10,0))</f>
        <v>0.1</v>
      </c>
      <c r="I526" s="16" t="s">
        <v>449</v>
      </c>
      <c r="J526" s="16" t="s">
        <v>481</v>
      </c>
      <c r="K526" s="21" t="s">
        <v>451</v>
      </c>
      <c r="L526" s="16" t="s">
        <v>461</v>
      </c>
      <c r="M526" s="21" t="s">
        <v>462</v>
      </c>
      <c r="N526" s="49" t="n">
        <v>0</v>
      </c>
      <c r="O526" s="49"/>
      <c r="P526" s="16" t="s">
        <v>446</v>
      </c>
      <c r="Q526" s="16" t="s">
        <v>479</v>
      </c>
      <c r="R526" s="16"/>
    </row>
    <row r="527" customFormat="false" ht="23.85" hidden="false" customHeight="false" outlineLevel="0" collapsed="false">
      <c r="A527" s="45" t="s">
        <v>1260</v>
      </c>
      <c r="B527" s="21" t="n">
        <v>10</v>
      </c>
      <c r="C527" s="16" t="s">
        <v>395</v>
      </c>
      <c r="D527" s="21" t="s">
        <v>402</v>
      </c>
      <c r="E527" s="16" t="s">
        <v>403</v>
      </c>
      <c r="F527" s="21" t="s">
        <v>65</v>
      </c>
      <c r="G527" s="16" t="s">
        <v>66</v>
      </c>
      <c r="H527" s="46" t="n">
        <f aca="false">INDEX(A_Scoring_Model!$C$5:$C$10,MATCH(F527,A_Scoring_Model!$A$5:$A$10,0))</f>
        <v>0.1</v>
      </c>
      <c r="I527" s="16" t="s">
        <v>449</v>
      </c>
      <c r="J527" s="16" t="s">
        <v>483</v>
      </c>
      <c r="K527" s="21" t="s">
        <v>451</v>
      </c>
      <c r="L527" s="16" t="s">
        <v>461</v>
      </c>
      <c r="M527" s="21" t="s">
        <v>462</v>
      </c>
      <c r="N527" s="49" t="n">
        <v>0</v>
      </c>
      <c r="O527" s="49"/>
      <c r="P527" s="16" t="s">
        <v>446</v>
      </c>
      <c r="Q527" s="16" t="s">
        <v>479</v>
      </c>
      <c r="R527" s="16"/>
    </row>
    <row r="528" customFormat="false" ht="23.85" hidden="false" customHeight="false" outlineLevel="0" collapsed="false">
      <c r="A528" s="45" t="s">
        <v>1261</v>
      </c>
      <c r="B528" s="21" t="n">
        <v>10</v>
      </c>
      <c r="C528" s="16" t="s">
        <v>395</v>
      </c>
      <c r="D528" s="21" t="s">
        <v>402</v>
      </c>
      <c r="E528" s="16" t="s">
        <v>403</v>
      </c>
      <c r="F528" s="21" t="s">
        <v>65</v>
      </c>
      <c r="G528" s="16" t="s">
        <v>66</v>
      </c>
      <c r="H528" s="46" t="n">
        <f aca="false">INDEX(A_Scoring_Model!$C$5:$C$10,MATCH(F528,A_Scoring_Model!$A$5:$A$10,0))</f>
        <v>0.1</v>
      </c>
      <c r="I528" s="16" t="s">
        <v>449</v>
      </c>
      <c r="J528" s="16" t="s">
        <v>485</v>
      </c>
      <c r="K528" s="21" t="s">
        <v>445</v>
      </c>
      <c r="L528" s="16" t="s">
        <v>434</v>
      </c>
      <c r="M528" s="21" t="s">
        <v>435</v>
      </c>
      <c r="N528" s="19" t="n">
        <v>1</v>
      </c>
      <c r="O528" s="19"/>
      <c r="P528" s="16" t="s">
        <v>446</v>
      </c>
      <c r="Q528" s="16" t="s">
        <v>479</v>
      </c>
      <c r="R528" s="16"/>
    </row>
    <row r="529" customFormat="false" ht="23.85" hidden="false" customHeight="false" outlineLevel="0" collapsed="false">
      <c r="A529" s="45" t="s">
        <v>1262</v>
      </c>
      <c r="B529" s="21" t="n">
        <v>10</v>
      </c>
      <c r="C529" s="16" t="s">
        <v>395</v>
      </c>
      <c r="D529" s="21" t="s">
        <v>402</v>
      </c>
      <c r="E529" s="16" t="s">
        <v>403</v>
      </c>
      <c r="F529" s="21" t="s">
        <v>65</v>
      </c>
      <c r="G529" s="16" t="s">
        <v>66</v>
      </c>
      <c r="H529" s="46" t="n">
        <f aca="false">INDEX(A_Scoring_Model!$C$5:$C$10,MATCH(F529,A_Scoring_Model!$A$5:$A$10,0))</f>
        <v>0.1</v>
      </c>
      <c r="I529" s="16" t="s">
        <v>449</v>
      </c>
      <c r="J529" s="16" t="s">
        <v>487</v>
      </c>
      <c r="K529" s="21" t="s">
        <v>445</v>
      </c>
      <c r="L529" s="16" t="s">
        <v>434</v>
      </c>
      <c r="M529" s="21" t="s">
        <v>435</v>
      </c>
      <c r="N529" s="19" t="n">
        <v>1</v>
      </c>
      <c r="O529" s="19"/>
      <c r="P529" s="16" t="s">
        <v>446</v>
      </c>
      <c r="Q529" s="16" t="s">
        <v>479</v>
      </c>
      <c r="R529" s="16"/>
    </row>
    <row r="530" customFormat="false" ht="23.85" hidden="false" customHeight="false" outlineLevel="0" collapsed="false">
      <c r="A530" s="37" t="s">
        <v>1263</v>
      </c>
      <c r="B530" s="38" t="n">
        <v>10</v>
      </c>
      <c r="C530" s="39" t="s">
        <v>395</v>
      </c>
      <c r="D530" s="38" t="s">
        <v>408</v>
      </c>
      <c r="E530" s="39" t="s">
        <v>409</v>
      </c>
      <c r="F530" s="38" t="s">
        <v>50</v>
      </c>
      <c r="G530" s="39" t="s">
        <v>51</v>
      </c>
      <c r="H530" s="40" t="n">
        <f aca="false">INDEX(A_Scoring_Model!$C$5:$C$10,MATCH(F530,A_Scoring_Model!$A$5:$A$10,0))</f>
        <v>0.3</v>
      </c>
      <c r="I530" s="39" t="s">
        <v>431</v>
      </c>
      <c r="J530" s="39" t="s">
        <v>1264</v>
      </c>
      <c r="K530" s="38" t="s">
        <v>433</v>
      </c>
      <c r="L530" s="39" t="s">
        <v>434</v>
      </c>
      <c r="M530" s="38" t="s">
        <v>435</v>
      </c>
      <c r="N530" s="41" t="n">
        <v>0.9</v>
      </c>
      <c r="O530" s="41" t="n">
        <v>0.8</v>
      </c>
      <c r="P530" s="39" t="s">
        <v>436</v>
      </c>
      <c r="Q530" s="39" t="s">
        <v>437</v>
      </c>
      <c r="R530" s="39" t="s">
        <v>414</v>
      </c>
    </row>
    <row r="531" customFormat="false" ht="23.85" hidden="false" customHeight="false" outlineLevel="0" collapsed="false">
      <c r="A531" s="37" t="s">
        <v>1265</v>
      </c>
      <c r="B531" s="38" t="n">
        <v>10</v>
      </c>
      <c r="C531" s="39" t="s">
        <v>395</v>
      </c>
      <c r="D531" s="38" t="s">
        <v>408</v>
      </c>
      <c r="E531" s="39" t="s">
        <v>409</v>
      </c>
      <c r="F531" s="38" t="s">
        <v>50</v>
      </c>
      <c r="G531" s="39" t="s">
        <v>51</v>
      </c>
      <c r="H531" s="40" t="n">
        <f aca="false">INDEX(A_Scoring_Model!$C$5:$C$10,MATCH(F531,A_Scoring_Model!$A$5:$A$10,0))</f>
        <v>0.3</v>
      </c>
      <c r="I531" s="39" t="s">
        <v>431</v>
      </c>
      <c r="J531" s="39" t="s">
        <v>1266</v>
      </c>
      <c r="K531" s="38" t="s">
        <v>433</v>
      </c>
      <c r="L531" s="39" t="s">
        <v>434</v>
      </c>
      <c r="M531" s="38" t="s">
        <v>435</v>
      </c>
      <c r="N531" s="41" t="n">
        <v>0.98</v>
      </c>
      <c r="O531" s="41" t="n">
        <v>0.95</v>
      </c>
      <c r="P531" s="39" t="s">
        <v>436</v>
      </c>
      <c r="Q531" s="39" t="s">
        <v>437</v>
      </c>
      <c r="R531" s="39" t="s">
        <v>414</v>
      </c>
    </row>
    <row r="532" customFormat="false" ht="23.85" hidden="false" customHeight="false" outlineLevel="0" collapsed="false">
      <c r="A532" s="37" t="s">
        <v>1267</v>
      </c>
      <c r="B532" s="38" t="n">
        <v>10</v>
      </c>
      <c r="C532" s="39" t="s">
        <v>395</v>
      </c>
      <c r="D532" s="38" t="s">
        <v>408</v>
      </c>
      <c r="E532" s="39" t="s">
        <v>409</v>
      </c>
      <c r="F532" s="38" t="s">
        <v>50</v>
      </c>
      <c r="G532" s="39" t="s">
        <v>51</v>
      </c>
      <c r="H532" s="40" t="n">
        <f aca="false">INDEX(A_Scoring_Model!$C$5:$C$10,MATCH(F532,A_Scoring_Model!$A$5:$A$10,0))</f>
        <v>0.3</v>
      </c>
      <c r="I532" s="39" t="s">
        <v>431</v>
      </c>
      <c r="J532" s="39" t="s">
        <v>1268</v>
      </c>
      <c r="K532" s="38" t="s">
        <v>433</v>
      </c>
      <c r="L532" s="39" t="s">
        <v>434</v>
      </c>
      <c r="M532" s="38" t="s">
        <v>435</v>
      </c>
      <c r="N532" s="41" t="n">
        <v>1</v>
      </c>
      <c r="O532" s="41" t="n">
        <v>1</v>
      </c>
      <c r="P532" s="39" t="s">
        <v>436</v>
      </c>
      <c r="Q532" s="39" t="s">
        <v>437</v>
      </c>
      <c r="R532" s="39" t="s">
        <v>414</v>
      </c>
    </row>
    <row r="533" customFormat="false" ht="23.85" hidden="false" customHeight="false" outlineLevel="0" collapsed="false">
      <c r="A533" s="37" t="s">
        <v>1269</v>
      </c>
      <c r="B533" s="38" t="n">
        <v>10</v>
      </c>
      <c r="C533" s="39" t="s">
        <v>395</v>
      </c>
      <c r="D533" s="38" t="s">
        <v>408</v>
      </c>
      <c r="E533" s="39" t="s">
        <v>409</v>
      </c>
      <c r="F533" s="38" t="s">
        <v>53</v>
      </c>
      <c r="G533" s="39" t="s">
        <v>54</v>
      </c>
      <c r="H533" s="40" t="n">
        <f aca="false">INDEX(A_Scoring_Model!$C$5:$C$10,MATCH(F533,A_Scoring_Model!$A$5:$A$10,0))</f>
        <v>0.2</v>
      </c>
      <c r="I533" s="39" t="s">
        <v>431</v>
      </c>
      <c r="J533" s="39" t="s">
        <v>1270</v>
      </c>
      <c r="K533" s="38" t="s">
        <v>451</v>
      </c>
      <c r="L533" s="39" t="s">
        <v>434</v>
      </c>
      <c r="M533" s="38" t="s">
        <v>435</v>
      </c>
      <c r="N533" s="44" t="n">
        <v>7</v>
      </c>
      <c r="O533" s="44"/>
      <c r="P533" s="39" t="s">
        <v>446</v>
      </c>
      <c r="Q533" s="39" t="s">
        <v>447</v>
      </c>
      <c r="R533" s="39"/>
    </row>
    <row r="534" customFormat="false" ht="23.85" hidden="false" customHeight="false" outlineLevel="0" collapsed="false">
      <c r="A534" s="37" t="s">
        <v>1271</v>
      </c>
      <c r="B534" s="38" t="n">
        <v>10</v>
      </c>
      <c r="C534" s="39" t="s">
        <v>395</v>
      </c>
      <c r="D534" s="38" t="s">
        <v>408</v>
      </c>
      <c r="E534" s="39" t="s">
        <v>409</v>
      </c>
      <c r="F534" s="38" t="s">
        <v>53</v>
      </c>
      <c r="G534" s="39" t="s">
        <v>54</v>
      </c>
      <c r="H534" s="40" t="n">
        <f aca="false">INDEX(A_Scoring_Model!$C$5:$C$10,MATCH(F534,A_Scoring_Model!$A$5:$A$10,0))</f>
        <v>0.2</v>
      </c>
      <c r="I534" s="39" t="s">
        <v>449</v>
      </c>
      <c r="J534" s="39" t="s">
        <v>450</v>
      </c>
      <c r="K534" s="38" t="s">
        <v>451</v>
      </c>
      <c r="L534" s="39" t="s">
        <v>434</v>
      </c>
      <c r="M534" s="38" t="s">
        <v>435</v>
      </c>
      <c r="N534" s="44" t="n">
        <v>3</v>
      </c>
      <c r="O534" s="44" t="n">
        <v>2</v>
      </c>
      <c r="P534" s="39" t="s">
        <v>436</v>
      </c>
      <c r="Q534" s="39" t="s">
        <v>447</v>
      </c>
      <c r="R534" s="39"/>
    </row>
    <row r="535" customFormat="false" ht="23.85" hidden="false" customHeight="false" outlineLevel="0" collapsed="false">
      <c r="A535" s="37" t="s">
        <v>1272</v>
      </c>
      <c r="B535" s="38" t="n">
        <v>10</v>
      </c>
      <c r="C535" s="39" t="s">
        <v>395</v>
      </c>
      <c r="D535" s="38" t="s">
        <v>408</v>
      </c>
      <c r="E535" s="39" t="s">
        <v>409</v>
      </c>
      <c r="F535" s="38" t="s">
        <v>53</v>
      </c>
      <c r="G535" s="39" t="s">
        <v>54</v>
      </c>
      <c r="H535" s="40" t="n">
        <f aca="false">INDEX(A_Scoring_Model!$C$5:$C$10,MATCH(F535,A_Scoring_Model!$A$5:$A$10,0))</f>
        <v>0.2</v>
      </c>
      <c r="I535" s="39" t="s">
        <v>449</v>
      </c>
      <c r="J535" s="39" t="s">
        <v>453</v>
      </c>
      <c r="K535" s="38" t="s">
        <v>445</v>
      </c>
      <c r="L535" s="39" t="s">
        <v>434</v>
      </c>
      <c r="M535" s="38" t="s">
        <v>435</v>
      </c>
      <c r="N535" s="43" t="n">
        <v>1</v>
      </c>
      <c r="O535" s="43"/>
      <c r="P535" s="39" t="s">
        <v>446</v>
      </c>
      <c r="Q535" s="39" t="s">
        <v>447</v>
      </c>
      <c r="R535" s="39"/>
    </row>
    <row r="536" customFormat="false" ht="23.85" hidden="false" customHeight="false" outlineLevel="0" collapsed="false">
      <c r="A536" s="37" t="s">
        <v>1273</v>
      </c>
      <c r="B536" s="38" t="n">
        <v>10</v>
      </c>
      <c r="C536" s="39" t="s">
        <v>395</v>
      </c>
      <c r="D536" s="38" t="s">
        <v>408</v>
      </c>
      <c r="E536" s="39" t="s">
        <v>409</v>
      </c>
      <c r="F536" s="38" t="s">
        <v>56</v>
      </c>
      <c r="G536" s="39" t="s">
        <v>57</v>
      </c>
      <c r="H536" s="40" t="n">
        <f aca="false">INDEX(A_Scoring_Model!$C$5:$C$10,MATCH(F536,A_Scoring_Model!$A$5:$A$10,0))</f>
        <v>0.15</v>
      </c>
      <c r="I536" s="39" t="s">
        <v>431</v>
      </c>
      <c r="J536" s="39" t="s">
        <v>1274</v>
      </c>
      <c r="K536" s="38" t="s">
        <v>588</v>
      </c>
      <c r="L536" s="39" t="s">
        <v>461</v>
      </c>
      <c r="M536" s="38" t="s">
        <v>462</v>
      </c>
      <c r="N536" s="44" t="n">
        <v>24</v>
      </c>
      <c r="O536" s="44"/>
      <c r="P536" s="39" t="s">
        <v>446</v>
      </c>
      <c r="Q536" s="39" t="s">
        <v>457</v>
      </c>
      <c r="R536" s="39"/>
    </row>
    <row r="537" customFormat="false" ht="23.85" hidden="false" customHeight="false" outlineLevel="0" collapsed="false">
      <c r="A537" s="37" t="s">
        <v>1275</v>
      </c>
      <c r="B537" s="38" t="n">
        <v>10</v>
      </c>
      <c r="C537" s="39" t="s">
        <v>395</v>
      </c>
      <c r="D537" s="38" t="s">
        <v>408</v>
      </c>
      <c r="E537" s="39" t="s">
        <v>409</v>
      </c>
      <c r="F537" s="38" t="s">
        <v>56</v>
      </c>
      <c r="G537" s="39" t="s">
        <v>57</v>
      </c>
      <c r="H537" s="40" t="n">
        <f aca="false">INDEX(A_Scoring_Model!$C$5:$C$10,MATCH(F537,A_Scoring_Model!$A$5:$A$10,0))</f>
        <v>0.15</v>
      </c>
      <c r="I537" s="39" t="s">
        <v>431</v>
      </c>
      <c r="J537" s="39" t="s">
        <v>1276</v>
      </c>
      <c r="K537" s="38" t="s">
        <v>451</v>
      </c>
      <c r="L537" s="39" t="s">
        <v>434</v>
      </c>
      <c r="M537" s="38" t="s">
        <v>435</v>
      </c>
      <c r="N537" s="44" t="n">
        <v>20</v>
      </c>
      <c r="O537" s="44"/>
      <c r="P537" s="39" t="s">
        <v>446</v>
      </c>
      <c r="Q537" s="39" t="s">
        <v>457</v>
      </c>
      <c r="R537" s="39"/>
    </row>
    <row r="538" customFormat="false" ht="23.85" hidden="false" customHeight="false" outlineLevel="0" collapsed="false">
      <c r="A538" s="37" t="s">
        <v>1277</v>
      </c>
      <c r="B538" s="38" t="n">
        <v>10</v>
      </c>
      <c r="C538" s="39" t="s">
        <v>395</v>
      </c>
      <c r="D538" s="38" t="s">
        <v>408</v>
      </c>
      <c r="E538" s="39" t="s">
        <v>409</v>
      </c>
      <c r="F538" s="38" t="s">
        <v>56</v>
      </c>
      <c r="G538" s="39" t="s">
        <v>57</v>
      </c>
      <c r="H538" s="40" t="n">
        <f aca="false">INDEX(A_Scoring_Model!$C$5:$C$10,MATCH(F538,A_Scoring_Model!$A$5:$A$10,0))</f>
        <v>0.15</v>
      </c>
      <c r="I538" s="39" t="s">
        <v>449</v>
      </c>
      <c r="J538" s="39" t="s">
        <v>464</v>
      </c>
      <c r="K538" s="38" t="s">
        <v>433</v>
      </c>
      <c r="L538" s="39" t="s">
        <v>461</v>
      </c>
      <c r="M538" s="38" t="s">
        <v>462</v>
      </c>
      <c r="N538" s="41" t="n">
        <v>0.2</v>
      </c>
      <c r="O538" s="41" t="n">
        <v>0.4</v>
      </c>
      <c r="P538" s="39" t="s">
        <v>436</v>
      </c>
      <c r="Q538" s="39" t="s">
        <v>457</v>
      </c>
      <c r="R538" s="39"/>
    </row>
    <row r="539" customFormat="false" ht="23.85" hidden="false" customHeight="false" outlineLevel="0" collapsed="false">
      <c r="A539" s="37" t="s">
        <v>1278</v>
      </c>
      <c r="B539" s="38" t="n">
        <v>10</v>
      </c>
      <c r="C539" s="39" t="s">
        <v>395</v>
      </c>
      <c r="D539" s="38" t="s">
        <v>408</v>
      </c>
      <c r="E539" s="39" t="s">
        <v>409</v>
      </c>
      <c r="F539" s="38" t="s">
        <v>59</v>
      </c>
      <c r="G539" s="39" t="s">
        <v>60</v>
      </c>
      <c r="H539" s="40" t="n">
        <f aca="false">INDEX(A_Scoring_Model!$C$5:$C$10,MATCH(F539,A_Scoring_Model!$A$5:$A$10,0))</f>
        <v>0.1</v>
      </c>
      <c r="I539" s="39" t="s">
        <v>431</v>
      </c>
      <c r="J539" s="39" t="s">
        <v>1279</v>
      </c>
      <c r="K539" s="38" t="s">
        <v>503</v>
      </c>
      <c r="L539" s="39" t="s">
        <v>461</v>
      </c>
      <c r="M539" s="38" t="s">
        <v>462</v>
      </c>
      <c r="N539" s="44" t="n">
        <v>15</v>
      </c>
      <c r="O539" s="44"/>
      <c r="P539" s="39" t="s">
        <v>446</v>
      </c>
      <c r="Q539" s="39" t="s">
        <v>467</v>
      </c>
      <c r="R539" s="39"/>
    </row>
    <row r="540" customFormat="false" ht="23.85" hidden="false" customHeight="false" outlineLevel="0" collapsed="false">
      <c r="A540" s="37" t="s">
        <v>1280</v>
      </c>
      <c r="B540" s="38" t="n">
        <v>10</v>
      </c>
      <c r="C540" s="39" t="s">
        <v>395</v>
      </c>
      <c r="D540" s="38" t="s">
        <v>408</v>
      </c>
      <c r="E540" s="39" t="s">
        <v>409</v>
      </c>
      <c r="F540" s="38" t="s">
        <v>59</v>
      </c>
      <c r="G540" s="39" t="s">
        <v>60</v>
      </c>
      <c r="H540" s="40" t="n">
        <f aca="false">INDEX(A_Scoring_Model!$C$5:$C$10,MATCH(F540,A_Scoring_Model!$A$5:$A$10,0))</f>
        <v>0.1</v>
      </c>
      <c r="I540" s="39" t="s">
        <v>449</v>
      </c>
      <c r="J540" s="39" t="s">
        <v>471</v>
      </c>
      <c r="K540" s="38" t="s">
        <v>433</v>
      </c>
      <c r="L540" s="39" t="s">
        <v>434</v>
      </c>
      <c r="M540" s="38" t="s">
        <v>435</v>
      </c>
      <c r="N540" s="41" t="n">
        <v>0.995</v>
      </c>
      <c r="O540" s="41" t="n">
        <v>0.99</v>
      </c>
      <c r="P540" s="39" t="s">
        <v>436</v>
      </c>
      <c r="Q540" s="39" t="s">
        <v>467</v>
      </c>
      <c r="R540" s="39"/>
    </row>
    <row r="541" customFormat="false" ht="23.85" hidden="false" customHeight="false" outlineLevel="0" collapsed="false">
      <c r="A541" s="37" t="s">
        <v>1281</v>
      </c>
      <c r="B541" s="38" t="n">
        <v>10</v>
      </c>
      <c r="C541" s="39" t="s">
        <v>395</v>
      </c>
      <c r="D541" s="38" t="s">
        <v>408</v>
      </c>
      <c r="E541" s="39" t="s">
        <v>409</v>
      </c>
      <c r="F541" s="38" t="s">
        <v>62</v>
      </c>
      <c r="G541" s="39" t="s">
        <v>63</v>
      </c>
      <c r="H541" s="40" t="n">
        <f aca="false">INDEX(A_Scoring_Model!$C$5:$C$10,MATCH(F541,A_Scoring_Model!$A$5:$A$10,0))</f>
        <v>0.15</v>
      </c>
      <c r="I541" s="39" t="s">
        <v>431</v>
      </c>
      <c r="J541" s="39" t="s">
        <v>1282</v>
      </c>
      <c r="K541" s="38" t="s">
        <v>433</v>
      </c>
      <c r="L541" s="39" t="s">
        <v>434</v>
      </c>
      <c r="M541" s="38" t="s">
        <v>435</v>
      </c>
      <c r="N541" s="41" t="n">
        <v>0.4</v>
      </c>
      <c r="O541" s="41"/>
      <c r="P541" s="39" t="s">
        <v>446</v>
      </c>
      <c r="Q541" s="39" t="s">
        <v>474</v>
      </c>
      <c r="R541" s="39"/>
    </row>
    <row r="542" customFormat="false" ht="23.85" hidden="false" customHeight="false" outlineLevel="0" collapsed="false">
      <c r="A542" s="37" t="s">
        <v>1283</v>
      </c>
      <c r="B542" s="38" t="n">
        <v>10</v>
      </c>
      <c r="C542" s="39" t="s">
        <v>395</v>
      </c>
      <c r="D542" s="38" t="s">
        <v>408</v>
      </c>
      <c r="E542" s="39" t="s">
        <v>409</v>
      </c>
      <c r="F542" s="38" t="s">
        <v>65</v>
      </c>
      <c r="G542" s="39" t="s">
        <v>66</v>
      </c>
      <c r="H542" s="40" t="n">
        <f aca="false">INDEX(A_Scoring_Model!$C$5:$C$10,MATCH(F542,A_Scoring_Model!$A$5:$A$10,0))</f>
        <v>0.1</v>
      </c>
      <c r="I542" s="39" t="s">
        <v>449</v>
      </c>
      <c r="J542" s="39" t="s">
        <v>478</v>
      </c>
      <c r="K542" s="38" t="s">
        <v>433</v>
      </c>
      <c r="L542" s="39" t="s">
        <v>434</v>
      </c>
      <c r="M542" s="38" t="s">
        <v>435</v>
      </c>
      <c r="N542" s="41" t="n">
        <v>0.8</v>
      </c>
      <c r="O542" s="41" t="n">
        <v>0.6</v>
      </c>
      <c r="P542" s="39" t="s">
        <v>436</v>
      </c>
      <c r="Q542" s="39" t="s">
        <v>479</v>
      </c>
      <c r="R542" s="39"/>
    </row>
    <row r="543" customFormat="false" ht="23.85" hidden="false" customHeight="false" outlineLevel="0" collapsed="false">
      <c r="A543" s="37" t="s">
        <v>1284</v>
      </c>
      <c r="B543" s="38" t="n">
        <v>10</v>
      </c>
      <c r="C543" s="39" t="s">
        <v>395</v>
      </c>
      <c r="D543" s="38" t="s">
        <v>408</v>
      </c>
      <c r="E543" s="39" t="s">
        <v>409</v>
      </c>
      <c r="F543" s="38" t="s">
        <v>65</v>
      </c>
      <c r="G543" s="39" t="s">
        <v>66</v>
      </c>
      <c r="H543" s="40" t="n">
        <f aca="false">INDEX(A_Scoring_Model!$C$5:$C$10,MATCH(F543,A_Scoring_Model!$A$5:$A$10,0))</f>
        <v>0.1</v>
      </c>
      <c r="I543" s="39" t="s">
        <v>449</v>
      </c>
      <c r="J543" s="39" t="s">
        <v>481</v>
      </c>
      <c r="K543" s="38" t="s">
        <v>451</v>
      </c>
      <c r="L543" s="39" t="s">
        <v>461</v>
      </c>
      <c r="M543" s="38" t="s">
        <v>462</v>
      </c>
      <c r="N543" s="44" t="n">
        <v>0</v>
      </c>
      <c r="O543" s="44"/>
      <c r="P543" s="39" t="s">
        <v>446</v>
      </c>
      <c r="Q543" s="39" t="s">
        <v>479</v>
      </c>
      <c r="R543" s="39"/>
    </row>
    <row r="544" customFormat="false" ht="23.85" hidden="false" customHeight="false" outlineLevel="0" collapsed="false">
      <c r="A544" s="37" t="s">
        <v>1285</v>
      </c>
      <c r="B544" s="38" t="n">
        <v>10</v>
      </c>
      <c r="C544" s="39" t="s">
        <v>395</v>
      </c>
      <c r="D544" s="38" t="s">
        <v>408</v>
      </c>
      <c r="E544" s="39" t="s">
        <v>409</v>
      </c>
      <c r="F544" s="38" t="s">
        <v>65</v>
      </c>
      <c r="G544" s="39" t="s">
        <v>66</v>
      </c>
      <c r="H544" s="40" t="n">
        <f aca="false">INDEX(A_Scoring_Model!$C$5:$C$10,MATCH(F544,A_Scoring_Model!$A$5:$A$10,0))</f>
        <v>0.1</v>
      </c>
      <c r="I544" s="39" t="s">
        <v>449</v>
      </c>
      <c r="J544" s="39" t="s">
        <v>483</v>
      </c>
      <c r="K544" s="38" t="s">
        <v>451</v>
      </c>
      <c r="L544" s="39" t="s">
        <v>461</v>
      </c>
      <c r="M544" s="38" t="s">
        <v>462</v>
      </c>
      <c r="N544" s="44" t="n">
        <v>0</v>
      </c>
      <c r="O544" s="44"/>
      <c r="P544" s="39" t="s">
        <v>446</v>
      </c>
      <c r="Q544" s="39" t="s">
        <v>479</v>
      </c>
      <c r="R544" s="39"/>
    </row>
    <row r="545" customFormat="false" ht="23.85" hidden="false" customHeight="false" outlineLevel="0" collapsed="false">
      <c r="A545" s="37" t="s">
        <v>1286</v>
      </c>
      <c r="B545" s="38" t="n">
        <v>10</v>
      </c>
      <c r="C545" s="39" t="s">
        <v>395</v>
      </c>
      <c r="D545" s="38" t="s">
        <v>408</v>
      </c>
      <c r="E545" s="39" t="s">
        <v>409</v>
      </c>
      <c r="F545" s="38" t="s">
        <v>65</v>
      </c>
      <c r="G545" s="39" t="s">
        <v>66</v>
      </c>
      <c r="H545" s="40" t="n">
        <f aca="false">INDEX(A_Scoring_Model!$C$5:$C$10,MATCH(F545,A_Scoring_Model!$A$5:$A$10,0))</f>
        <v>0.1</v>
      </c>
      <c r="I545" s="39" t="s">
        <v>449</v>
      </c>
      <c r="J545" s="39" t="s">
        <v>485</v>
      </c>
      <c r="K545" s="38" t="s">
        <v>445</v>
      </c>
      <c r="L545" s="39" t="s">
        <v>434</v>
      </c>
      <c r="M545" s="38" t="s">
        <v>435</v>
      </c>
      <c r="N545" s="43" t="n">
        <v>1</v>
      </c>
      <c r="O545" s="43"/>
      <c r="P545" s="39" t="s">
        <v>446</v>
      </c>
      <c r="Q545" s="39" t="s">
        <v>479</v>
      </c>
      <c r="R545" s="39"/>
    </row>
    <row r="546" customFormat="false" ht="23.85" hidden="false" customHeight="false" outlineLevel="0" collapsed="false">
      <c r="A546" s="37" t="s">
        <v>1287</v>
      </c>
      <c r="B546" s="38" t="n">
        <v>10</v>
      </c>
      <c r="C546" s="39" t="s">
        <v>395</v>
      </c>
      <c r="D546" s="38" t="s">
        <v>408</v>
      </c>
      <c r="E546" s="39" t="s">
        <v>409</v>
      </c>
      <c r="F546" s="38" t="s">
        <v>65</v>
      </c>
      <c r="G546" s="39" t="s">
        <v>66</v>
      </c>
      <c r="H546" s="40" t="n">
        <f aca="false">INDEX(A_Scoring_Model!$C$5:$C$10,MATCH(F546,A_Scoring_Model!$A$5:$A$10,0))</f>
        <v>0.1</v>
      </c>
      <c r="I546" s="39" t="s">
        <v>449</v>
      </c>
      <c r="J546" s="39" t="s">
        <v>487</v>
      </c>
      <c r="K546" s="38" t="s">
        <v>445</v>
      </c>
      <c r="L546" s="39" t="s">
        <v>434</v>
      </c>
      <c r="M546" s="38" t="s">
        <v>435</v>
      </c>
      <c r="N546" s="43" t="n">
        <v>1</v>
      </c>
      <c r="O546" s="43"/>
      <c r="P546" s="39" t="s">
        <v>446</v>
      </c>
      <c r="Q546" s="39" t="s">
        <v>479</v>
      </c>
      <c r="R546" s="39"/>
    </row>
    <row r="548" customFormat="false" ht="15" hidden="false" customHeight="false" outlineLevel="0" collapsed="false">
      <c r="A548" s="2" t="s">
        <v>1288</v>
      </c>
    </row>
  </sheetData>
  <autoFilter ref="A4:R5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8" topLeftCell="D19" activePane="bottomRight" state="frozen"/>
      <selection pane="topLeft" activeCell="A1" activeCellId="0" sqref="A1"/>
      <selection pane="topRight" activeCell="D1" activeCellId="0" sqref="D1"/>
      <selection pane="bottomLeft" activeCell="A19" activeCellId="0" sqref="A1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13" min="5" style="0" width="13"/>
  </cols>
  <sheetData>
    <row r="1" customFormat="false" ht="19.7" hidden="false" customHeight="false" outlineLevel="0" collapsed="false">
      <c r="A1" s="1" t="s">
        <v>1289</v>
      </c>
    </row>
    <row r="2" customFormat="false" ht="15" hidden="false" customHeight="false" outlineLevel="0" collapsed="false">
      <c r="A2" s="2" t="s">
        <v>1290</v>
      </c>
    </row>
    <row r="4" customFormat="false" ht="23.85" hidden="false" customHeight="false" outlineLevel="0" collapsed="false">
      <c r="A4" s="12" t="s">
        <v>1291</v>
      </c>
      <c r="B4" s="12" t="s">
        <v>1292</v>
      </c>
      <c r="C4" s="12" t="s">
        <v>1293</v>
      </c>
      <c r="D4" s="12" t="s">
        <v>1294</v>
      </c>
    </row>
    <row r="5" customFormat="false" ht="23.85" hidden="false" customHeight="false" outlineLevel="0" collapsed="false">
      <c r="A5" s="13" t="s">
        <v>1295</v>
      </c>
      <c r="B5" s="14" t="s">
        <v>1296</v>
      </c>
      <c r="C5" s="16" t="s">
        <v>1297</v>
      </c>
      <c r="D5" s="13" t="n">
        <f aca="false">COUNTIF($D$19:$D$49,"●")</f>
        <v>23</v>
      </c>
    </row>
    <row r="6" customFormat="false" ht="15" hidden="false" customHeight="false" outlineLevel="0" collapsed="false">
      <c r="A6" s="13" t="s">
        <v>1298</v>
      </c>
      <c r="B6" s="14" t="s">
        <v>1299</v>
      </c>
      <c r="C6" s="16" t="s">
        <v>1300</v>
      </c>
      <c r="D6" s="13" t="n">
        <f aca="false">COUNTIF($E$19:$E$49,"●")</f>
        <v>7</v>
      </c>
    </row>
    <row r="7" customFormat="false" ht="15" hidden="false" customHeight="false" outlineLevel="0" collapsed="false">
      <c r="A7" s="13" t="s">
        <v>1301</v>
      </c>
      <c r="B7" s="14" t="s">
        <v>1302</v>
      </c>
      <c r="C7" s="16" t="s">
        <v>1303</v>
      </c>
      <c r="D7" s="13" t="n">
        <f aca="false">COUNTIF($F$19:$F$49,"●")</f>
        <v>3</v>
      </c>
    </row>
    <row r="8" customFormat="false" ht="15" hidden="false" customHeight="false" outlineLevel="0" collapsed="false">
      <c r="A8" s="13" t="s">
        <v>1304</v>
      </c>
      <c r="B8" s="14" t="s">
        <v>1305</v>
      </c>
      <c r="C8" s="16" t="s">
        <v>1306</v>
      </c>
      <c r="D8" s="13" t="n">
        <f aca="false">COUNTIF($G$19:$G$49,"●")</f>
        <v>8</v>
      </c>
    </row>
    <row r="9" customFormat="false" ht="15" hidden="false" customHeight="false" outlineLevel="0" collapsed="false">
      <c r="A9" s="13" t="s">
        <v>1307</v>
      </c>
      <c r="B9" s="14" t="s">
        <v>1308</v>
      </c>
      <c r="C9" s="16" t="s">
        <v>1309</v>
      </c>
      <c r="D9" s="13" t="n">
        <f aca="false">COUNTIF($H$19:$H$49,"●")</f>
        <v>5</v>
      </c>
    </row>
    <row r="10" customFormat="false" ht="15" hidden="false" customHeight="false" outlineLevel="0" collapsed="false">
      <c r="A10" s="13" t="s">
        <v>1310</v>
      </c>
      <c r="B10" s="14" t="s">
        <v>1311</v>
      </c>
      <c r="C10" s="16" t="s">
        <v>1312</v>
      </c>
      <c r="D10" s="13" t="n">
        <f aca="false">COUNTIF($I$19:$I$49,"●")</f>
        <v>3</v>
      </c>
    </row>
    <row r="11" customFormat="false" ht="15" hidden="false" customHeight="false" outlineLevel="0" collapsed="false">
      <c r="A11" s="13" t="s">
        <v>1313</v>
      </c>
      <c r="B11" s="14" t="s">
        <v>1314</v>
      </c>
      <c r="C11" s="16" t="s">
        <v>1315</v>
      </c>
      <c r="D11" s="13" t="n">
        <f aca="false">COUNTIF($J$19:$J$49,"●")</f>
        <v>7</v>
      </c>
    </row>
    <row r="12" customFormat="false" ht="15" hidden="false" customHeight="false" outlineLevel="0" collapsed="false">
      <c r="A12" s="13" t="s">
        <v>1316</v>
      </c>
      <c r="B12" s="14" t="s">
        <v>1317</v>
      </c>
      <c r="C12" s="16" t="s">
        <v>1318</v>
      </c>
      <c r="D12" s="13" t="n">
        <f aca="false">COUNTIF($K$19:$K$49,"●")</f>
        <v>5</v>
      </c>
    </row>
    <row r="13" customFormat="false" ht="15" hidden="false" customHeight="false" outlineLevel="0" collapsed="false">
      <c r="A13" s="13" t="s">
        <v>1319</v>
      </c>
      <c r="B13" s="14" t="s">
        <v>1320</v>
      </c>
      <c r="C13" s="16" t="s">
        <v>1321</v>
      </c>
      <c r="D13" s="13" t="n">
        <f aca="false">COUNTIF($L$19:$L$49,"●")</f>
        <v>10</v>
      </c>
    </row>
    <row r="14" customFormat="false" ht="15" hidden="false" customHeight="false" outlineLevel="0" collapsed="false">
      <c r="A14" s="13" t="s">
        <v>1322</v>
      </c>
      <c r="B14" s="14" t="s">
        <v>1323</v>
      </c>
      <c r="C14" s="16" t="s">
        <v>1324</v>
      </c>
      <c r="D14" s="13" t="n">
        <f aca="false">COUNTIF($M$19:$M$49,"●")</f>
        <v>31</v>
      </c>
    </row>
    <row r="16" customFormat="false" ht="15" hidden="false" customHeight="false" outlineLevel="0" collapsed="false">
      <c r="A16" s="18" t="s">
        <v>1325</v>
      </c>
    </row>
    <row r="18" customFormat="false" ht="15" hidden="false" customHeight="false" outlineLevel="0" collapsed="false">
      <c r="A18" s="12" t="s">
        <v>179</v>
      </c>
      <c r="B18" s="12" t="s">
        <v>180</v>
      </c>
      <c r="C18" s="12" t="s">
        <v>177</v>
      </c>
      <c r="D18" s="12" t="s">
        <v>1295</v>
      </c>
      <c r="E18" s="12" t="s">
        <v>1298</v>
      </c>
      <c r="F18" s="12" t="s">
        <v>1301</v>
      </c>
      <c r="G18" s="12" t="s">
        <v>1304</v>
      </c>
      <c r="H18" s="12" t="s">
        <v>1307</v>
      </c>
      <c r="I18" s="12" t="s">
        <v>1310</v>
      </c>
      <c r="J18" s="12" t="s">
        <v>1313</v>
      </c>
      <c r="K18" s="12" t="s">
        <v>1316</v>
      </c>
      <c r="L18" s="12" t="s">
        <v>1319</v>
      </c>
      <c r="M18" s="12" t="s">
        <v>1322</v>
      </c>
    </row>
    <row r="19" customFormat="false" ht="15" hidden="false" customHeight="false" outlineLevel="0" collapsed="false">
      <c r="A19" s="13" t="s">
        <v>191</v>
      </c>
      <c r="B19" s="16" t="s">
        <v>192</v>
      </c>
      <c r="C19" s="21" t="n">
        <v>1</v>
      </c>
      <c r="D19" s="21" t="s">
        <v>1326</v>
      </c>
      <c r="E19" s="21"/>
      <c r="F19" s="21" t="s">
        <v>1326</v>
      </c>
      <c r="G19" s="21"/>
      <c r="H19" s="21"/>
      <c r="I19" s="21"/>
      <c r="J19" s="21"/>
      <c r="K19" s="21"/>
      <c r="L19" s="21"/>
      <c r="M19" s="21" t="s">
        <v>1326</v>
      </c>
    </row>
    <row r="20" customFormat="false" ht="15" hidden="false" customHeight="false" outlineLevel="0" collapsed="false">
      <c r="A20" s="13" t="s">
        <v>199</v>
      </c>
      <c r="B20" s="16" t="s">
        <v>200</v>
      </c>
      <c r="C20" s="21" t="n">
        <v>1</v>
      </c>
      <c r="D20" s="21" t="s">
        <v>1326</v>
      </c>
      <c r="E20" s="21" t="s">
        <v>1326</v>
      </c>
      <c r="F20" s="21"/>
      <c r="G20" s="21" t="s">
        <v>1326</v>
      </c>
      <c r="H20" s="21"/>
      <c r="I20" s="21"/>
      <c r="J20" s="21"/>
      <c r="K20" s="21"/>
      <c r="L20" s="21"/>
      <c r="M20" s="21" t="s">
        <v>1326</v>
      </c>
    </row>
    <row r="21" customFormat="false" ht="15" hidden="false" customHeight="false" outlineLevel="0" collapsed="false">
      <c r="A21" s="13" t="s">
        <v>206</v>
      </c>
      <c r="B21" s="16" t="s">
        <v>207</v>
      </c>
      <c r="C21" s="21" t="n">
        <v>1</v>
      </c>
      <c r="D21" s="21" t="s">
        <v>1326</v>
      </c>
      <c r="E21" s="21" t="s">
        <v>1326</v>
      </c>
      <c r="F21" s="21"/>
      <c r="G21" s="21"/>
      <c r="H21" s="21" t="s">
        <v>1326</v>
      </c>
      <c r="I21" s="21"/>
      <c r="J21" s="21"/>
      <c r="K21" s="21"/>
      <c r="L21" s="21"/>
      <c r="M21" s="21" t="s">
        <v>1326</v>
      </c>
    </row>
    <row r="22" customFormat="false" ht="15" hidden="false" customHeight="false" outlineLevel="0" collapsed="false">
      <c r="A22" s="13" t="s">
        <v>214</v>
      </c>
      <c r="B22" s="16" t="s">
        <v>215</v>
      </c>
      <c r="C22" s="21" t="n">
        <v>2</v>
      </c>
      <c r="D22" s="21" t="s">
        <v>1326</v>
      </c>
      <c r="E22" s="21"/>
      <c r="F22" s="21" t="s">
        <v>1326</v>
      </c>
      <c r="G22" s="21"/>
      <c r="H22" s="21"/>
      <c r="I22" s="21"/>
      <c r="J22" s="21"/>
      <c r="K22" s="21" t="s">
        <v>1326</v>
      </c>
      <c r="L22" s="21"/>
      <c r="M22" s="21" t="s">
        <v>1326</v>
      </c>
    </row>
    <row r="23" customFormat="false" ht="15" hidden="false" customHeight="false" outlineLevel="0" collapsed="false">
      <c r="A23" s="13" t="s">
        <v>222</v>
      </c>
      <c r="B23" s="16" t="s">
        <v>223</v>
      </c>
      <c r="C23" s="21" t="n">
        <v>2</v>
      </c>
      <c r="D23" s="21"/>
      <c r="E23" s="21"/>
      <c r="F23" s="21"/>
      <c r="G23" s="21"/>
      <c r="H23" s="21"/>
      <c r="I23" s="21"/>
      <c r="J23" s="21"/>
      <c r="K23" s="21"/>
      <c r="L23" s="21" t="s">
        <v>1326</v>
      </c>
      <c r="M23" s="21" t="s">
        <v>1326</v>
      </c>
    </row>
    <row r="24" customFormat="false" ht="15" hidden="false" customHeight="false" outlineLevel="0" collapsed="false">
      <c r="A24" s="13" t="s">
        <v>230</v>
      </c>
      <c r="B24" s="16" t="s">
        <v>231</v>
      </c>
      <c r="C24" s="21" t="n">
        <v>2</v>
      </c>
      <c r="D24" s="21" t="s">
        <v>1326</v>
      </c>
      <c r="E24" s="21"/>
      <c r="F24" s="21"/>
      <c r="G24" s="21" t="s">
        <v>1326</v>
      </c>
      <c r="H24" s="21" t="s">
        <v>1326</v>
      </c>
      <c r="I24" s="21"/>
      <c r="J24" s="21"/>
      <c r="K24" s="21" t="s">
        <v>1326</v>
      </c>
      <c r="L24" s="21"/>
      <c r="M24" s="21" t="s">
        <v>1326</v>
      </c>
    </row>
    <row r="25" customFormat="false" ht="15" hidden="false" customHeight="false" outlineLevel="0" collapsed="false">
      <c r="A25" s="13" t="s">
        <v>239</v>
      </c>
      <c r="B25" s="16" t="s">
        <v>240</v>
      </c>
      <c r="C25" s="21" t="n">
        <v>3</v>
      </c>
      <c r="D25" s="21" t="s">
        <v>1326</v>
      </c>
      <c r="E25" s="21" t="s">
        <v>1326</v>
      </c>
      <c r="F25" s="21"/>
      <c r="G25" s="21"/>
      <c r="H25" s="21"/>
      <c r="I25" s="21"/>
      <c r="J25" s="21"/>
      <c r="K25" s="21"/>
      <c r="L25" s="21"/>
      <c r="M25" s="21" t="s">
        <v>1326</v>
      </c>
    </row>
    <row r="26" customFormat="false" ht="15" hidden="false" customHeight="false" outlineLevel="0" collapsed="false">
      <c r="A26" s="13" t="s">
        <v>246</v>
      </c>
      <c r="B26" s="16" t="s">
        <v>247</v>
      </c>
      <c r="C26" s="21" t="n">
        <v>3</v>
      </c>
      <c r="D26" s="21" t="s">
        <v>1326</v>
      </c>
      <c r="E26" s="21"/>
      <c r="F26" s="21"/>
      <c r="G26" s="21"/>
      <c r="H26" s="21"/>
      <c r="I26" s="21"/>
      <c r="J26" s="21"/>
      <c r="K26" s="21"/>
      <c r="L26" s="21"/>
      <c r="M26" s="21" t="s">
        <v>1326</v>
      </c>
    </row>
    <row r="27" customFormat="false" ht="15" hidden="false" customHeight="false" outlineLevel="0" collapsed="false">
      <c r="A27" s="13" t="s">
        <v>253</v>
      </c>
      <c r="B27" s="16" t="s">
        <v>254</v>
      </c>
      <c r="C27" s="21" t="n">
        <v>3</v>
      </c>
      <c r="D27" s="21" t="s">
        <v>1326</v>
      </c>
      <c r="E27" s="21"/>
      <c r="F27" s="21"/>
      <c r="G27" s="21"/>
      <c r="H27" s="21"/>
      <c r="I27" s="21"/>
      <c r="J27" s="21" t="s">
        <v>1326</v>
      </c>
      <c r="K27" s="21"/>
      <c r="L27" s="21"/>
      <c r="M27" s="21" t="s">
        <v>1326</v>
      </c>
    </row>
    <row r="28" customFormat="false" ht="15" hidden="false" customHeight="false" outlineLevel="0" collapsed="false">
      <c r="A28" s="13" t="s">
        <v>260</v>
      </c>
      <c r="B28" s="16" t="s">
        <v>261</v>
      </c>
      <c r="C28" s="21" t="n">
        <v>3</v>
      </c>
      <c r="D28" s="21" t="s">
        <v>1326</v>
      </c>
      <c r="E28" s="21" t="s">
        <v>1326</v>
      </c>
      <c r="F28" s="21"/>
      <c r="G28" s="21" t="s">
        <v>1326</v>
      </c>
      <c r="H28" s="21"/>
      <c r="I28" s="21"/>
      <c r="J28" s="21" t="s">
        <v>1326</v>
      </c>
      <c r="K28" s="21" t="s">
        <v>1326</v>
      </c>
      <c r="L28" s="21" t="s">
        <v>1326</v>
      </c>
      <c r="M28" s="21" t="s">
        <v>1326</v>
      </c>
    </row>
    <row r="29" customFormat="false" ht="15" hidden="false" customHeight="false" outlineLevel="0" collapsed="false">
      <c r="A29" s="13" t="s">
        <v>268</v>
      </c>
      <c r="B29" s="16" t="s">
        <v>269</v>
      </c>
      <c r="C29" s="21" t="n">
        <v>4</v>
      </c>
      <c r="D29" s="21" t="s">
        <v>1326</v>
      </c>
      <c r="E29" s="21"/>
      <c r="F29" s="21"/>
      <c r="G29" s="21" t="s">
        <v>1326</v>
      </c>
      <c r="H29" s="21"/>
      <c r="I29" s="21"/>
      <c r="J29" s="21"/>
      <c r="K29" s="21"/>
      <c r="L29" s="21"/>
      <c r="M29" s="21" t="s">
        <v>1326</v>
      </c>
    </row>
    <row r="30" customFormat="false" ht="15" hidden="false" customHeight="false" outlineLevel="0" collapsed="false">
      <c r="A30" s="13" t="s">
        <v>276</v>
      </c>
      <c r="B30" s="16" t="s">
        <v>277</v>
      </c>
      <c r="C30" s="21" t="n">
        <v>4</v>
      </c>
      <c r="D30" s="21"/>
      <c r="E30" s="21"/>
      <c r="F30" s="21"/>
      <c r="G30" s="21"/>
      <c r="H30" s="21"/>
      <c r="I30" s="21" t="s">
        <v>1326</v>
      </c>
      <c r="J30" s="21"/>
      <c r="K30" s="21"/>
      <c r="L30" s="21" t="s">
        <v>1326</v>
      </c>
      <c r="M30" s="21" t="s">
        <v>1326</v>
      </c>
    </row>
    <row r="31" customFormat="false" ht="15" hidden="false" customHeight="false" outlineLevel="0" collapsed="false">
      <c r="A31" s="13" t="s">
        <v>284</v>
      </c>
      <c r="B31" s="16" t="s">
        <v>285</v>
      </c>
      <c r="C31" s="21" t="n">
        <v>4</v>
      </c>
      <c r="D31" s="21" t="s">
        <v>1326</v>
      </c>
      <c r="E31" s="21"/>
      <c r="F31" s="21"/>
      <c r="G31" s="21" t="s">
        <v>1326</v>
      </c>
      <c r="H31" s="21"/>
      <c r="I31" s="21"/>
      <c r="J31" s="21"/>
      <c r="K31" s="21"/>
      <c r="L31" s="21"/>
      <c r="M31" s="21" t="s">
        <v>1326</v>
      </c>
    </row>
    <row r="32" customFormat="false" ht="15" hidden="false" customHeight="false" outlineLevel="0" collapsed="false">
      <c r="A32" s="13" t="s">
        <v>292</v>
      </c>
      <c r="B32" s="16" t="s">
        <v>293</v>
      </c>
      <c r="C32" s="21" t="n">
        <v>5</v>
      </c>
      <c r="D32" s="21" t="s">
        <v>1326</v>
      </c>
      <c r="E32" s="21"/>
      <c r="F32" s="21"/>
      <c r="G32" s="21"/>
      <c r="H32" s="21" t="s">
        <v>1326</v>
      </c>
      <c r="I32" s="21"/>
      <c r="J32" s="21"/>
      <c r="K32" s="21"/>
      <c r="L32" s="21"/>
      <c r="M32" s="21" t="s">
        <v>1326</v>
      </c>
    </row>
    <row r="33" customFormat="false" ht="15" hidden="false" customHeight="false" outlineLevel="0" collapsed="false">
      <c r="A33" s="13" t="s">
        <v>299</v>
      </c>
      <c r="B33" s="16" t="s">
        <v>300</v>
      </c>
      <c r="C33" s="21" t="n">
        <v>5</v>
      </c>
      <c r="D33" s="21" t="s">
        <v>1326</v>
      </c>
      <c r="E33" s="21"/>
      <c r="F33" s="21"/>
      <c r="G33" s="21"/>
      <c r="H33" s="21"/>
      <c r="I33" s="21"/>
      <c r="J33" s="21" t="s">
        <v>1326</v>
      </c>
      <c r="K33" s="21"/>
      <c r="L33" s="21"/>
      <c r="M33" s="21" t="s">
        <v>1326</v>
      </c>
    </row>
    <row r="34" customFormat="false" ht="15" hidden="false" customHeight="false" outlineLevel="0" collapsed="false">
      <c r="A34" s="13" t="s">
        <v>305</v>
      </c>
      <c r="B34" s="16" t="s">
        <v>306</v>
      </c>
      <c r="C34" s="21" t="n">
        <v>5</v>
      </c>
      <c r="D34" s="21"/>
      <c r="E34" s="21"/>
      <c r="F34" s="21"/>
      <c r="G34" s="21"/>
      <c r="H34" s="21"/>
      <c r="I34" s="21" t="s">
        <v>1326</v>
      </c>
      <c r="J34" s="21"/>
      <c r="K34" s="21"/>
      <c r="L34" s="21" t="s">
        <v>1326</v>
      </c>
      <c r="M34" s="21" t="s">
        <v>1326</v>
      </c>
    </row>
    <row r="35" customFormat="false" ht="15" hidden="false" customHeight="false" outlineLevel="0" collapsed="false">
      <c r="A35" s="13" t="s">
        <v>313</v>
      </c>
      <c r="B35" s="16" t="s">
        <v>314</v>
      </c>
      <c r="C35" s="21" t="n">
        <v>6</v>
      </c>
      <c r="D35" s="21" t="s">
        <v>1326</v>
      </c>
      <c r="E35" s="21"/>
      <c r="F35" s="21"/>
      <c r="G35" s="21"/>
      <c r="H35" s="21"/>
      <c r="I35" s="21"/>
      <c r="J35" s="21" t="s">
        <v>1326</v>
      </c>
      <c r="K35" s="21"/>
      <c r="L35" s="21" t="s">
        <v>1326</v>
      </c>
      <c r="M35" s="21" t="s">
        <v>1326</v>
      </c>
    </row>
    <row r="36" customFormat="false" ht="15" hidden="false" customHeight="false" outlineLevel="0" collapsed="false">
      <c r="A36" s="13" t="s">
        <v>321</v>
      </c>
      <c r="B36" s="16" t="s">
        <v>322</v>
      </c>
      <c r="C36" s="21" t="n">
        <v>6</v>
      </c>
      <c r="D36" s="21"/>
      <c r="E36" s="21" t="s">
        <v>1326</v>
      </c>
      <c r="F36" s="21"/>
      <c r="G36" s="21"/>
      <c r="H36" s="21"/>
      <c r="I36" s="21"/>
      <c r="J36" s="21" t="s">
        <v>1326</v>
      </c>
      <c r="K36" s="21"/>
      <c r="L36" s="21" t="s">
        <v>1326</v>
      </c>
      <c r="M36" s="21" t="s">
        <v>1326</v>
      </c>
    </row>
    <row r="37" customFormat="false" ht="15" hidden="false" customHeight="false" outlineLevel="0" collapsed="false">
      <c r="A37" s="13" t="s">
        <v>328</v>
      </c>
      <c r="B37" s="16" t="s">
        <v>329</v>
      </c>
      <c r="C37" s="21" t="n">
        <v>6</v>
      </c>
      <c r="D37" s="21" t="s">
        <v>1326</v>
      </c>
      <c r="E37" s="21" t="s">
        <v>1326</v>
      </c>
      <c r="F37" s="21"/>
      <c r="G37" s="21"/>
      <c r="H37" s="21"/>
      <c r="I37" s="21"/>
      <c r="J37" s="21" t="s">
        <v>1326</v>
      </c>
      <c r="K37" s="21"/>
      <c r="L37" s="21"/>
      <c r="M37" s="21" t="s">
        <v>1326</v>
      </c>
    </row>
    <row r="38" customFormat="false" ht="15" hidden="false" customHeight="false" outlineLevel="0" collapsed="false">
      <c r="A38" s="13" t="s">
        <v>336</v>
      </c>
      <c r="B38" s="16" t="s">
        <v>337</v>
      </c>
      <c r="C38" s="21" t="n">
        <v>7</v>
      </c>
      <c r="D38" s="21" t="s">
        <v>1326</v>
      </c>
      <c r="E38" s="21"/>
      <c r="F38" s="21"/>
      <c r="G38" s="21"/>
      <c r="H38" s="21"/>
      <c r="I38" s="21"/>
      <c r="J38" s="21"/>
      <c r="K38" s="21"/>
      <c r="L38" s="21"/>
      <c r="M38" s="21" t="s">
        <v>1326</v>
      </c>
    </row>
    <row r="39" customFormat="false" ht="15" hidden="false" customHeight="false" outlineLevel="0" collapsed="false">
      <c r="A39" s="13" t="s">
        <v>342</v>
      </c>
      <c r="B39" s="16" t="s">
        <v>343</v>
      </c>
      <c r="C39" s="21" t="n">
        <v>7</v>
      </c>
      <c r="D39" s="21"/>
      <c r="E39" s="21"/>
      <c r="F39" s="21"/>
      <c r="G39" s="21"/>
      <c r="H39" s="21"/>
      <c r="I39" s="21"/>
      <c r="J39" s="21"/>
      <c r="K39" s="21"/>
      <c r="L39" s="21" t="s">
        <v>1326</v>
      </c>
      <c r="M39" s="21" t="s">
        <v>1326</v>
      </c>
    </row>
    <row r="40" customFormat="false" ht="15" hidden="false" customHeight="false" outlineLevel="0" collapsed="false">
      <c r="A40" s="13" t="s">
        <v>348</v>
      </c>
      <c r="B40" s="16" t="s">
        <v>349</v>
      </c>
      <c r="C40" s="21" t="n">
        <v>7</v>
      </c>
      <c r="D40" s="21" t="s">
        <v>1326</v>
      </c>
      <c r="E40" s="21"/>
      <c r="F40" s="21"/>
      <c r="G40" s="21"/>
      <c r="H40" s="21"/>
      <c r="I40" s="21"/>
      <c r="J40" s="21"/>
      <c r="K40" s="21" t="s">
        <v>1326</v>
      </c>
      <c r="L40" s="21"/>
      <c r="M40" s="21" t="s">
        <v>1326</v>
      </c>
    </row>
    <row r="41" customFormat="false" ht="15" hidden="false" customHeight="false" outlineLevel="0" collapsed="false">
      <c r="A41" s="13" t="s">
        <v>356</v>
      </c>
      <c r="B41" s="16" t="s">
        <v>357</v>
      </c>
      <c r="C41" s="21" t="n">
        <v>8</v>
      </c>
      <c r="D41" s="21" t="s">
        <v>1326</v>
      </c>
      <c r="E41" s="21"/>
      <c r="F41" s="21"/>
      <c r="G41" s="21" t="s">
        <v>1326</v>
      </c>
      <c r="H41" s="21"/>
      <c r="I41" s="21"/>
      <c r="J41" s="21"/>
      <c r="K41" s="21"/>
      <c r="L41" s="21"/>
      <c r="M41" s="21" t="s">
        <v>1326</v>
      </c>
    </row>
    <row r="42" customFormat="false" ht="15" hidden="false" customHeight="false" outlineLevel="0" collapsed="false">
      <c r="A42" s="13" t="s">
        <v>362</v>
      </c>
      <c r="B42" s="16" t="s">
        <v>363</v>
      </c>
      <c r="C42" s="21" t="n">
        <v>8</v>
      </c>
      <c r="D42" s="21" t="s">
        <v>1326</v>
      </c>
      <c r="E42" s="21" t="s">
        <v>1326</v>
      </c>
      <c r="F42" s="21" t="s">
        <v>1326</v>
      </c>
      <c r="G42" s="21"/>
      <c r="H42" s="21"/>
      <c r="I42" s="21"/>
      <c r="J42" s="21"/>
      <c r="K42" s="21"/>
      <c r="L42" s="21"/>
      <c r="M42" s="21" t="s">
        <v>1326</v>
      </c>
    </row>
    <row r="43" customFormat="false" ht="15" hidden="false" customHeight="false" outlineLevel="0" collapsed="false">
      <c r="A43" s="13" t="s">
        <v>369</v>
      </c>
      <c r="B43" s="16" t="s">
        <v>370</v>
      </c>
      <c r="C43" s="21" t="n">
        <v>8</v>
      </c>
      <c r="D43" s="21"/>
      <c r="E43" s="21"/>
      <c r="F43" s="21"/>
      <c r="G43" s="21"/>
      <c r="H43" s="21"/>
      <c r="I43" s="21"/>
      <c r="J43" s="21"/>
      <c r="K43" s="21"/>
      <c r="L43" s="21" t="s">
        <v>1326</v>
      </c>
      <c r="M43" s="21" t="s">
        <v>1326</v>
      </c>
    </row>
    <row r="44" customFormat="false" ht="15" hidden="false" customHeight="false" outlineLevel="0" collapsed="false">
      <c r="A44" s="13" t="s">
        <v>376</v>
      </c>
      <c r="B44" s="16" t="s">
        <v>377</v>
      </c>
      <c r="C44" s="21" t="n">
        <v>9</v>
      </c>
      <c r="D44" s="21" t="s">
        <v>1326</v>
      </c>
      <c r="E44" s="21"/>
      <c r="F44" s="21"/>
      <c r="G44" s="21" t="s">
        <v>1326</v>
      </c>
      <c r="H44" s="21" t="s">
        <v>1326</v>
      </c>
      <c r="I44" s="21"/>
      <c r="J44" s="21"/>
      <c r="K44" s="21"/>
      <c r="L44" s="21"/>
      <c r="M44" s="21" t="s">
        <v>1326</v>
      </c>
    </row>
    <row r="45" customFormat="false" ht="15" hidden="false" customHeight="false" outlineLevel="0" collapsed="false">
      <c r="A45" s="13" t="s">
        <v>383</v>
      </c>
      <c r="B45" s="16" t="s">
        <v>384</v>
      </c>
      <c r="C45" s="21" t="n">
        <v>9</v>
      </c>
      <c r="D45" s="21" t="s">
        <v>1326</v>
      </c>
      <c r="E45" s="21"/>
      <c r="F45" s="21"/>
      <c r="G45" s="21" t="s">
        <v>1326</v>
      </c>
      <c r="H45" s="21"/>
      <c r="I45" s="21"/>
      <c r="J45" s="21"/>
      <c r="K45" s="21"/>
      <c r="L45" s="21"/>
      <c r="M45" s="21" t="s">
        <v>1326</v>
      </c>
    </row>
    <row r="46" customFormat="false" ht="15" hidden="false" customHeight="false" outlineLevel="0" collapsed="false">
      <c r="A46" s="13" t="s">
        <v>389</v>
      </c>
      <c r="B46" s="16" t="s">
        <v>390</v>
      </c>
      <c r="C46" s="21" t="n">
        <v>9</v>
      </c>
      <c r="D46" s="21" t="s">
        <v>1326</v>
      </c>
      <c r="E46" s="21"/>
      <c r="F46" s="21"/>
      <c r="G46" s="21"/>
      <c r="H46" s="21"/>
      <c r="I46" s="21"/>
      <c r="J46" s="21"/>
      <c r="K46" s="21" t="s">
        <v>1326</v>
      </c>
      <c r="L46" s="21"/>
      <c r="M46" s="21" t="s">
        <v>1326</v>
      </c>
    </row>
    <row r="47" customFormat="false" ht="15" hidden="false" customHeight="false" outlineLevel="0" collapsed="false">
      <c r="A47" s="13" t="s">
        <v>396</v>
      </c>
      <c r="B47" s="16" t="s">
        <v>397</v>
      </c>
      <c r="C47" s="21" t="n">
        <v>10</v>
      </c>
      <c r="D47" s="21"/>
      <c r="E47" s="21"/>
      <c r="F47" s="21"/>
      <c r="G47" s="21"/>
      <c r="H47" s="21"/>
      <c r="I47" s="21" t="s">
        <v>1326</v>
      </c>
      <c r="J47" s="21"/>
      <c r="K47" s="21"/>
      <c r="L47" s="21" t="s">
        <v>1326</v>
      </c>
      <c r="M47" s="21" t="s">
        <v>1326</v>
      </c>
    </row>
    <row r="48" customFormat="false" ht="15" hidden="false" customHeight="false" outlineLevel="0" collapsed="false">
      <c r="A48" s="13" t="s">
        <v>402</v>
      </c>
      <c r="B48" s="16" t="s">
        <v>403</v>
      </c>
      <c r="C48" s="21" t="n">
        <v>10</v>
      </c>
      <c r="D48" s="21" t="s">
        <v>1326</v>
      </c>
      <c r="E48" s="21"/>
      <c r="F48" s="21"/>
      <c r="G48" s="21"/>
      <c r="H48" s="21"/>
      <c r="I48" s="21"/>
      <c r="J48" s="21" t="s">
        <v>1326</v>
      </c>
      <c r="K48" s="21"/>
      <c r="L48" s="21"/>
      <c r="M48" s="21" t="s">
        <v>1326</v>
      </c>
    </row>
    <row r="49" customFormat="false" ht="15" hidden="false" customHeight="false" outlineLevel="0" collapsed="false">
      <c r="A49" s="13" t="s">
        <v>408</v>
      </c>
      <c r="B49" s="16" t="s">
        <v>409</v>
      </c>
      <c r="C49" s="21" t="n">
        <v>10</v>
      </c>
      <c r="D49" s="21"/>
      <c r="E49" s="21"/>
      <c r="F49" s="21"/>
      <c r="G49" s="21"/>
      <c r="H49" s="21" t="s">
        <v>1326</v>
      </c>
      <c r="I49" s="21"/>
      <c r="J49" s="21"/>
      <c r="K49" s="21"/>
      <c r="L49" s="21" t="s">
        <v>1326</v>
      </c>
      <c r="M49" s="21" t="s">
        <v>1326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Q5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50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2" min="10" style="0" width="11"/>
    <col collapsed="false" customWidth="true" hidden="false" outlineLevel="0" max="13" min="13" style="0" width="15"/>
    <col collapsed="false" customWidth="true" hidden="false" outlineLevel="0" max="16" min="14" style="0" width="10"/>
    <col collapsed="false" customWidth="true" hidden="false" outlineLevel="0" max="17" min="17" style="0" width="14"/>
  </cols>
  <sheetData>
    <row r="1" customFormat="false" ht="19.7" hidden="false" customHeight="false" outlineLevel="0" collapsed="false">
      <c r="A1" s="1" t="s">
        <v>1327</v>
      </c>
    </row>
    <row r="2" customFormat="false" ht="15" hidden="false" customHeight="false" outlineLevel="0" collapsed="false">
      <c r="A2" s="2" t="s">
        <v>1328</v>
      </c>
    </row>
    <row r="4" customFormat="false" ht="35.05" hidden="false" customHeight="false" outlineLevel="0" collapsed="false">
      <c r="A4" s="12" t="s">
        <v>419</v>
      </c>
      <c r="B4" s="12" t="s">
        <v>179</v>
      </c>
      <c r="C4" s="12" t="s">
        <v>180</v>
      </c>
      <c r="D4" s="12" t="s">
        <v>46</v>
      </c>
      <c r="E4" s="12" t="s">
        <v>422</v>
      </c>
      <c r="F4" s="12" t="s">
        <v>423</v>
      </c>
      <c r="G4" s="12" t="s">
        <v>424</v>
      </c>
      <c r="H4" s="12" t="s">
        <v>1329</v>
      </c>
      <c r="I4" s="12" t="s">
        <v>1330</v>
      </c>
      <c r="J4" s="12" t="s">
        <v>1331</v>
      </c>
      <c r="K4" s="12" t="s">
        <v>1332</v>
      </c>
      <c r="L4" s="12" t="s">
        <v>1333</v>
      </c>
      <c r="M4" s="12" t="s">
        <v>1334</v>
      </c>
      <c r="N4" s="12" t="s">
        <v>1335</v>
      </c>
      <c r="O4" s="12" t="s">
        <v>1336</v>
      </c>
      <c r="P4" s="12" t="s">
        <v>1337</v>
      </c>
      <c r="Q4" s="12" t="s">
        <v>1338</v>
      </c>
    </row>
    <row r="5" customFormat="false" ht="23.85" hidden="false" customHeight="false" outlineLevel="0" collapsed="false">
      <c r="A5" s="51" t="str">
        <f aca="false">C_KPI_Benchmark!A5</f>
        <v>1.a-D1-01</v>
      </c>
      <c r="B5" s="52" t="str">
        <f aca="false">C_KPI_Benchmark!D5</f>
        <v>1.a</v>
      </c>
      <c r="C5" s="51" t="str">
        <f aca="false">C_KPI_Benchmark!E5</f>
        <v>NL Req Parsing &amp; Classification Agent</v>
      </c>
      <c r="D5" s="52" t="str">
        <f aca="false">C_KPI_Benchmark!F5</f>
        <v>D1</v>
      </c>
      <c r="E5" s="51" t="str">
        <f aca="false">C_KPI_Benchmark!J5</f>
        <v>Atomic requirement extraction recall</v>
      </c>
      <c r="F5" s="52" t="str">
        <f aca="false">C_KPI_Benchmark!K5</f>
        <v>%</v>
      </c>
      <c r="G5" s="51" t="str">
        <f aca="false">C_KPI_Benchmark!L5</f>
        <v>Higher is better</v>
      </c>
      <c r="H5" s="53" t="n">
        <f aca="false">C_KPI_Benchmark!N5</f>
        <v>0.95</v>
      </c>
      <c r="I5" s="54" t="n">
        <f aca="false">IF(C_KPI_Benchmark!O5&lt;&gt;"",C_KPI_Benchmark!O5,IF(G5="Higher is better",H5*(1-A_Scoring_Model!$C$16),H5*(1+A_Scoring_Model!$C$16)))</f>
        <v>0.88</v>
      </c>
      <c r="J5" s="55" t="n">
        <v>0.92</v>
      </c>
      <c r="K5" s="55" t="n">
        <v>0.96</v>
      </c>
      <c r="L5" s="55" t="n">
        <v>0.93</v>
      </c>
      <c r="M5" s="55"/>
      <c r="N5" s="56" t="n">
        <f aca="false">IF(J5="","",IF($H5=$I5,IF(OR(AND($G5="Higher is better",J5&gt;=$H5),AND($G5="Lower is better",J5&lt;=$H5)),A_Scoring_Model!$C$14,0),IF($G5="Higher is better",IF(J5&gt;=$H5,A_Scoring_Model!$C$14,IF(J5&lt;$I5,0,A_Scoring_Model!$C$15+(A_Scoring_Model!$C$14-A_Scoring_Model!$C$15)*(J5-$I5)/($H5-$I5))),IF(J5&lt;=$H5,A_Scoring_Model!$C$14,IF(J5&gt;$I5,0,A_Scoring_Model!$C$15+(A_Scoring_Model!$C$14-A_Scoring_Model!$C$15)*($I5-J5)/($I5-$H5))))))</f>
        <v>82.8571428571429</v>
      </c>
      <c r="O5" s="56" t="n">
        <f aca="false">IF(K5="","",IF($H5=$I5,IF(OR(AND($G5="Higher is better",K5&gt;=$H5),AND($G5="Lower is better",K5&lt;=$H5)),A_Scoring_Model!$C$14,0),IF($G5="Higher is better",IF(K5&gt;=$H5,A_Scoring_Model!$C$14,IF(K5&lt;$I5,0,A_Scoring_Model!$C$15+(A_Scoring_Model!$C$14-A_Scoring_Model!$C$15)*(K5-$I5)/($H5-$I5))),IF(K5&lt;=$H5,A_Scoring_Model!$C$14,IF(K5&gt;$I5,0,A_Scoring_Model!$C$15+(A_Scoring_Model!$C$14-A_Scoring_Model!$C$15)*($I5-K5)/($I5-$H5))))))</f>
        <v>100</v>
      </c>
      <c r="P5" s="56" t="n">
        <f aca="false">IF(L5="","",IF($H5=$I5,IF(OR(AND($G5="Higher is better",L5&gt;=$H5),AND($G5="Lower is better",L5&lt;=$H5)),A_Scoring_Model!$C$14,0),IF($G5="Higher is better",IF(L5&gt;=$H5,A_Scoring_Model!$C$14,IF(L5&lt;$I5,0,A_Scoring_Model!$C$15+(A_Scoring_Model!$C$14-A_Scoring_Model!$C$15)*(L5-$I5)/($H5-$I5))),IF(L5&lt;=$H5,A_Scoring_Model!$C$14,IF(L5&gt;$I5,0,A_Scoring_Model!$C$15+(A_Scoring_Model!$C$14-A_Scoring_Model!$C$15)*($I5-L5)/($I5-$H5))))))</f>
        <v>88.5714285714286</v>
      </c>
      <c r="Q5" s="56" t="str">
        <f aca="false">IF(M5="","",IF($H5=$I5,IF(OR(AND($G5="Higher is better",M5&gt;=$H5),AND($G5="Lower is better",M5&lt;=$H5)),A_Scoring_Model!$C$14,0),IF($G5="Higher is better",IF(M5&gt;=$H5,A_Scoring_Model!$C$14,IF(M5&lt;$I5,0,A_Scoring_Model!$C$15+(A_Scoring_Model!$C$14-A_Scoring_Model!$C$15)*(M5-$I5)/($H5-$I5))),IF(M5&lt;=$H5,A_Scoring_Model!$C$14,IF(M5&gt;$I5,0,A_Scoring_Model!$C$15+(A_Scoring_Model!$C$14-A_Scoring_Model!$C$15)*($I5-M5)/($I5-$H5))))))</f>
        <v/>
      </c>
    </row>
    <row r="6" customFormat="false" ht="23.85" hidden="false" customHeight="false" outlineLevel="0" collapsed="false">
      <c r="A6" s="51" t="str">
        <f aca="false">C_KPI_Benchmark!A6</f>
        <v>1.a-D1-02</v>
      </c>
      <c r="B6" s="52" t="str">
        <f aca="false">C_KPI_Benchmark!D6</f>
        <v>1.a</v>
      </c>
      <c r="C6" s="51" t="str">
        <f aca="false">C_KPI_Benchmark!E6</f>
        <v>NL Req Parsing &amp; Classification Agent</v>
      </c>
      <c r="D6" s="52" t="str">
        <f aca="false">C_KPI_Benchmark!F6</f>
        <v>D1</v>
      </c>
      <c r="E6" s="51" t="str">
        <f aca="false">C_KPI_Benchmark!J6</f>
        <v>Classification macro-F1 (func / perf / security / compliance / interface)</v>
      </c>
      <c r="F6" s="52" t="str">
        <f aca="false">C_KPI_Benchmark!K6</f>
        <v>F1</v>
      </c>
      <c r="G6" s="51" t="str">
        <f aca="false">C_KPI_Benchmark!L6</f>
        <v>Higher is better</v>
      </c>
      <c r="H6" s="57" t="n">
        <f aca="false">C_KPI_Benchmark!N6</f>
        <v>0.9</v>
      </c>
      <c r="I6" s="58" t="n">
        <f aca="false">IF(C_KPI_Benchmark!O6&lt;&gt;"",C_KPI_Benchmark!O6,IF(G6="Higher is better",H6*(1-A_Scoring_Model!$C$16),H6*(1+A_Scoring_Model!$C$16)))</f>
        <v>0.82</v>
      </c>
      <c r="J6" s="59" t="n">
        <v>0.86</v>
      </c>
      <c r="K6" s="59" t="n">
        <v>0.92</v>
      </c>
      <c r="L6" s="59" t="n">
        <v>0.88</v>
      </c>
      <c r="M6" s="59"/>
      <c r="N6" s="56" t="n">
        <f aca="false">IF(J6="","",IF($H6=$I6,IF(OR(AND($G6="Higher is better",J6&gt;=$H6),AND($G6="Lower is better",J6&lt;=$H6)),A_Scoring_Model!$C$14,0),IF($G6="Higher is better",IF(J6&gt;=$H6,A_Scoring_Model!$C$14,IF(J6&lt;$I6,0,A_Scoring_Model!$C$15+(A_Scoring_Model!$C$14-A_Scoring_Model!$C$15)*(J6-$I6)/($H6-$I6))),IF(J6&lt;=$H6,A_Scoring_Model!$C$14,IF(J6&gt;$I6,0,A_Scoring_Model!$C$15+(A_Scoring_Model!$C$14-A_Scoring_Model!$C$15)*($I6-J6)/($I6-$H6))))))</f>
        <v>80</v>
      </c>
      <c r="O6" s="56" t="n">
        <f aca="false">IF(K6="","",IF($H6=$I6,IF(OR(AND($G6="Higher is better",K6&gt;=$H6),AND($G6="Lower is better",K6&lt;=$H6)),A_Scoring_Model!$C$14,0),IF($G6="Higher is better",IF(K6&gt;=$H6,A_Scoring_Model!$C$14,IF(K6&lt;$I6,0,A_Scoring_Model!$C$15+(A_Scoring_Model!$C$14-A_Scoring_Model!$C$15)*(K6-$I6)/($H6-$I6))),IF(K6&lt;=$H6,A_Scoring_Model!$C$14,IF(K6&gt;$I6,0,A_Scoring_Model!$C$15+(A_Scoring_Model!$C$14-A_Scoring_Model!$C$15)*($I6-K6)/($I6-$H6))))))</f>
        <v>100</v>
      </c>
      <c r="P6" s="56" t="n">
        <f aca="false">IF(L6="","",IF($H6=$I6,IF(OR(AND($G6="Higher is better",L6&gt;=$H6),AND($G6="Lower is better",L6&lt;=$H6)),A_Scoring_Model!$C$14,0),IF($G6="Higher is better",IF(L6&gt;=$H6,A_Scoring_Model!$C$14,IF(L6&lt;$I6,0,A_Scoring_Model!$C$15+(A_Scoring_Model!$C$14-A_Scoring_Model!$C$15)*(L6-$I6)/($H6-$I6))),IF(L6&lt;=$H6,A_Scoring_Model!$C$14,IF(L6&gt;$I6,0,A_Scoring_Model!$C$15+(A_Scoring_Model!$C$14-A_Scoring_Model!$C$15)*($I6-L6)/($I6-$H6))))))</f>
        <v>90</v>
      </c>
      <c r="Q6" s="56" t="str">
        <f aca="false">IF(M6="","",IF($H6=$I6,IF(OR(AND($G6="Higher is better",M6&gt;=$H6),AND($G6="Lower is better",M6&lt;=$H6)),A_Scoring_Model!$C$14,0),IF($G6="Higher is better",IF(M6&gt;=$H6,A_Scoring_Model!$C$14,IF(M6&lt;$I6,0,A_Scoring_Model!$C$15+(A_Scoring_Model!$C$14-A_Scoring_Model!$C$15)*(M6-$I6)/($H6-$I6))),IF(M6&lt;=$H6,A_Scoring_Model!$C$14,IF(M6&gt;$I6,0,A_Scoring_Model!$C$15+(A_Scoring_Model!$C$14-A_Scoring_Model!$C$15)*($I6-M6)/($I6-$H6))))))</f>
        <v/>
      </c>
    </row>
    <row r="7" customFormat="false" ht="23.85" hidden="false" customHeight="false" outlineLevel="0" collapsed="false">
      <c r="A7" s="51" t="str">
        <f aca="false">C_KPI_Benchmark!A7</f>
        <v>1.a-D1-03</v>
      </c>
      <c r="B7" s="52" t="str">
        <f aca="false">C_KPI_Benchmark!D7</f>
        <v>1.a</v>
      </c>
      <c r="C7" s="51" t="str">
        <f aca="false">C_KPI_Benchmark!E7</f>
        <v>NL Req Parsing &amp; Classification Agent</v>
      </c>
      <c r="D7" s="52" t="str">
        <f aca="false">C_KPI_Benchmark!F7</f>
        <v>D1</v>
      </c>
      <c r="E7" s="51" t="str">
        <f aca="false">C_KPI_Benchmark!J7</f>
        <v>Source-clause traceability</v>
      </c>
      <c r="F7" s="52" t="str">
        <f aca="false">C_KPI_Benchmark!K7</f>
        <v>%</v>
      </c>
      <c r="G7" s="51" t="str">
        <f aca="false">C_KPI_Benchmark!L7</f>
        <v>Higher is better</v>
      </c>
      <c r="H7" s="53" t="n">
        <f aca="false">C_KPI_Benchmark!N7</f>
        <v>1</v>
      </c>
      <c r="I7" s="54" t="n">
        <f aca="false">IF(C_KPI_Benchmark!O7&lt;&gt;"",C_KPI_Benchmark!O7,IF(G7="Higher is better",H7*(1-A_Scoring_Model!$C$16),H7*(1+A_Scoring_Model!$C$16)))</f>
        <v>0.98</v>
      </c>
      <c r="J7" s="55" t="n">
        <v>0.99</v>
      </c>
      <c r="K7" s="55" t="n">
        <v>1</v>
      </c>
      <c r="L7" s="55" t="n">
        <v>1</v>
      </c>
      <c r="M7" s="55"/>
      <c r="N7" s="56" t="n">
        <f aca="false">IF(J7="","",IF($H7=$I7,IF(OR(AND($G7="Higher is better",J7&gt;=$H7),AND($G7="Lower is better",J7&lt;=$H7)),A_Scoring_Model!$C$14,0),IF($G7="Higher is better",IF(J7&gt;=$H7,A_Scoring_Model!$C$14,IF(J7&lt;$I7,0,A_Scoring_Model!$C$15+(A_Scoring_Model!$C$14-A_Scoring_Model!$C$15)*(J7-$I7)/($H7-$I7))),IF(J7&lt;=$H7,A_Scoring_Model!$C$14,IF(J7&gt;$I7,0,A_Scoring_Model!$C$15+(A_Scoring_Model!$C$14-A_Scoring_Model!$C$15)*($I7-J7)/($I7-$H7))))))</f>
        <v>80</v>
      </c>
      <c r="O7" s="56" t="n">
        <f aca="false">IF(K7="","",IF($H7=$I7,IF(OR(AND($G7="Higher is better",K7&gt;=$H7),AND($G7="Lower is better",K7&lt;=$H7)),A_Scoring_Model!$C$14,0),IF($G7="Higher is better",IF(K7&gt;=$H7,A_Scoring_Model!$C$14,IF(K7&lt;$I7,0,A_Scoring_Model!$C$15+(A_Scoring_Model!$C$14-A_Scoring_Model!$C$15)*(K7-$I7)/($H7-$I7))),IF(K7&lt;=$H7,A_Scoring_Model!$C$14,IF(K7&gt;$I7,0,A_Scoring_Model!$C$15+(A_Scoring_Model!$C$14-A_Scoring_Model!$C$15)*($I7-K7)/($I7-$H7))))))</f>
        <v>100</v>
      </c>
      <c r="P7" s="56" t="n">
        <f aca="false">IF(L7="","",IF($H7=$I7,IF(OR(AND($G7="Higher is better",L7&gt;=$H7),AND($G7="Lower is better",L7&lt;=$H7)),A_Scoring_Model!$C$14,0),IF($G7="Higher is better",IF(L7&gt;=$H7,A_Scoring_Model!$C$14,IF(L7&lt;$I7,0,A_Scoring_Model!$C$15+(A_Scoring_Model!$C$14-A_Scoring_Model!$C$15)*(L7-$I7)/($H7-$I7))),IF(L7&lt;=$H7,A_Scoring_Model!$C$14,IF(L7&gt;$I7,0,A_Scoring_Model!$C$15+(A_Scoring_Model!$C$14-A_Scoring_Model!$C$15)*($I7-L7)/($I7-$H7))))))</f>
        <v>100</v>
      </c>
      <c r="Q7" s="56" t="str">
        <f aca="false">IF(M7="","",IF($H7=$I7,IF(OR(AND($G7="Higher is better",M7&gt;=$H7),AND($G7="Lower is better",M7&lt;=$H7)),A_Scoring_Model!$C$14,0),IF($G7="Higher is better",IF(M7&gt;=$H7,A_Scoring_Model!$C$14,IF(M7&lt;$I7,0,A_Scoring_Model!$C$15+(A_Scoring_Model!$C$14-A_Scoring_Model!$C$15)*(M7-$I7)/($H7-$I7))),IF(M7&lt;=$H7,A_Scoring_Model!$C$14,IF(M7&gt;$I7,0,A_Scoring_Model!$C$15+(A_Scoring_Model!$C$14-A_Scoring_Model!$C$15)*($I7-M7)/($I7-$H7))))))</f>
        <v/>
      </c>
    </row>
    <row r="8" customFormat="false" ht="23.85" hidden="false" customHeight="false" outlineLevel="0" collapsed="false">
      <c r="A8" s="51" t="str">
        <f aca="false">C_KPI_Benchmark!A8</f>
        <v>1.a-D2-04</v>
      </c>
      <c r="B8" s="52" t="str">
        <f aca="false">C_KPI_Benchmark!D8</f>
        <v>1.a</v>
      </c>
      <c r="C8" s="51" t="str">
        <f aca="false">C_KPI_Benchmark!E8</f>
        <v>NL Req Parsing &amp; Classification Agent</v>
      </c>
      <c r="D8" s="52" t="str">
        <f aca="false">C_KPI_Benchmark!F8</f>
        <v>D2</v>
      </c>
      <c r="E8" s="51" t="str">
        <f aca="false">C_KPI_Benchmark!J8</f>
        <v>Taxonomy and rules in YAML / prompt packs, no code change per group</v>
      </c>
      <c r="F8" s="52" t="str">
        <f aca="false">C_KPI_Benchmark!K8</f>
        <v>Yes/No</v>
      </c>
      <c r="G8" s="51" t="str">
        <f aca="false">C_KPI_Benchmark!L8</f>
        <v>Higher is better</v>
      </c>
      <c r="H8" s="60" t="n">
        <f aca="false">C_KPI_Benchmark!N8</f>
        <v>1</v>
      </c>
      <c r="I8" s="56" t="n">
        <f aca="false">IF(C_KPI_Benchmark!O8&lt;&gt;"",C_KPI_Benchmark!O8,IF(G8="Higher is better",H8*(1-A_Scoring_Model!$C$16),H8*(1+A_Scoring_Model!$C$16)))</f>
        <v>0.8</v>
      </c>
      <c r="J8" s="61" t="n">
        <v>1</v>
      </c>
      <c r="K8" s="61" t="n">
        <v>0</v>
      </c>
      <c r="L8" s="61" t="n">
        <v>1</v>
      </c>
      <c r="M8" s="61"/>
      <c r="N8" s="56" t="n">
        <f aca="false">IF(J8="","",IF($H8=$I8,IF(OR(AND($G8="Higher is better",J8&gt;=$H8),AND($G8="Lower is better",J8&lt;=$H8)),A_Scoring_Model!$C$14,0),IF($G8="Higher is better",IF(J8&gt;=$H8,A_Scoring_Model!$C$14,IF(J8&lt;$I8,0,A_Scoring_Model!$C$15+(A_Scoring_Model!$C$14-A_Scoring_Model!$C$15)*(J8-$I8)/($H8-$I8))),IF(J8&lt;=$H8,A_Scoring_Model!$C$14,IF(J8&gt;$I8,0,A_Scoring_Model!$C$15+(A_Scoring_Model!$C$14-A_Scoring_Model!$C$15)*($I8-J8)/($I8-$H8))))))</f>
        <v>100</v>
      </c>
      <c r="O8" s="56" t="n">
        <f aca="false">IF(K8="","",IF($H8=$I8,IF(OR(AND($G8="Higher is better",K8&gt;=$H8),AND($G8="Lower is better",K8&lt;=$H8)),A_Scoring_Model!$C$14,0),IF($G8="Higher is better",IF(K8&gt;=$H8,A_Scoring_Model!$C$14,IF(K8&lt;$I8,0,A_Scoring_Model!$C$15+(A_Scoring_Model!$C$14-A_Scoring_Model!$C$15)*(K8-$I8)/($H8-$I8))),IF(K8&lt;=$H8,A_Scoring_Model!$C$14,IF(K8&gt;$I8,0,A_Scoring_Model!$C$15+(A_Scoring_Model!$C$14-A_Scoring_Model!$C$15)*($I8-K8)/($I8-$H8))))))</f>
        <v>0</v>
      </c>
      <c r="P8" s="56" t="n">
        <f aca="false">IF(L8="","",IF($H8=$I8,IF(OR(AND($G8="Higher is better",L8&gt;=$H8),AND($G8="Lower is better",L8&lt;=$H8)),A_Scoring_Model!$C$14,0),IF($G8="Higher is better",IF(L8&gt;=$H8,A_Scoring_Model!$C$14,IF(L8&lt;$I8,0,A_Scoring_Model!$C$15+(A_Scoring_Model!$C$14-A_Scoring_Model!$C$15)*(L8-$I8)/($H8-$I8))),IF(L8&lt;=$H8,A_Scoring_Model!$C$14,IF(L8&gt;$I8,0,A_Scoring_Model!$C$15+(A_Scoring_Model!$C$14-A_Scoring_Model!$C$15)*($I8-L8)/($I8-$H8))))))</f>
        <v>100</v>
      </c>
      <c r="Q8" s="56" t="str">
        <f aca="false">IF(M8="","",IF($H8=$I8,IF(OR(AND($G8="Higher is better",M8&gt;=$H8),AND($G8="Lower is better",M8&lt;=$H8)),A_Scoring_Model!$C$14,0),IF($G8="Higher is better",IF(M8&gt;=$H8,A_Scoring_Model!$C$14,IF(M8&lt;$I8,0,A_Scoring_Model!$C$15+(A_Scoring_Model!$C$14-A_Scoring_Model!$C$15)*(M8-$I8)/($H8-$I8))),IF(M8&lt;=$H8,A_Scoring_Model!$C$14,IF(M8&gt;$I8,0,A_Scoring_Model!$C$15+(A_Scoring_Model!$C$14-A_Scoring_Model!$C$15)*($I8-M8)/($I8-$H8))))))</f>
        <v/>
      </c>
    </row>
    <row r="9" customFormat="false" ht="23.85" hidden="false" customHeight="false" outlineLevel="0" collapsed="false">
      <c r="A9" s="51" t="str">
        <f aca="false">C_KPI_Benchmark!A9</f>
        <v>1.a-D2-05</v>
      </c>
      <c r="B9" s="52" t="str">
        <f aca="false">C_KPI_Benchmark!D9</f>
        <v>1.a</v>
      </c>
      <c r="C9" s="51" t="str">
        <f aca="false">C_KPI_Benchmark!E9</f>
        <v>NL Req Parsing &amp; Classification Agent</v>
      </c>
      <c r="D9" s="52" t="str">
        <f aca="false">C_KPI_Benchmark!F9</f>
        <v>D2</v>
      </c>
      <c r="E9" s="51" t="str">
        <f aca="false">C_KPI_Benchmark!J9</f>
        <v>Product lines supported with ≤10% efficacy drop (NVMe SSD, UFS, eMMC/uSD, PSSD)</v>
      </c>
      <c r="F9" s="52" t="str">
        <f aca="false">C_KPI_Benchmark!K9</f>
        <v>count</v>
      </c>
      <c r="G9" s="51" t="str">
        <f aca="false">C_KPI_Benchmark!L9</f>
        <v>Higher is better</v>
      </c>
      <c r="H9" s="62" t="n">
        <f aca="false">C_KPI_Benchmark!N9</f>
        <v>3</v>
      </c>
      <c r="I9" s="63" t="n">
        <f aca="false">IF(C_KPI_Benchmark!O9&lt;&gt;"",C_KPI_Benchmark!O9,IF(G9="Higher is better",H9*(1-A_Scoring_Model!$C$16),H9*(1+A_Scoring_Model!$C$16)))</f>
        <v>2</v>
      </c>
      <c r="J9" s="64" t="n">
        <v>2</v>
      </c>
      <c r="K9" s="64" t="n">
        <v>1</v>
      </c>
      <c r="L9" s="64" t="n">
        <v>3</v>
      </c>
      <c r="M9" s="64"/>
      <c r="N9" s="56" t="n">
        <f aca="false">IF(J9="","",IF($H9=$I9,IF(OR(AND($G9="Higher is better",J9&gt;=$H9),AND($G9="Lower is better",J9&lt;=$H9)),A_Scoring_Model!$C$14,0),IF($G9="Higher is better",IF(J9&gt;=$H9,A_Scoring_Model!$C$14,IF(J9&lt;$I9,0,A_Scoring_Model!$C$15+(A_Scoring_Model!$C$14-A_Scoring_Model!$C$15)*(J9-$I9)/($H9-$I9))),IF(J9&lt;=$H9,A_Scoring_Model!$C$14,IF(J9&gt;$I9,0,A_Scoring_Model!$C$15+(A_Scoring_Model!$C$14-A_Scoring_Model!$C$15)*($I9-J9)/($I9-$H9))))))</f>
        <v>60</v>
      </c>
      <c r="O9" s="56" t="n">
        <f aca="false">IF(K9="","",IF($H9=$I9,IF(OR(AND($G9="Higher is better",K9&gt;=$H9),AND($G9="Lower is better",K9&lt;=$H9)),A_Scoring_Model!$C$14,0),IF($G9="Higher is better",IF(K9&gt;=$H9,A_Scoring_Model!$C$14,IF(K9&lt;$I9,0,A_Scoring_Model!$C$15+(A_Scoring_Model!$C$14-A_Scoring_Model!$C$15)*(K9-$I9)/($H9-$I9))),IF(K9&lt;=$H9,A_Scoring_Model!$C$14,IF(K9&gt;$I9,0,A_Scoring_Model!$C$15+(A_Scoring_Model!$C$14-A_Scoring_Model!$C$15)*($I9-K9)/($I9-$H9))))))</f>
        <v>0</v>
      </c>
      <c r="P9" s="56" t="n">
        <f aca="false">IF(L9="","",IF($H9=$I9,IF(OR(AND($G9="Higher is better",L9&gt;=$H9),AND($G9="Lower is better",L9&lt;=$H9)),A_Scoring_Model!$C$14,0),IF($G9="Higher is better",IF(L9&gt;=$H9,A_Scoring_Model!$C$14,IF(L9&lt;$I9,0,A_Scoring_Model!$C$15+(A_Scoring_Model!$C$14-A_Scoring_Model!$C$15)*(L9-$I9)/($H9-$I9))),IF(L9&lt;=$H9,A_Scoring_Model!$C$14,IF(L9&gt;$I9,0,A_Scoring_Model!$C$15+(A_Scoring_Model!$C$14-A_Scoring_Model!$C$15)*($I9-L9)/($I9-$H9))))))</f>
        <v>100</v>
      </c>
      <c r="Q9" s="56" t="str">
        <f aca="false">IF(M9="","",IF($H9=$I9,IF(OR(AND($G9="Higher is better",M9&gt;=$H9),AND($G9="Lower is better",M9&lt;=$H9)),A_Scoring_Model!$C$14,0),IF($G9="Higher is better",IF(M9&gt;=$H9,A_Scoring_Model!$C$14,IF(M9&lt;$I9,0,A_Scoring_Model!$C$15+(A_Scoring_Model!$C$14-A_Scoring_Model!$C$15)*(M9-$I9)/($H9-$I9))),IF(M9&lt;=$H9,A_Scoring_Model!$C$14,IF(M9&gt;$I9,0,A_Scoring_Model!$C$15+(A_Scoring_Model!$C$14-A_Scoring_Model!$C$15)*($I9-M9)/($I9-$H9))))))</f>
        <v/>
      </c>
    </row>
    <row r="10" customFormat="false" ht="23.85" hidden="false" customHeight="false" outlineLevel="0" collapsed="false">
      <c r="A10" s="51" t="str">
        <f aca="false">C_KPI_Benchmark!A10</f>
        <v>1.a-D2-06</v>
      </c>
      <c r="B10" s="52" t="str">
        <f aca="false">C_KPI_Benchmark!D10</f>
        <v>1.a</v>
      </c>
      <c r="C10" s="51" t="str">
        <f aca="false">C_KPI_Benchmark!E10</f>
        <v>NL Req Parsing &amp; Classification Agent</v>
      </c>
      <c r="D10" s="52" t="str">
        <f aca="false">C_KPI_Benchmark!F10</f>
        <v>D2</v>
      </c>
      <c r="E10" s="51" t="str">
        <f aca="false">C_KPI_Benchmark!J10</f>
        <v>Uses Zion shared services instead of re-implementing them</v>
      </c>
      <c r="F10" s="52" t="str">
        <f aca="false">C_KPI_Benchmark!K10</f>
        <v>Yes/No</v>
      </c>
      <c r="G10" s="51" t="str">
        <f aca="false">C_KPI_Benchmark!L10</f>
        <v>Higher is better</v>
      </c>
      <c r="H10" s="60" t="n">
        <f aca="false">C_KPI_Benchmark!N10</f>
        <v>1</v>
      </c>
      <c r="I10" s="56" t="n">
        <f aca="false">IF(C_KPI_Benchmark!O10&lt;&gt;"",C_KPI_Benchmark!O10,IF(G10="Higher is better",H10*(1-A_Scoring_Model!$C$16),H10*(1+A_Scoring_Model!$C$16)))</f>
        <v>0.8</v>
      </c>
      <c r="J10" s="61" t="n">
        <v>1</v>
      </c>
      <c r="K10" s="61" t="n">
        <v>0</v>
      </c>
      <c r="L10" s="61" t="n">
        <v>1</v>
      </c>
      <c r="M10" s="61"/>
      <c r="N10" s="56" t="n">
        <f aca="false">IF(J10="","",IF($H10=$I10,IF(OR(AND($G10="Higher is better",J10&gt;=$H10),AND($G10="Lower is better",J10&lt;=$H10)),A_Scoring_Model!$C$14,0),IF($G10="Higher is better",IF(J10&gt;=$H10,A_Scoring_Model!$C$14,IF(J10&lt;$I10,0,A_Scoring_Model!$C$15+(A_Scoring_Model!$C$14-A_Scoring_Model!$C$15)*(J10-$I10)/($H10-$I10))),IF(J10&lt;=$H10,A_Scoring_Model!$C$14,IF(J10&gt;$I10,0,A_Scoring_Model!$C$15+(A_Scoring_Model!$C$14-A_Scoring_Model!$C$15)*($I10-J10)/($I10-$H10))))))</f>
        <v>100</v>
      </c>
      <c r="O10" s="56" t="n">
        <f aca="false">IF(K10="","",IF($H10=$I10,IF(OR(AND($G10="Higher is better",K10&gt;=$H10),AND($G10="Lower is better",K10&lt;=$H10)),A_Scoring_Model!$C$14,0),IF($G10="Higher is better",IF(K10&gt;=$H10,A_Scoring_Model!$C$14,IF(K10&lt;$I10,0,A_Scoring_Model!$C$15+(A_Scoring_Model!$C$14-A_Scoring_Model!$C$15)*(K10-$I10)/($H10-$I10))),IF(K10&lt;=$H10,A_Scoring_Model!$C$14,IF(K10&gt;$I10,0,A_Scoring_Model!$C$15+(A_Scoring_Model!$C$14-A_Scoring_Model!$C$15)*($I10-K10)/($I10-$H10))))))</f>
        <v>0</v>
      </c>
      <c r="P10" s="56" t="n">
        <f aca="false">IF(L10="","",IF($H10=$I10,IF(OR(AND($G10="Higher is better",L10&gt;=$H10),AND($G10="Lower is better",L10&lt;=$H10)),A_Scoring_Model!$C$14,0),IF($G10="Higher is better",IF(L10&gt;=$H10,A_Scoring_Model!$C$14,IF(L10&lt;$I10,0,A_Scoring_Model!$C$15+(A_Scoring_Model!$C$14-A_Scoring_Model!$C$15)*(L10-$I10)/($H10-$I10))),IF(L10&lt;=$H10,A_Scoring_Model!$C$14,IF(L10&gt;$I10,0,A_Scoring_Model!$C$15+(A_Scoring_Model!$C$14-A_Scoring_Model!$C$15)*($I10-L10)/($I10-$H10))))))</f>
        <v>100</v>
      </c>
      <c r="Q10" s="56" t="str">
        <f aca="false">IF(M10="","",IF($H10=$I10,IF(OR(AND($G10="Higher is better",M10&gt;=$H10),AND($G10="Lower is better",M10&lt;=$H10)),A_Scoring_Model!$C$14,0),IF($G10="Higher is better",IF(M10&gt;=$H10,A_Scoring_Model!$C$14,IF(M10&lt;$I10,0,A_Scoring_Model!$C$15+(A_Scoring_Model!$C$14-A_Scoring_Model!$C$15)*(M10-$I10)/($H10-$I10))),IF(M10&lt;=$H10,A_Scoring_Model!$C$14,IF(M10&gt;$I10,0,A_Scoring_Model!$C$15+(A_Scoring_Model!$C$14-A_Scoring_Model!$C$15)*($I10-M10)/($I10-$H10))))))</f>
        <v/>
      </c>
    </row>
    <row r="11" customFormat="false" ht="23.85" hidden="false" customHeight="false" outlineLevel="0" collapsed="false">
      <c r="A11" s="51" t="str">
        <f aca="false">C_KPI_Benchmark!A11</f>
        <v>1.a-D3-07</v>
      </c>
      <c r="B11" s="52" t="str">
        <f aca="false">C_KPI_Benchmark!D11</f>
        <v>1.a</v>
      </c>
      <c r="C11" s="51" t="str">
        <f aca="false">C_KPI_Benchmark!E11</f>
        <v>NL Req Parsing &amp; Classification Agent</v>
      </c>
      <c r="D11" s="52" t="str">
        <f aca="false">C_KPI_Benchmark!F11</f>
        <v>D3</v>
      </c>
      <c r="E11" s="51" t="str">
        <f aca="false">C_KPI_Benchmark!J11</f>
        <v>Throughput</v>
      </c>
      <c r="F11" s="52" t="str">
        <f aca="false">C_KPI_Benchmark!K11</f>
        <v>pages/hr</v>
      </c>
      <c r="G11" s="51" t="str">
        <f aca="false">C_KPI_Benchmark!L11</f>
        <v>Higher is better</v>
      </c>
      <c r="H11" s="62" t="n">
        <f aca="false">C_KPI_Benchmark!N11</f>
        <v>300</v>
      </c>
      <c r="I11" s="63" t="n">
        <f aca="false">IF(C_KPI_Benchmark!O11&lt;&gt;"",C_KPI_Benchmark!O11,IF(G11="Higher is better",H11*(1-A_Scoring_Model!$C$16),H11*(1+A_Scoring_Model!$C$16)))</f>
        <v>240</v>
      </c>
      <c r="J11" s="64" t="n">
        <v>270</v>
      </c>
      <c r="K11" s="64" t="n">
        <v>320</v>
      </c>
      <c r="L11" s="64" t="n">
        <v>290</v>
      </c>
      <c r="M11" s="64"/>
      <c r="N11" s="56" t="n">
        <f aca="false">IF(J11="","",IF($H11=$I11,IF(OR(AND($G11="Higher is better",J11&gt;=$H11),AND($G11="Lower is better",J11&lt;=$H11)),A_Scoring_Model!$C$14,0),IF($G11="Higher is better",IF(J11&gt;=$H11,A_Scoring_Model!$C$14,IF(J11&lt;$I11,0,A_Scoring_Model!$C$15+(A_Scoring_Model!$C$14-A_Scoring_Model!$C$15)*(J11-$I11)/($H11-$I11))),IF(J11&lt;=$H11,A_Scoring_Model!$C$14,IF(J11&gt;$I11,0,A_Scoring_Model!$C$15+(A_Scoring_Model!$C$14-A_Scoring_Model!$C$15)*($I11-J11)/($I11-$H11))))))</f>
        <v>80</v>
      </c>
      <c r="O11" s="56" t="n">
        <f aca="false">IF(K11="","",IF($H11=$I11,IF(OR(AND($G11="Higher is better",K11&gt;=$H11),AND($G11="Lower is better",K11&lt;=$H11)),A_Scoring_Model!$C$14,0),IF($G11="Higher is better",IF(K11&gt;=$H11,A_Scoring_Model!$C$14,IF(K11&lt;$I11,0,A_Scoring_Model!$C$15+(A_Scoring_Model!$C$14-A_Scoring_Model!$C$15)*(K11-$I11)/($H11-$I11))),IF(K11&lt;=$H11,A_Scoring_Model!$C$14,IF(K11&gt;$I11,0,A_Scoring_Model!$C$15+(A_Scoring_Model!$C$14-A_Scoring_Model!$C$15)*($I11-K11)/($I11-$H11))))))</f>
        <v>100</v>
      </c>
      <c r="P11" s="56" t="n">
        <f aca="false">IF(L11="","",IF($H11=$I11,IF(OR(AND($G11="Higher is better",L11&gt;=$H11),AND($G11="Lower is better",L11&lt;=$H11)),A_Scoring_Model!$C$14,0),IF($G11="Higher is better",IF(L11&gt;=$H11,A_Scoring_Model!$C$14,IF(L11&lt;$I11,0,A_Scoring_Model!$C$15+(A_Scoring_Model!$C$14-A_Scoring_Model!$C$15)*(L11-$I11)/($H11-$I11))),IF(L11&lt;=$H11,A_Scoring_Model!$C$14,IF(L11&gt;$I11,0,A_Scoring_Model!$C$15+(A_Scoring_Model!$C$14-A_Scoring_Model!$C$15)*($I11-L11)/($I11-$H11))))))</f>
        <v>93.3333333333333</v>
      </c>
      <c r="Q11" s="56" t="str">
        <f aca="false">IF(M11="","",IF($H11=$I11,IF(OR(AND($G11="Higher is better",M11&gt;=$H11),AND($G11="Lower is better",M11&lt;=$H11)),A_Scoring_Model!$C$14,0),IF($G11="Higher is better",IF(M11&gt;=$H11,A_Scoring_Model!$C$14,IF(M11&lt;$I11,0,A_Scoring_Model!$C$15+(A_Scoring_Model!$C$14-A_Scoring_Model!$C$15)*(M11-$I11)/($H11-$I11))),IF(M11&lt;=$H11,A_Scoring_Model!$C$14,IF(M11&gt;$I11,0,A_Scoring_Model!$C$15+(A_Scoring_Model!$C$14-A_Scoring_Model!$C$15)*($I11-M11)/($I11-$H11))))))</f>
        <v/>
      </c>
    </row>
    <row r="12" customFormat="false" ht="23.85" hidden="false" customHeight="false" outlineLevel="0" collapsed="false">
      <c r="A12" s="51" t="str">
        <f aca="false">C_KPI_Benchmark!A12</f>
        <v>1.a-D3-08</v>
      </c>
      <c r="B12" s="52" t="str">
        <f aca="false">C_KPI_Benchmark!D12</f>
        <v>1.a</v>
      </c>
      <c r="C12" s="51" t="str">
        <f aca="false">C_KPI_Benchmark!E12</f>
        <v>NL Req Parsing &amp; Classification Agent</v>
      </c>
      <c r="D12" s="52" t="str">
        <f aca="false">C_KPI_Benchmark!F12</f>
        <v>D3</v>
      </c>
      <c r="E12" s="51" t="str">
        <f aca="false">C_KPI_Benchmark!J12</f>
        <v>p95 latency per page</v>
      </c>
      <c r="F12" s="52" t="str">
        <f aca="false">C_KPI_Benchmark!K12</f>
        <v>s</v>
      </c>
      <c r="G12" s="51" t="str">
        <f aca="false">C_KPI_Benchmark!L12</f>
        <v>Lower is better</v>
      </c>
      <c r="H12" s="62" t="n">
        <f aca="false">C_KPI_Benchmark!N12</f>
        <v>8</v>
      </c>
      <c r="I12" s="63" t="n">
        <f aca="false">IF(C_KPI_Benchmark!O12&lt;&gt;"",C_KPI_Benchmark!O12,IF(G12="Higher is better",H12*(1-A_Scoring_Model!$C$16),H12*(1+A_Scoring_Model!$C$16)))</f>
        <v>9.6</v>
      </c>
      <c r="J12" s="64" t="n">
        <v>9</v>
      </c>
      <c r="K12" s="64" t="n">
        <v>7</v>
      </c>
      <c r="L12" s="64" t="n">
        <v>8.3</v>
      </c>
      <c r="M12" s="64"/>
      <c r="N12" s="56" t="n">
        <f aca="false">IF(J12="","",IF($H12=$I12,IF(OR(AND($G12="Higher is better",J12&gt;=$H12),AND($G12="Lower is better",J12&lt;=$H12)),A_Scoring_Model!$C$14,0),IF($G12="Higher is better",IF(J12&gt;=$H12,A_Scoring_Model!$C$14,IF(J12&lt;$I12,0,A_Scoring_Model!$C$15+(A_Scoring_Model!$C$14-A_Scoring_Model!$C$15)*(J12-$I12)/($H12-$I12))),IF(J12&lt;=$H12,A_Scoring_Model!$C$14,IF(J12&gt;$I12,0,A_Scoring_Model!$C$15+(A_Scoring_Model!$C$14-A_Scoring_Model!$C$15)*($I12-J12)/($I12-$H12))))))</f>
        <v>75</v>
      </c>
      <c r="O12" s="56" t="n">
        <f aca="false">IF(K12="","",IF($H12=$I12,IF(OR(AND($G12="Higher is better",K12&gt;=$H12),AND($G12="Lower is better",K12&lt;=$H12)),A_Scoring_Model!$C$14,0),IF($G12="Higher is better",IF(K12&gt;=$H12,A_Scoring_Model!$C$14,IF(K12&lt;$I12,0,A_Scoring_Model!$C$15+(A_Scoring_Model!$C$14-A_Scoring_Model!$C$15)*(K12-$I12)/($H12-$I12))),IF(K12&lt;=$H12,A_Scoring_Model!$C$14,IF(K12&gt;$I12,0,A_Scoring_Model!$C$15+(A_Scoring_Model!$C$14-A_Scoring_Model!$C$15)*($I12-K12)/($I12-$H12))))))</f>
        <v>100</v>
      </c>
      <c r="P12" s="56" t="n">
        <f aca="false">IF(L12="","",IF($H12=$I12,IF(OR(AND($G12="Higher is better",L12&gt;=$H12),AND($G12="Lower is better",L12&lt;=$H12)),A_Scoring_Model!$C$14,0),IF($G12="Higher is better",IF(L12&gt;=$H12,A_Scoring_Model!$C$14,IF(L12&lt;$I12,0,A_Scoring_Model!$C$15+(A_Scoring_Model!$C$14-A_Scoring_Model!$C$15)*(L12-$I12)/($H12-$I12))),IF(L12&lt;=$H12,A_Scoring_Model!$C$14,IF(L12&gt;$I12,0,A_Scoring_Model!$C$15+(A_Scoring_Model!$C$14-A_Scoring_Model!$C$15)*($I12-L12)/($I12-$H12))))))</f>
        <v>92.5</v>
      </c>
      <c r="Q12" s="56" t="str">
        <f aca="false">IF(M12="","",IF($H12=$I12,IF(OR(AND($G12="Higher is better",M12&gt;=$H12),AND($G12="Lower is better",M12&lt;=$H12)),A_Scoring_Model!$C$14,0),IF($G12="Higher is better",IF(M12&gt;=$H12,A_Scoring_Model!$C$14,IF(M12&lt;$I12,0,A_Scoring_Model!$C$15+(A_Scoring_Model!$C$14-A_Scoring_Model!$C$15)*(M12-$I12)/($H12-$I12))),IF(M12&lt;=$H12,A_Scoring_Model!$C$14,IF(M12&gt;$I12,0,A_Scoring_Model!$C$15+(A_Scoring_Model!$C$14-A_Scoring_Model!$C$15)*($I12-M12)/($I12-$H12))))))</f>
        <v/>
      </c>
    </row>
    <row r="13" customFormat="false" ht="23.85" hidden="false" customHeight="false" outlineLevel="0" collapsed="false">
      <c r="A13" s="51" t="str">
        <f aca="false">C_KPI_Benchmark!A13</f>
        <v>1.a-D3-09</v>
      </c>
      <c r="B13" s="52" t="str">
        <f aca="false">C_KPI_Benchmark!D13</f>
        <v>1.a</v>
      </c>
      <c r="C13" s="51" t="str">
        <f aca="false">C_KPI_Benchmark!E13</f>
        <v>NL Req Parsing &amp; Classification Agent</v>
      </c>
      <c r="D13" s="52" t="str">
        <f aca="false">C_KPI_Benchmark!F13</f>
        <v>D3</v>
      </c>
      <c r="E13" s="51" t="str">
        <f aca="false">C_KPI_Benchmark!J13</f>
        <v>Latency degradation at 10× load</v>
      </c>
      <c r="F13" s="52" t="str">
        <f aca="false">C_KPI_Benchmark!K13</f>
        <v>%</v>
      </c>
      <c r="G13" s="51" t="str">
        <f aca="false">C_KPI_Benchmark!L13</f>
        <v>Lower is better</v>
      </c>
      <c r="H13" s="53" t="n">
        <f aca="false">C_KPI_Benchmark!N13</f>
        <v>0.2</v>
      </c>
      <c r="I13" s="54" t="n">
        <f aca="false">IF(C_KPI_Benchmark!O13&lt;&gt;"",C_KPI_Benchmark!O13,IF(G13="Higher is better",H13*(1-A_Scoring_Model!$C$16),H13*(1+A_Scoring_Model!$C$16)))</f>
        <v>0.4</v>
      </c>
      <c r="J13" s="55" t="n">
        <v>0.28</v>
      </c>
      <c r="K13" s="55" t="n">
        <v>0.18</v>
      </c>
      <c r="L13" s="55" t="n">
        <v>0.22</v>
      </c>
      <c r="M13" s="55"/>
      <c r="N13" s="56" t="n">
        <f aca="false">IF(J13="","",IF($H13=$I13,IF(OR(AND($G13="Higher is better",J13&gt;=$H13),AND($G13="Lower is better",J13&lt;=$H13)),A_Scoring_Model!$C$14,0),IF($G13="Higher is better",IF(J13&gt;=$H13,A_Scoring_Model!$C$14,IF(J13&lt;$I13,0,A_Scoring_Model!$C$15+(A_Scoring_Model!$C$14-A_Scoring_Model!$C$15)*(J13-$I13)/($H13-$I13))),IF(J13&lt;=$H13,A_Scoring_Model!$C$14,IF(J13&gt;$I13,0,A_Scoring_Model!$C$15+(A_Scoring_Model!$C$14-A_Scoring_Model!$C$15)*($I13-J13)/($I13-$H13))))))</f>
        <v>84</v>
      </c>
      <c r="O13" s="56" t="n">
        <f aca="false">IF(K13="","",IF($H13=$I13,IF(OR(AND($G13="Higher is better",K13&gt;=$H13),AND($G13="Lower is better",K13&lt;=$H13)),A_Scoring_Model!$C$14,0),IF($G13="Higher is better",IF(K13&gt;=$H13,A_Scoring_Model!$C$14,IF(K13&lt;$I13,0,A_Scoring_Model!$C$15+(A_Scoring_Model!$C$14-A_Scoring_Model!$C$15)*(K13-$I13)/($H13-$I13))),IF(K13&lt;=$H13,A_Scoring_Model!$C$14,IF(K13&gt;$I13,0,A_Scoring_Model!$C$15+(A_Scoring_Model!$C$14-A_Scoring_Model!$C$15)*($I13-K13)/($I13-$H13))))))</f>
        <v>100</v>
      </c>
      <c r="P13" s="56" t="n">
        <f aca="false">IF(L13="","",IF($H13=$I13,IF(OR(AND($G13="Higher is better",L13&gt;=$H13),AND($G13="Lower is better",L13&lt;=$H13)),A_Scoring_Model!$C$14,0),IF($G13="Higher is better",IF(L13&gt;=$H13,A_Scoring_Model!$C$14,IF(L13&lt;$I13,0,A_Scoring_Model!$C$15+(A_Scoring_Model!$C$14-A_Scoring_Model!$C$15)*(L13-$I13)/($H13-$I13))),IF(L13&lt;=$H13,A_Scoring_Model!$C$14,IF(L13&gt;$I13,0,A_Scoring_Model!$C$15+(A_Scoring_Model!$C$14-A_Scoring_Model!$C$15)*($I13-L13)/($I13-$H13))))))</f>
        <v>96</v>
      </c>
      <c r="Q13" s="56" t="str">
        <f aca="false">IF(M13="","",IF($H13=$I13,IF(OR(AND($G13="Higher is better",M13&gt;=$H13),AND($G13="Lower is better",M13&lt;=$H13)),A_Scoring_Model!$C$14,0),IF($G13="Higher is better",IF(M13&gt;=$H13,A_Scoring_Model!$C$14,IF(M13&lt;$I13,0,A_Scoring_Model!$C$15+(A_Scoring_Model!$C$14-A_Scoring_Model!$C$15)*(M13-$I13)/($H13-$I13))),IF(M13&lt;=$H13,A_Scoring_Model!$C$14,IF(M13&gt;$I13,0,A_Scoring_Model!$C$15+(A_Scoring_Model!$C$14-A_Scoring_Model!$C$15)*($I13-M13)/($I13-$H13))))))</f>
        <v/>
      </c>
    </row>
    <row r="14" customFormat="false" ht="23.85" hidden="false" customHeight="false" outlineLevel="0" collapsed="false">
      <c r="A14" s="51" t="str">
        <f aca="false">C_KPI_Benchmark!A14</f>
        <v>1.a-D4-10</v>
      </c>
      <c r="B14" s="52" t="str">
        <f aca="false">C_KPI_Benchmark!D14</f>
        <v>1.a</v>
      </c>
      <c r="C14" s="51" t="str">
        <f aca="false">C_KPI_Benchmark!E14</f>
        <v>NL Req Parsing &amp; Classification Agent</v>
      </c>
      <c r="D14" s="52" t="str">
        <f aca="false">C_KPI_Benchmark!F14</f>
        <v>D4</v>
      </c>
      <c r="E14" s="51" t="str">
        <f aca="false">C_KPI_Benchmark!J14</f>
        <v>Hallucinated requirements</v>
      </c>
      <c r="F14" s="52" t="str">
        <f aca="false">C_KPI_Benchmark!K14</f>
        <v>%</v>
      </c>
      <c r="G14" s="51" t="str">
        <f aca="false">C_KPI_Benchmark!L14</f>
        <v>Lower is better</v>
      </c>
      <c r="H14" s="53" t="n">
        <f aca="false">C_KPI_Benchmark!N14</f>
        <v>0.01</v>
      </c>
      <c r="I14" s="54" t="n">
        <f aca="false">IF(C_KPI_Benchmark!O14&lt;&gt;"",C_KPI_Benchmark!O14,IF(G14="Higher is better",H14*(1-A_Scoring_Model!$C$16),H14*(1+A_Scoring_Model!$C$16)))</f>
        <v>0.012</v>
      </c>
      <c r="J14" s="55" t="n">
        <v>0.012</v>
      </c>
      <c r="K14" s="55" t="n">
        <v>0.008</v>
      </c>
      <c r="L14" s="55" t="n">
        <v>0.011</v>
      </c>
      <c r="M14" s="55"/>
      <c r="N14" s="56" t="n">
        <f aca="false">IF(J14="","",IF($H14=$I14,IF(OR(AND($G14="Higher is better",J14&gt;=$H14),AND($G14="Lower is better",J14&lt;=$H14)),A_Scoring_Model!$C$14,0),IF($G14="Higher is better",IF(J14&gt;=$H14,A_Scoring_Model!$C$14,IF(J14&lt;$I14,0,A_Scoring_Model!$C$15+(A_Scoring_Model!$C$14-A_Scoring_Model!$C$15)*(J14-$I14)/($H14-$I14))),IF(J14&lt;=$H14,A_Scoring_Model!$C$14,IF(J14&gt;$I14,0,A_Scoring_Model!$C$15+(A_Scoring_Model!$C$14-A_Scoring_Model!$C$15)*($I14-J14)/($I14-$H14))))))</f>
        <v>60</v>
      </c>
      <c r="O14" s="56" t="n">
        <f aca="false">IF(K14="","",IF($H14=$I14,IF(OR(AND($G14="Higher is better",K14&gt;=$H14),AND($G14="Lower is better",K14&lt;=$H14)),A_Scoring_Model!$C$14,0),IF($G14="Higher is better",IF(K14&gt;=$H14,A_Scoring_Model!$C$14,IF(K14&lt;$I14,0,A_Scoring_Model!$C$15+(A_Scoring_Model!$C$14-A_Scoring_Model!$C$15)*(K14-$I14)/($H14-$I14))),IF(K14&lt;=$H14,A_Scoring_Model!$C$14,IF(K14&gt;$I14,0,A_Scoring_Model!$C$15+(A_Scoring_Model!$C$14-A_Scoring_Model!$C$15)*($I14-K14)/($I14-$H14))))))</f>
        <v>100</v>
      </c>
      <c r="P14" s="56" t="n">
        <f aca="false">IF(L14="","",IF($H14=$I14,IF(OR(AND($G14="Higher is better",L14&gt;=$H14),AND($G14="Lower is better",L14&lt;=$H14)),A_Scoring_Model!$C$14,0),IF($G14="Higher is better",IF(L14&gt;=$H14,A_Scoring_Model!$C$14,IF(L14&lt;$I14,0,A_Scoring_Model!$C$15+(A_Scoring_Model!$C$14-A_Scoring_Model!$C$15)*(L14-$I14)/($H14-$I14))),IF(L14&lt;=$H14,A_Scoring_Model!$C$14,IF(L14&gt;$I14,0,A_Scoring_Model!$C$15+(A_Scoring_Model!$C$14-A_Scoring_Model!$C$15)*($I14-L14)/($I14-$H14))))))</f>
        <v>80</v>
      </c>
      <c r="Q14" s="56" t="str">
        <f aca="false">IF(M14="","",IF($H14=$I14,IF(OR(AND($G14="Higher is better",M14&gt;=$H14),AND($G14="Lower is better",M14&lt;=$H14)),A_Scoring_Model!$C$14,0),IF($G14="Higher is better",IF(M14&gt;=$H14,A_Scoring_Model!$C$14,IF(M14&lt;$I14,0,A_Scoring_Model!$C$15+(A_Scoring_Model!$C$14-A_Scoring_Model!$C$15)*(M14-$I14)/($H14-$I14))),IF(M14&lt;=$H14,A_Scoring_Model!$C$14,IF(M14&gt;$I14,0,A_Scoring_Model!$C$15+(A_Scoring_Model!$C$14-A_Scoring_Model!$C$15)*($I14-M14)/($I14-$H14))))))</f>
        <v/>
      </c>
    </row>
    <row r="15" customFormat="false" ht="23.85" hidden="false" customHeight="false" outlineLevel="0" collapsed="false">
      <c r="A15" s="51" t="str">
        <f aca="false">C_KPI_Benchmark!A15</f>
        <v>1.a-D4-11</v>
      </c>
      <c r="B15" s="52" t="str">
        <f aca="false">C_KPI_Benchmark!D15</f>
        <v>1.a</v>
      </c>
      <c r="C15" s="51" t="str">
        <f aca="false">C_KPI_Benchmark!E15</f>
        <v>NL Req Parsing &amp; Classification Agent</v>
      </c>
      <c r="D15" s="52" t="str">
        <f aca="false">C_KPI_Benchmark!F15</f>
        <v>D4</v>
      </c>
      <c r="E15" s="51" t="str">
        <f aca="false">C_KPI_Benchmark!J15</f>
        <v>Run-to-run agreement (temperature 0)</v>
      </c>
      <c r="F15" s="52" t="str">
        <f aca="false">C_KPI_Benchmark!K15</f>
        <v>%</v>
      </c>
      <c r="G15" s="51" t="str">
        <f aca="false">C_KPI_Benchmark!L15</f>
        <v>Higher is better</v>
      </c>
      <c r="H15" s="53" t="n">
        <f aca="false">C_KPI_Benchmark!N15</f>
        <v>0.97</v>
      </c>
      <c r="I15" s="54" t="n">
        <f aca="false">IF(C_KPI_Benchmark!O15&lt;&gt;"",C_KPI_Benchmark!O15,IF(G15="Higher is better",H15*(1-A_Scoring_Model!$C$16),H15*(1+A_Scoring_Model!$C$16)))</f>
        <v>0.776</v>
      </c>
      <c r="J15" s="55" t="n">
        <v>0.95</v>
      </c>
      <c r="K15" s="55" t="n">
        <v>0.98</v>
      </c>
      <c r="L15" s="55" t="n">
        <v>0.97</v>
      </c>
      <c r="M15" s="55"/>
      <c r="N15" s="56" t="n">
        <f aca="false">IF(J15="","",IF($H15=$I15,IF(OR(AND($G15="Higher is better",J15&gt;=$H15),AND($G15="Lower is better",J15&lt;=$H15)),A_Scoring_Model!$C$14,0),IF($G15="Higher is better",IF(J15&gt;=$H15,A_Scoring_Model!$C$14,IF(J15&lt;$I15,0,A_Scoring_Model!$C$15+(A_Scoring_Model!$C$14-A_Scoring_Model!$C$15)*(J15-$I15)/($H15-$I15))),IF(J15&lt;=$H15,A_Scoring_Model!$C$14,IF(J15&gt;$I15,0,A_Scoring_Model!$C$15+(A_Scoring_Model!$C$14-A_Scoring_Model!$C$15)*($I15-J15)/($I15-$H15))))))</f>
        <v>95.8762886597938</v>
      </c>
      <c r="O15" s="56" t="n">
        <f aca="false">IF(K15="","",IF($H15=$I15,IF(OR(AND($G15="Higher is better",K15&gt;=$H15),AND($G15="Lower is better",K15&lt;=$H15)),A_Scoring_Model!$C$14,0),IF($G15="Higher is better",IF(K15&gt;=$H15,A_Scoring_Model!$C$14,IF(K15&lt;$I15,0,A_Scoring_Model!$C$15+(A_Scoring_Model!$C$14-A_Scoring_Model!$C$15)*(K15-$I15)/($H15-$I15))),IF(K15&lt;=$H15,A_Scoring_Model!$C$14,IF(K15&gt;$I15,0,A_Scoring_Model!$C$15+(A_Scoring_Model!$C$14-A_Scoring_Model!$C$15)*($I15-K15)/($I15-$H15))))))</f>
        <v>100</v>
      </c>
      <c r="P15" s="56" t="n">
        <f aca="false">IF(L15="","",IF($H15=$I15,IF(OR(AND($G15="Higher is better",L15&gt;=$H15),AND($G15="Lower is better",L15&lt;=$H15)),A_Scoring_Model!$C$14,0),IF($G15="Higher is better",IF(L15&gt;=$H15,A_Scoring_Model!$C$14,IF(L15&lt;$I15,0,A_Scoring_Model!$C$15+(A_Scoring_Model!$C$14-A_Scoring_Model!$C$15)*(L15-$I15)/($H15-$I15))),IF(L15&lt;=$H15,A_Scoring_Model!$C$14,IF(L15&gt;$I15,0,A_Scoring_Model!$C$15+(A_Scoring_Model!$C$14-A_Scoring_Model!$C$15)*($I15-L15)/($I15-$H15))))))</f>
        <v>100</v>
      </c>
      <c r="Q15" s="56" t="str">
        <f aca="false">IF(M15="","",IF($H15=$I15,IF(OR(AND($G15="Higher is better",M15&gt;=$H15),AND($G15="Lower is better",M15&lt;=$H15)),A_Scoring_Model!$C$14,0),IF($G15="Higher is better",IF(M15&gt;=$H15,A_Scoring_Model!$C$14,IF(M15&lt;$I15,0,A_Scoring_Model!$C$15+(A_Scoring_Model!$C$14-A_Scoring_Model!$C$15)*(M15-$I15)/($H15-$I15))),IF(M15&lt;=$H15,A_Scoring_Model!$C$14,IF(M15&gt;$I15,0,A_Scoring_Model!$C$15+(A_Scoring_Model!$C$14-A_Scoring_Model!$C$15)*($I15-M15)/($I15-$H15))))))</f>
        <v/>
      </c>
    </row>
    <row r="16" customFormat="false" ht="23.85" hidden="false" customHeight="false" outlineLevel="0" collapsed="false">
      <c r="A16" s="51" t="str">
        <f aca="false">C_KPI_Benchmark!A16</f>
        <v>1.a-D4-12</v>
      </c>
      <c r="B16" s="52" t="str">
        <f aca="false">C_KPI_Benchmark!D16</f>
        <v>1.a</v>
      </c>
      <c r="C16" s="51" t="str">
        <f aca="false">C_KPI_Benchmark!E16</f>
        <v>NL Req Parsing &amp; Classification Agent</v>
      </c>
      <c r="D16" s="52" t="str">
        <f aca="false">C_KPI_Benchmark!F16</f>
        <v>D4</v>
      </c>
      <c r="E16" s="51" t="str">
        <f aca="false">C_KPI_Benchmark!J16</f>
        <v>Service availability</v>
      </c>
      <c r="F16" s="52" t="str">
        <f aca="false">C_KPI_Benchmark!K16</f>
        <v>%</v>
      </c>
      <c r="G16" s="51" t="str">
        <f aca="false">C_KPI_Benchmark!L16</f>
        <v>Higher is better</v>
      </c>
      <c r="H16" s="53" t="n">
        <f aca="false">C_KPI_Benchmark!N16</f>
        <v>0.995</v>
      </c>
      <c r="I16" s="54" t="n">
        <f aca="false">IF(C_KPI_Benchmark!O16&lt;&gt;"",C_KPI_Benchmark!O16,IF(G16="Higher is better",H16*(1-A_Scoring_Model!$C$16),H16*(1+A_Scoring_Model!$C$16)))</f>
        <v>0.99</v>
      </c>
      <c r="J16" s="55" t="n">
        <v>0.993</v>
      </c>
      <c r="K16" s="55" t="n">
        <v>0.99</v>
      </c>
      <c r="L16" s="55" t="n">
        <v>0.996</v>
      </c>
      <c r="M16" s="55"/>
      <c r="N16" s="56" t="n">
        <f aca="false">IF(J16="","",IF($H16=$I16,IF(OR(AND($G16="Higher is better",J16&gt;=$H16),AND($G16="Lower is better",J16&lt;=$H16)),A_Scoring_Model!$C$14,0),IF($G16="Higher is better",IF(J16&gt;=$H16,A_Scoring_Model!$C$14,IF(J16&lt;$I16,0,A_Scoring_Model!$C$15+(A_Scoring_Model!$C$14-A_Scoring_Model!$C$15)*(J16-$I16)/($H16-$I16))),IF(J16&lt;=$H16,A_Scoring_Model!$C$14,IF(J16&gt;$I16,0,A_Scoring_Model!$C$15+(A_Scoring_Model!$C$14-A_Scoring_Model!$C$15)*($I16-J16)/($I16-$H16))))))</f>
        <v>84</v>
      </c>
      <c r="O16" s="56" t="n">
        <f aca="false">IF(K16="","",IF($H16=$I16,IF(OR(AND($G16="Higher is better",K16&gt;=$H16),AND($G16="Lower is better",K16&lt;=$H16)),A_Scoring_Model!$C$14,0),IF($G16="Higher is better",IF(K16&gt;=$H16,A_Scoring_Model!$C$14,IF(K16&lt;$I16,0,A_Scoring_Model!$C$15+(A_Scoring_Model!$C$14-A_Scoring_Model!$C$15)*(K16-$I16)/($H16-$I16))),IF(K16&lt;=$H16,A_Scoring_Model!$C$14,IF(K16&gt;$I16,0,A_Scoring_Model!$C$15+(A_Scoring_Model!$C$14-A_Scoring_Model!$C$15)*($I16-K16)/($I16-$H16))))))</f>
        <v>60</v>
      </c>
      <c r="P16" s="56" t="n">
        <f aca="false">IF(L16="","",IF($H16=$I16,IF(OR(AND($G16="Higher is better",L16&gt;=$H16),AND($G16="Lower is better",L16&lt;=$H16)),A_Scoring_Model!$C$14,0),IF($G16="Higher is better",IF(L16&gt;=$H16,A_Scoring_Model!$C$14,IF(L16&lt;$I16,0,A_Scoring_Model!$C$15+(A_Scoring_Model!$C$14-A_Scoring_Model!$C$15)*(L16-$I16)/($H16-$I16))),IF(L16&lt;=$H16,A_Scoring_Model!$C$14,IF(L16&gt;$I16,0,A_Scoring_Model!$C$15+(A_Scoring_Model!$C$14-A_Scoring_Model!$C$15)*($I16-L16)/($I16-$H16))))))</f>
        <v>100</v>
      </c>
      <c r="Q16" s="56" t="str">
        <f aca="false">IF(M16="","",IF($H16=$I16,IF(OR(AND($G16="Higher is better",M16&gt;=$H16),AND($G16="Lower is better",M16&lt;=$H16)),A_Scoring_Model!$C$14,0),IF($G16="Higher is better",IF(M16&gt;=$H16,A_Scoring_Model!$C$14,IF(M16&lt;$I16,0,A_Scoring_Model!$C$15+(A_Scoring_Model!$C$14-A_Scoring_Model!$C$15)*(M16-$I16)/($H16-$I16))),IF(M16&lt;=$H16,A_Scoring_Model!$C$14,IF(M16&gt;$I16,0,A_Scoring_Model!$C$15+(A_Scoring_Model!$C$14-A_Scoring_Model!$C$15)*($I16-M16)/($I16-$H16))))))</f>
        <v/>
      </c>
    </row>
    <row r="17" customFormat="false" ht="23.85" hidden="false" customHeight="false" outlineLevel="0" collapsed="false">
      <c r="A17" s="51" t="str">
        <f aca="false">C_KPI_Benchmark!A17</f>
        <v>1.a-D5-13</v>
      </c>
      <c r="B17" s="52" t="str">
        <f aca="false">C_KPI_Benchmark!D17</f>
        <v>1.a</v>
      </c>
      <c r="C17" s="51" t="str">
        <f aca="false">C_KPI_Benchmark!E17</f>
        <v>NL Req Parsing &amp; Classification Agent</v>
      </c>
      <c r="D17" s="52" t="str">
        <f aca="false">C_KPI_Benchmark!F17</f>
        <v>D5</v>
      </c>
      <c r="E17" s="51" t="str">
        <f aca="false">C_KPI_Benchmark!J17</f>
        <v>Manual parsing effort reduction</v>
      </c>
      <c r="F17" s="52" t="str">
        <f aca="false">C_KPI_Benchmark!K17</f>
        <v>%</v>
      </c>
      <c r="G17" s="51" t="str">
        <f aca="false">C_KPI_Benchmark!L17</f>
        <v>Higher is better</v>
      </c>
      <c r="H17" s="53" t="n">
        <f aca="false">C_KPI_Benchmark!N17</f>
        <v>0.6</v>
      </c>
      <c r="I17" s="54" t="n">
        <f aca="false">IF(C_KPI_Benchmark!O17&lt;&gt;"",C_KPI_Benchmark!O17,IF(G17="Higher is better",H17*(1-A_Scoring_Model!$C$16),H17*(1+A_Scoring_Model!$C$16)))</f>
        <v>0.48</v>
      </c>
      <c r="J17" s="55" t="n">
        <v>0.52</v>
      </c>
      <c r="K17" s="55" t="n">
        <v>0.65</v>
      </c>
      <c r="L17" s="55" t="n">
        <v>0.57</v>
      </c>
      <c r="M17" s="55"/>
      <c r="N17" s="56" t="n">
        <f aca="false">IF(J17="","",IF($H17=$I17,IF(OR(AND($G17="Higher is better",J17&gt;=$H17),AND($G17="Lower is better",J17&lt;=$H17)),A_Scoring_Model!$C$14,0),IF($G17="Higher is better",IF(J17&gt;=$H17,A_Scoring_Model!$C$14,IF(J17&lt;$I17,0,A_Scoring_Model!$C$15+(A_Scoring_Model!$C$14-A_Scoring_Model!$C$15)*(J17-$I17)/($H17-$I17))),IF(J17&lt;=$H17,A_Scoring_Model!$C$14,IF(J17&gt;$I17,0,A_Scoring_Model!$C$15+(A_Scoring_Model!$C$14-A_Scoring_Model!$C$15)*($I17-J17)/($I17-$H17))))))</f>
        <v>73.3333333333333</v>
      </c>
      <c r="O17" s="56" t="n">
        <f aca="false">IF(K17="","",IF($H17=$I17,IF(OR(AND($G17="Higher is better",K17&gt;=$H17),AND($G17="Lower is better",K17&lt;=$H17)),A_Scoring_Model!$C$14,0),IF($G17="Higher is better",IF(K17&gt;=$H17,A_Scoring_Model!$C$14,IF(K17&lt;$I17,0,A_Scoring_Model!$C$15+(A_Scoring_Model!$C$14-A_Scoring_Model!$C$15)*(K17-$I17)/($H17-$I17))),IF(K17&lt;=$H17,A_Scoring_Model!$C$14,IF(K17&gt;$I17,0,A_Scoring_Model!$C$15+(A_Scoring_Model!$C$14-A_Scoring_Model!$C$15)*($I17-K17)/($I17-$H17))))))</f>
        <v>100</v>
      </c>
      <c r="P17" s="56" t="n">
        <f aca="false">IF(L17="","",IF($H17=$I17,IF(OR(AND($G17="Higher is better",L17&gt;=$H17),AND($G17="Lower is better",L17&lt;=$H17)),A_Scoring_Model!$C$14,0),IF($G17="Higher is better",IF(L17&gt;=$H17,A_Scoring_Model!$C$14,IF(L17&lt;$I17,0,A_Scoring_Model!$C$15+(A_Scoring_Model!$C$14-A_Scoring_Model!$C$15)*(L17-$I17)/($H17-$I17))),IF(L17&lt;=$H17,A_Scoring_Model!$C$14,IF(L17&gt;$I17,0,A_Scoring_Model!$C$15+(A_Scoring_Model!$C$14-A_Scoring_Model!$C$15)*($I17-L17)/($I17-$H17))))))</f>
        <v>90</v>
      </c>
      <c r="Q17" s="56" t="str">
        <f aca="false">IF(M17="","",IF($H17=$I17,IF(OR(AND($G17="Higher is better",M17&gt;=$H17),AND($G17="Lower is better",M17&lt;=$H17)),A_Scoring_Model!$C$14,0),IF($G17="Higher is better",IF(M17&gt;=$H17,A_Scoring_Model!$C$14,IF(M17&lt;$I17,0,A_Scoring_Model!$C$15+(A_Scoring_Model!$C$14-A_Scoring_Model!$C$15)*(M17-$I17)/($H17-$I17))),IF(M17&lt;=$H17,A_Scoring_Model!$C$14,IF(M17&gt;$I17,0,A_Scoring_Model!$C$15+(A_Scoring_Model!$C$14-A_Scoring_Model!$C$15)*($I17-M17)/($I17-$H17))))))</f>
        <v/>
      </c>
    </row>
    <row r="18" customFormat="false" ht="23.85" hidden="false" customHeight="false" outlineLevel="0" collapsed="false">
      <c r="A18" s="51" t="str">
        <f aca="false">C_KPI_Benchmark!A18</f>
        <v>1.a-D5-14</v>
      </c>
      <c r="B18" s="52" t="str">
        <f aca="false">C_KPI_Benchmark!D18</f>
        <v>1.a</v>
      </c>
      <c r="C18" s="51" t="str">
        <f aca="false">C_KPI_Benchmark!E18</f>
        <v>NL Req Parsing &amp; Classification Agent</v>
      </c>
      <c r="D18" s="52" t="str">
        <f aca="false">C_KPI_Benchmark!F18</f>
        <v>D5</v>
      </c>
      <c r="E18" s="51" t="str">
        <f aca="false">C_KPI_Benchmark!J18</f>
        <v>SME acceptance rate</v>
      </c>
      <c r="F18" s="52" t="str">
        <f aca="false">C_KPI_Benchmark!K18</f>
        <v>%</v>
      </c>
      <c r="G18" s="51" t="str">
        <f aca="false">C_KPI_Benchmark!L18</f>
        <v>Higher is better</v>
      </c>
      <c r="H18" s="53" t="n">
        <f aca="false">C_KPI_Benchmark!N18</f>
        <v>0.85</v>
      </c>
      <c r="I18" s="54" t="n">
        <f aca="false">IF(C_KPI_Benchmark!O18&lt;&gt;"",C_KPI_Benchmark!O18,IF(G18="Higher is better",H18*(1-A_Scoring_Model!$C$16),H18*(1+A_Scoring_Model!$C$16)))</f>
        <v>0.68</v>
      </c>
      <c r="J18" s="55" t="n">
        <v>0.8</v>
      </c>
      <c r="K18" s="55" t="n">
        <v>0.88</v>
      </c>
      <c r="L18" s="55" t="n">
        <v>0.84</v>
      </c>
      <c r="M18" s="55"/>
      <c r="N18" s="56" t="n">
        <f aca="false">IF(J18="","",IF($H18=$I18,IF(OR(AND($G18="Higher is better",J18&gt;=$H18),AND($G18="Lower is better",J18&lt;=$H18)),A_Scoring_Model!$C$14,0),IF($G18="Higher is better",IF(J18&gt;=$H18,A_Scoring_Model!$C$14,IF(J18&lt;$I18,0,A_Scoring_Model!$C$15+(A_Scoring_Model!$C$14-A_Scoring_Model!$C$15)*(J18-$I18)/($H18-$I18))),IF(J18&lt;=$H18,A_Scoring_Model!$C$14,IF(J18&gt;$I18,0,A_Scoring_Model!$C$15+(A_Scoring_Model!$C$14-A_Scoring_Model!$C$15)*($I18-J18)/($I18-$H18))))))</f>
        <v>88.2352941176471</v>
      </c>
      <c r="O18" s="56" t="n">
        <f aca="false">IF(K18="","",IF($H18=$I18,IF(OR(AND($G18="Higher is better",K18&gt;=$H18),AND($G18="Lower is better",K18&lt;=$H18)),A_Scoring_Model!$C$14,0),IF($G18="Higher is better",IF(K18&gt;=$H18,A_Scoring_Model!$C$14,IF(K18&lt;$I18,0,A_Scoring_Model!$C$15+(A_Scoring_Model!$C$14-A_Scoring_Model!$C$15)*(K18-$I18)/($H18-$I18))),IF(K18&lt;=$H18,A_Scoring_Model!$C$14,IF(K18&gt;$I18,0,A_Scoring_Model!$C$15+(A_Scoring_Model!$C$14-A_Scoring_Model!$C$15)*($I18-K18)/($I18-$H18))))))</f>
        <v>100</v>
      </c>
      <c r="P18" s="56" t="n">
        <f aca="false">IF(L18="","",IF($H18=$I18,IF(OR(AND($G18="Higher is better",L18&gt;=$H18),AND($G18="Lower is better",L18&lt;=$H18)),A_Scoring_Model!$C$14,0),IF($G18="Higher is better",IF(L18&gt;=$H18,A_Scoring_Model!$C$14,IF(L18&lt;$I18,0,A_Scoring_Model!$C$15+(A_Scoring_Model!$C$14-A_Scoring_Model!$C$15)*(L18-$I18)/($H18-$I18))),IF(L18&lt;=$H18,A_Scoring_Model!$C$14,IF(L18&gt;$I18,0,A_Scoring_Model!$C$15+(A_Scoring_Model!$C$14-A_Scoring_Model!$C$15)*($I18-L18)/($I18-$H18))))))</f>
        <v>97.6470588235294</v>
      </c>
      <c r="Q18" s="56" t="str">
        <f aca="false">IF(M18="","",IF($H18=$I18,IF(OR(AND($G18="Higher is better",M18&gt;=$H18),AND($G18="Lower is better",M18&lt;=$H18)),A_Scoring_Model!$C$14,0),IF($G18="Higher is better",IF(M18&gt;=$H18,A_Scoring_Model!$C$14,IF(M18&lt;$I18,0,A_Scoring_Model!$C$15+(A_Scoring_Model!$C$14-A_Scoring_Model!$C$15)*(M18-$I18)/($H18-$I18))),IF(M18&lt;=$H18,A_Scoring_Model!$C$14,IF(M18&gt;$I18,0,A_Scoring_Model!$C$15+(A_Scoring_Model!$C$14-A_Scoring_Model!$C$15)*($I18-M18)/($I18-$H18))))))</f>
        <v/>
      </c>
    </row>
    <row r="19" customFormat="false" ht="23.85" hidden="false" customHeight="false" outlineLevel="0" collapsed="false">
      <c r="A19" s="51" t="str">
        <f aca="false">C_KPI_Benchmark!A19</f>
        <v>1.a-D6-15</v>
      </c>
      <c r="B19" s="52" t="str">
        <f aca="false">C_KPI_Benchmark!D19</f>
        <v>1.a</v>
      </c>
      <c r="C19" s="51" t="str">
        <f aca="false">C_KPI_Benchmark!E19</f>
        <v>NL Req Parsing &amp; Classification Agent</v>
      </c>
      <c r="D19" s="52" t="str">
        <f aca="false">C_KPI_Benchmark!F19</f>
        <v>D6</v>
      </c>
      <c r="E19" s="51" t="str">
        <f aca="false">C_KPI_Benchmark!J19</f>
        <v>Solution code test coverage</v>
      </c>
      <c r="F19" s="52" t="str">
        <f aca="false">C_KPI_Benchmark!K19</f>
        <v>%</v>
      </c>
      <c r="G19" s="51" t="str">
        <f aca="false">C_KPI_Benchmark!L19</f>
        <v>Higher is better</v>
      </c>
      <c r="H19" s="53" t="n">
        <f aca="false">C_KPI_Benchmark!N19</f>
        <v>0.8</v>
      </c>
      <c r="I19" s="54" t="n">
        <f aca="false">IF(C_KPI_Benchmark!O19&lt;&gt;"",C_KPI_Benchmark!O19,IF(G19="Higher is better",H19*(1-A_Scoring_Model!$C$16),H19*(1+A_Scoring_Model!$C$16)))</f>
        <v>0.6</v>
      </c>
      <c r="J19" s="55" t="n">
        <v>0.7</v>
      </c>
      <c r="K19" s="55" t="n">
        <v>0.65</v>
      </c>
      <c r="L19" s="55" t="n">
        <v>0.78</v>
      </c>
      <c r="M19" s="55"/>
      <c r="N19" s="56" t="n">
        <f aca="false">IF(J19="","",IF($H19=$I19,IF(OR(AND($G19="Higher is better",J19&gt;=$H19),AND($G19="Lower is better",J19&lt;=$H19)),A_Scoring_Model!$C$14,0),IF($G19="Higher is better",IF(J19&gt;=$H19,A_Scoring_Model!$C$14,IF(J19&lt;$I19,0,A_Scoring_Model!$C$15+(A_Scoring_Model!$C$14-A_Scoring_Model!$C$15)*(J19-$I19)/($H19-$I19))),IF(J19&lt;=$H19,A_Scoring_Model!$C$14,IF(J19&gt;$I19,0,A_Scoring_Model!$C$15+(A_Scoring_Model!$C$14-A_Scoring_Model!$C$15)*($I19-J19)/($I19-$H19))))))</f>
        <v>80</v>
      </c>
      <c r="O19" s="56" t="n">
        <f aca="false">IF(K19="","",IF($H19=$I19,IF(OR(AND($G19="Higher is better",K19&gt;=$H19),AND($G19="Lower is better",K19&lt;=$H19)),A_Scoring_Model!$C$14,0),IF($G19="Higher is better",IF(K19&gt;=$H19,A_Scoring_Model!$C$14,IF(K19&lt;$I19,0,A_Scoring_Model!$C$15+(A_Scoring_Model!$C$14-A_Scoring_Model!$C$15)*(K19-$I19)/($H19-$I19))),IF(K19&lt;=$H19,A_Scoring_Model!$C$14,IF(K19&gt;$I19,0,A_Scoring_Model!$C$15+(A_Scoring_Model!$C$14-A_Scoring_Model!$C$15)*($I19-K19)/($I19-$H19))))))</f>
        <v>70</v>
      </c>
      <c r="P19" s="56" t="n">
        <f aca="false">IF(L19="","",IF($H19=$I19,IF(OR(AND($G19="Higher is better",L19&gt;=$H19),AND($G19="Lower is better",L19&lt;=$H19)),A_Scoring_Model!$C$14,0),IF($G19="Higher is better",IF(L19&gt;=$H19,A_Scoring_Model!$C$14,IF(L19&lt;$I19,0,A_Scoring_Model!$C$15+(A_Scoring_Model!$C$14-A_Scoring_Model!$C$15)*(L19-$I19)/($H19-$I19))),IF(L19&lt;=$H19,A_Scoring_Model!$C$14,IF(L19&gt;$I19,0,A_Scoring_Model!$C$15+(A_Scoring_Model!$C$14-A_Scoring_Model!$C$15)*($I19-L19)/($I19-$H19))))))</f>
        <v>96</v>
      </c>
      <c r="Q19" s="56" t="str">
        <f aca="false">IF(M19="","",IF($H19=$I19,IF(OR(AND($G19="Higher is better",M19&gt;=$H19),AND($G19="Lower is better",M19&lt;=$H19)),A_Scoring_Model!$C$14,0),IF($G19="Higher is better",IF(M19&gt;=$H19,A_Scoring_Model!$C$14,IF(M19&lt;$I19,0,A_Scoring_Model!$C$15+(A_Scoring_Model!$C$14-A_Scoring_Model!$C$15)*(M19-$I19)/($H19-$I19))),IF(M19&lt;=$H19,A_Scoring_Model!$C$14,IF(M19&gt;$I19,0,A_Scoring_Model!$C$15+(A_Scoring_Model!$C$14-A_Scoring_Model!$C$15)*($I19-M19)/($I19-$H19))))))</f>
        <v/>
      </c>
    </row>
    <row r="20" customFormat="false" ht="23.85" hidden="false" customHeight="false" outlineLevel="0" collapsed="false">
      <c r="A20" s="51" t="str">
        <f aca="false">C_KPI_Benchmark!A20</f>
        <v>1.a-D6-16</v>
      </c>
      <c r="B20" s="52" t="str">
        <f aca="false">C_KPI_Benchmark!D20</f>
        <v>1.a</v>
      </c>
      <c r="C20" s="51" t="str">
        <f aca="false">C_KPI_Benchmark!E20</f>
        <v>NL Req Parsing &amp; Classification Agent</v>
      </c>
      <c r="D20" s="52" t="str">
        <f aca="false">C_KPI_Benchmark!F20</f>
        <v>D6</v>
      </c>
      <c r="E20" s="51" t="str">
        <f aca="false">C_KPI_Benchmark!J20</f>
        <v>Review Shield critical findings</v>
      </c>
      <c r="F20" s="52" t="str">
        <f aca="false">C_KPI_Benchmark!K20</f>
        <v>count</v>
      </c>
      <c r="G20" s="51" t="str">
        <f aca="false">C_KPI_Benchmark!L20</f>
        <v>Lower is better</v>
      </c>
      <c r="H20" s="62" t="n">
        <f aca="false">C_KPI_Benchmark!N20</f>
        <v>0</v>
      </c>
      <c r="I20" s="63" t="n">
        <f aca="false">IF(C_KPI_Benchmark!O20&lt;&gt;"",C_KPI_Benchmark!O20,IF(G20="Higher is better",H20*(1-A_Scoring_Model!$C$16),H20*(1+A_Scoring_Model!$C$16)))</f>
        <v>0</v>
      </c>
      <c r="J20" s="64" t="n">
        <v>0</v>
      </c>
      <c r="K20" s="64" t="n">
        <v>2</v>
      </c>
      <c r="L20" s="64" t="n">
        <v>0</v>
      </c>
      <c r="M20" s="64"/>
      <c r="N20" s="56" t="n">
        <f aca="false">IF(J20="","",IF($H20=$I20,IF(OR(AND($G20="Higher is better",J20&gt;=$H20),AND($G20="Lower is better",J20&lt;=$H20)),A_Scoring_Model!$C$14,0),IF($G20="Higher is better",IF(J20&gt;=$H20,A_Scoring_Model!$C$14,IF(J20&lt;$I20,0,A_Scoring_Model!$C$15+(A_Scoring_Model!$C$14-A_Scoring_Model!$C$15)*(J20-$I20)/($H20-$I20))),IF(J20&lt;=$H20,A_Scoring_Model!$C$14,IF(J20&gt;$I20,0,A_Scoring_Model!$C$15+(A_Scoring_Model!$C$14-A_Scoring_Model!$C$15)*($I20-J20)/($I20-$H20))))))</f>
        <v>100</v>
      </c>
      <c r="O20" s="56" t="n">
        <f aca="false">IF(K20="","",IF($H20=$I20,IF(OR(AND($G20="Higher is better",K20&gt;=$H20),AND($G20="Lower is better",K20&lt;=$H20)),A_Scoring_Model!$C$14,0),IF($G20="Higher is better",IF(K20&gt;=$H20,A_Scoring_Model!$C$14,IF(K20&lt;$I20,0,A_Scoring_Model!$C$15+(A_Scoring_Model!$C$14-A_Scoring_Model!$C$15)*(K20-$I20)/($H20-$I20))),IF(K20&lt;=$H20,A_Scoring_Model!$C$14,IF(K20&gt;$I20,0,A_Scoring_Model!$C$15+(A_Scoring_Model!$C$14-A_Scoring_Model!$C$15)*($I20-K20)/($I20-$H20))))))</f>
        <v>0</v>
      </c>
      <c r="P20" s="56" t="n">
        <f aca="false">IF(L20="","",IF($H20=$I20,IF(OR(AND($G20="Higher is better",L20&gt;=$H20),AND($G20="Lower is better",L20&lt;=$H20)),A_Scoring_Model!$C$14,0),IF($G20="Higher is better",IF(L20&gt;=$H20,A_Scoring_Model!$C$14,IF(L20&lt;$I20,0,A_Scoring_Model!$C$15+(A_Scoring_Model!$C$14-A_Scoring_Model!$C$15)*(L20-$I20)/($H20-$I20))),IF(L20&lt;=$H20,A_Scoring_Model!$C$14,IF(L20&gt;$I20,0,A_Scoring_Model!$C$15+(A_Scoring_Model!$C$14-A_Scoring_Model!$C$15)*($I20-L20)/($I20-$H20))))))</f>
        <v>100</v>
      </c>
      <c r="Q20" s="56" t="str">
        <f aca="false">IF(M20="","",IF($H20=$I20,IF(OR(AND($G20="Higher is better",M20&gt;=$H20),AND($G20="Lower is better",M20&lt;=$H20)),A_Scoring_Model!$C$14,0),IF($G20="Higher is better",IF(M20&gt;=$H20,A_Scoring_Model!$C$14,IF(M20&lt;$I20,0,A_Scoring_Model!$C$15+(A_Scoring_Model!$C$14-A_Scoring_Model!$C$15)*(M20-$I20)/($H20-$I20))),IF(M20&lt;=$H20,A_Scoring_Model!$C$14,IF(M20&gt;$I20,0,A_Scoring_Model!$C$15+(A_Scoring_Model!$C$14-A_Scoring_Model!$C$15)*($I20-M20)/($I20-$H20))))))</f>
        <v/>
      </c>
    </row>
    <row r="21" customFormat="false" ht="23.85" hidden="false" customHeight="false" outlineLevel="0" collapsed="false">
      <c r="A21" s="51" t="str">
        <f aca="false">C_KPI_Benchmark!A21</f>
        <v>1.a-D6-17</v>
      </c>
      <c r="B21" s="52" t="str">
        <f aca="false">C_KPI_Benchmark!D21</f>
        <v>1.a</v>
      </c>
      <c r="C21" s="51" t="str">
        <f aca="false">C_KPI_Benchmark!E21</f>
        <v>NL Req Parsing &amp; Classification Agent</v>
      </c>
      <c r="D21" s="52" t="str">
        <f aca="false">C_KPI_Benchmark!F21</f>
        <v>D6</v>
      </c>
      <c r="E21" s="51" t="str">
        <f aca="false">C_KPI_Benchmark!J21</f>
        <v>SAST high findings and exposed secrets</v>
      </c>
      <c r="F21" s="52" t="str">
        <f aca="false">C_KPI_Benchmark!K21</f>
        <v>count</v>
      </c>
      <c r="G21" s="51" t="str">
        <f aca="false">C_KPI_Benchmark!L21</f>
        <v>Lower is better</v>
      </c>
      <c r="H21" s="62" t="n">
        <f aca="false">C_KPI_Benchmark!N21</f>
        <v>0</v>
      </c>
      <c r="I21" s="63" t="n">
        <f aca="false">IF(C_KPI_Benchmark!O21&lt;&gt;"",C_KPI_Benchmark!O21,IF(G21="Higher is better",H21*(1-A_Scoring_Model!$C$16),H21*(1+A_Scoring_Model!$C$16)))</f>
        <v>0</v>
      </c>
      <c r="J21" s="64" t="n">
        <v>0</v>
      </c>
      <c r="K21" s="64" t="n">
        <v>1</v>
      </c>
      <c r="L21" s="64" t="n">
        <v>0</v>
      </c>
      <c r="M21" s="64"/>
      <c r="N21" s="56" t="n">
        <f aca="false">IF(J21="","",IF($H21=$I21,IF(OR(AND($G21="Higher is better",J21&gt;=$H21),AND($G21="Lower is better",J21&lt;=$H21)),A_Scoring_Model!$C$14,0),IF($G21="Higher is better",IF(J21&gt;=$H21,A_Scoring_Model!$C$14,IF(J21&lt;$I21,0,A_Scoring_Model!$C$15+(A_Scoring_Model!$C$14-A_Scoring_Model!$C$15)*(J21-$I21)/($H21-$I21))),IF(J21&lt;=$H21,A_Scoring_Model!$C$14,IF(J21&gt;$I21,0,A_Scoring_Model!$C$15+(A_Scoring_Model!$C$14-A_Scoring_Model!$C$15)*($I21-J21)/($I21-$H21))))))</f>
        <v>100</v>
      </c>
      <c r="O21" s="56" t="n">
        <f aca="false">IF(K21="","",IF($H21=$I21,IF(OR(AND($G21="Higher is better",K21&gt;=$H21),AND($G21="Lower is better",K21&lt;=$H21)),A_Scoring_Model!$C$14,0),IF($G21="Higher is better",IF(K21&gt;=$H21,A_Scoring_Model!$C$14,IF(K21&lt;$I21,0,A_Scoring_Model!$C$15+(A_Scoring_Model!$C$14-A_Scoring_Model!$C$15)*(K21-$I21)/($H21-$I21))),IF(K21&lt;=$H21,A_Scoring_Model!$C$14,IF(K21&gt;$I21,0,A_Scoring_Model!$C$15+(A_Scoring_Model!$C$14-A_Scoring_Model!$C$15)*($I21-K21)/($I21-$H21))))))</f>
        <v>0</v>
      </c>
      <c r="P21" s="56" t="n">
        <f aca="false">IF(L21="","",IF($H21=$I21,IF(OR(AND($G21="Higher is better",L21&gt;=$H21),AND($G21="Lower is better",L21&lt;=$H21)),A_Scoring_Model!$C$14,0),IF($G21="Higher is better",IF(L21&gt;=$H21,A_Scoring_Model!$C$14,IF(L21&lt;$I21,0,A_Scoring_Model!$C$15+(A_Scoring_Model!$C$14-A_Scoring_Model!$C$15)*(L21-$I21)/($H21-$I21))),IF(L21&lt;=$H21,A_Scoring_Model!$C$14,IF(L21&gt;$I21,0,A_Scoring_Model!$C$15+(A_Scoring_Model!$C$14-A_Scoring_Model!$C$15)*($I21-L21)/($I21-$H21))))))</f>
        <v>100</v>
      </c>
      <c r="Q21" s="56" t="str">
        <f aca="false">IF(M21="","",IF($H21=$I21,IF(OR(AND($G21="Higher is better",M21&gt;=$H21),AND($G21="Lower is better",M21&lt;=$H21)),A_Scoring_Model!$C$14,0),IF($G21="Higher is better",IF(M21&gt;=$H21,A_Scoring_Model!$C$14,IF(M21&lt;$I21,0,A_Scoring_Model!$C$15+(A_Scoring_Model!$C$14-A_Scoring_Model!$C$15)*(M21-$I21)/($H21-$I21))),IF(M21&lt;=$H21,A_Scoring_Model!$C$14,IF(M21&gt;$I21,0,A_Scoring_Model!$C$15+(A_Scoring_Model!$C$14-A_Scoring_Model!$C$15)*($I21-M21)/($I21-$H21))))))</f>
        <v/>
      </c>
    </row>
    <row r="22" customFormat="false" ht="23.85" hidden="false" customHeight="false" outlineLevel="0" collapsed="false">
      <c r="A22" s="51" t="str">
        <f aca="false">C_KPI_Benchmark!A22</f>
        <v>1.a-D6-18</v>
      </c>
      <c r="B22" s="52" t="str">
        <f aca="false">C_KPI_Benchmark!D22</f>
        <v>1.a</v>
      </c>
      <c r="C22" s="51" t="str">
        <f aca="false">C_KPI_Benchmark!E22</f>
        <v>NL Req Parsing &amp; Classification Agent</v>
      </c>
      <c r="D22" s="52" t="str">
        <f aca="false">C_KPI_Benchmark!F22</f>
        <v>D6</v>
      </c>
      <c r="E22" s="51" t="str">
        <f aca="false">C_KPI_Benchmark!J22</f>
        <v>Documentation pack complete (README, I/O contract, model card, runbook)</v>
      </c>
      <c r="F22" s="52" t="str">
        <f aca="false">C_KPI_Benchmark!K22</f>
        <v>Yes/No</v>
      </c>
      <c r="G22" s="51" t="str">
        <f aca="false">C_KPI_Benchmark!L22</f>
        <v>Higher is better</v>
      </c>
      <c r="H22" s="60" t="n">
        <f aca="false">C_KPI_Benchmark!N22</f>
        <v>1</v>
      </c>
      <c r="I22" s="56" t="n">
        <f aca="false">IF(C_KPI_Benchmark!O22&lt;&gt;"",C_KPI_Benchmark!O22,IF(G22="Higher is better",H22*(1-A_Scoring_Model!$C$16),H22*(1+A_Scoring_Model!$C$16)))</f>
        <v>0.8</v>
      </c>
      <c r="J22" s="61" t="n">
        <v>1</v>
      </c>
      <c r="K22" s="61" t="n">
        <v>1</v>
      </c>
      <c r="L22" s="61" t="n">
        <v>1</v>
      </c>
      <c r="M22" s="61"/>
      <c r="N22" s="56" t="n">
        <f aca="false">IF(J22="","",IF($H22=$I22,IF(OR(AND($G22="Higher is better",J22&gt;=$H22),AND($G22="Lower is better",J22&lt;=$H22)),A_Scoring_Model!$C$14,0),IF($G22="Higher is better",IF(J22&gt;=$H22,A_Scoring_Model!$C$14,IF(J22&lt;$I22,0,A_Scoring_Model!$C$15+(A_Scoring_Model!$C$14-A_Scoring_Model!$C$15)*(J22-$I22)/($H22-$I22))),IF(J22&lt;=$H22,A_Scoring_Model!$C$14,IF(J22&gt;$I22,0,A_Scoring_Model!$C$15+(A_Scoring_Model!$C$14-A_Scoring_Model!$C$15)*($I22-J22)/($I22-$H22))))))</f>
        <v>100</v>
      </c>
      <c r="O22" s="56" t="n">
        <f aca="false">IF(K22="","",IF($H22=$I22,IF(OR(AND($G22="Higher is better",K22&gt;=$H22),AND($G22="Lower is better",K22&lt;=$H22)),A_Scoring_Model!$C$14,0),IF($G22="Higher is better",IF(K22&gt;=$H22,A_Scoring_Model!$C$14,IF(K22&lt;$I22,0,A_Scoring_Model!$C$15+(A_Scoring_Model!$C$14-A_Scoring_Model!$C$15)*(K22-$I22)/($H22-$I22))),IF(K22&lt;=$H22,A_Scoring_Model!$C$14,IF(K22&gt;$I22,0,A_Scoring_Model!$C$15+(A_Scoring_Model!$C$14-A_Scoring_Model!$C$15)*($I22-K22)/($I22-$H22))))))</f>
        <v>100</v>
      </c>
      <c r="P22" s="56" t="n">
        <f aca="false">IF(L22="","",IF($H22=$I22,IF(OR(AND($G22="Higher is better",L22&gt;=$H22),AND($G22="Lower is better",L22&lt;=$H22)),A_Scoring_Model!$C$14,0),IF($G22="Higher is better",IF(L22&gt;=$H22,A_Scoring_Model!$C$14,IF(L22&lt;$I22,0,A_Scoring_Model!$C$15+(A_Scoring_Model!$C$14-A_Scoring_Model!$C$15)*(L22-$I22)/($H22-$I22))),IF(L22&lt;=$H22,A_Scoring_Model!$C$14,IF(L22&gt;$I22,0,A_Scoring_Model!$C$15+(A_Scoring_Model!$C$14-A_Scoring_Model!$C$15)*($I22-L22)/($I22-$H22))))))</f>
        <v>100</v>
      </c>
      <c r="Q22" s="56" t="str">
        <f aca="false">IF(M22="","",IF($H22=$I22,IF(OR(AND($G22="Higher is better",M22&gt;=$H22),AND($G22="Lower is better",M22&lt;=$H22)),A_Scoring_Model!$C$14,0),IF($G22="Higher is better",IF(M22&gt;=$H22,A_Scoring_Model!$C$14,IF(M22&lt;$I22,0,A_Scoring_Model!$C$15+(A_Scoring_Model!$C$14-A_Scoring_Model!$C$15)*(M22-$I22)/($H22-$I22))),IF(M22&lt;=$H22,A_Scoring_Model!$C$14,IF(M22&gt;$I22,0,A_Scoring_Model!$C$15+(A_Scoring_Model!$C$14-A_Scoring_Model!$C$15)*($I22-M22)/($I22-$H22))))))</f>
        <v/>
      </c>
    </row>
    <row r="23" customFormat="false" ht="23.85" hidden="false" customHeight="false" outlineLevel="0" collapsed="false">
      <c r="A23" s="51" t="str">
        <f aca="false">C_KPI_Benchmark!A23</f>
        <v>1.a-D6-19</v>
      </c>
      <c r="B23" s="52" t="str">
        <f aca="false">C_KPI_Benchmark!D23</f>
        <v>1.a</v>
      </c>
      <c r="C23" s="51" t="str">
        <f aca="false">C_KPI_Benchmark!E23</f>
        <v>NL Req Parsing &amp; Classification Agent</v>
      </c>
      <c r="D23" s="52" t="str">
        <f aca="false">C_KPI_Benchmark!F23</f>
        <v>D6</v>
      </c>
      <c r="E23" s="51" t="str">
        <f aca="false">C_KPI_Benchmark!J23</f>
        <v>Named owner and support SLA</v>
      </c>
      <c r="F23" s="52" t="str">
        <f aca="false">C_KPI_Benchmark!K23</f>
        <v>Yes/No</v>
      </c>
      <c r="G23" s="51" t="str">
        <f aca="false">C_KPI_Benchmark!L23</f>
        <v>Higher is better</v>
      </c>
      <c r="H23" s="60" t="n">
        <f aca="false">C_KPI_Benchmark!N23</f>
        <v>1</v>
      </c>
      <c r="I23" s="56" t="n">
        <f aca="false">IF(C_KPI_Benchmark!O23&lt;&gt;"",C_KPI_Benchmark!O23,IF(G23="Higher is better",H23*(1-A_Scoring_Model!$C$16),H23*(1+A_Scoring_Model!$C$16)))</f>
        <v>0.8</v>
      </c>
      <c r="J23" s="61" t="n">
        <v>1</v>
      </c>
      <c r="K23" s="61" t="n">
        <v>1</v>
      </c>
      <c r="L23" s="61" t="n">
        <v>1</v>
      </c>
      <c r="M23" s="61"/>
      <c r="N23" s="56" t="n">
        <f aca="false">IF(J23="","",IF($H23=$I23,IF(OR(AND($G23="Higher is better",J23&gt;=$H23),AND($G23="Lower is better",J23&lt;=$H23)),A_Scoring_Model!$C$14,0),IF($G23="Higher is better",IF(J23&gt;=$H23,A_Scoring_Model!$C$14,IF(J23&lt;$I23,0,A_Scoring_Model!$C$15+(A_Scoring_Model!$C$14-A_Scoring_Model!$C$15)*(J23-$I23)/($H23-$I23))),IF(J23&lt;=$H23,A_Scoring_Model!$C$14,IF(J23&gt;$I23,0,A_Scoring_Model!$C$15+(A_Scoring_Model!$C$14-A_Scoring_Model!$C$15)*($I23-J23)/($I23-$H23))))))</f>
        <v>100</v>
      </c>
      <c r="O23" s="56" t="n">
        <f aca="false">IF(K23="","",IF($H23=$I23,IF(OR(AND($G23="Higher is better",K23&gt;=$H23),AND($G23="Lower is better",K23&lt;=$H23)),A_Scoring_Model!$C$14,0),IF($G23="Higher is better",IF(K23&gt;=$H23,A_Scoring_Model!$C$14,IF(K23&lt;$I23,0,A_Scoring_Model!$C$15+(A_Scoring_Model!$C$14-A_Scoring_Model!$C$15)*(K23-$I23)/($H23-$I23))),IF(K23&lt;=$H23,A_Scoring_Model!$C$14,IF(K23&gt;$I23,0,A_Scoring_Model!$C$15+(A_Scoring_Model!$C$14-A_Scoring_Model!$C$15)*($I23-K23)/($I23-$H23))))))</f>
        <v>100</v>
      </c>
      <c r="P23" s="56" t="n">
        <f aca="false">IF(L23="","",IF($H23=$I23,IF(OR(AND($G23="Higher is better",L23&gt;=$H23),AND($G23="Lower is better",L23&lt;=$H23)),A_Scoring_Model!$C$14,0),IF($G23="Higher is better",IF(L23&gt;=$H23,A_Scoring_Model!$C$14,IF(L23&lt;$I23,0,A_Scoring_Model!$C$15+(A_Scoring_Model!$C$14-A_Scoring_Model!$C$15)*(L23-$I23)/($H23-$I23))),IF(L23&lt;=$H23,A_Scoring_Model!$C$14,IF(L23&gt;$I23,0,A_Scoring_Model!$C$15+(A_Scoring_Model!$C$14-A_Scoring_Model!$C$15)*($I23-L23)/($I23-$H23))))))</f>
        <v>100</v>
      </c>
      <c r="Q23" s="56" t="str">
        <f aca="false">IF(M23="","",IF($H23=$I23,IF(OR(AND($G23="Higher is better",M23&gt;=$H23),AND($G23="Lower is better",M23&lt;=$H23)),A_Scoring_Model!$C$14,0),IF($G23="Higher is better",IF(M23&gt;=$H23,A_Scoring_Model!$C$14,IF(M23&lt;$I23,0,A_Scoring_Model!$C$15+(A_Scoring_Model!$C$14-A_Scoring_Model!$C$15)*(M23-$I23)/($H23-$I23))),IF(M23&lt;=$H23,A_Scoring_Model!$C$14,IF(M23&gt;$I23,0,A_Scoring_Model!$C$15+(A_Scoring_Model!$C$14-A_Scoring_Model!$C$15)*($I23-M23)/($I23-$H23))))))</f>
        <v/>
      </c>
    </row>
    <row r="24" customFormat="false" ht="15" hidden="false" customHeight="false" outlineLevel="0" collapsed="false">
      <c r="A24" s="51" t="str">
        <f aca="false">C_KPI_Benchmark!A24</f>
        <v>1.b-D1-01</v>
      </c>
      <c r="B24" s="52" t="str">
        <f aca="false">C_KPI_Benchmark!D24</f>
        <v>1.b</v>
      </c>
      <c r="C24" s="51" t="str">
        <f aca="false">C_KPI_Benchmark!E24</f>
        <v>Feasibility &amp; Quality Analyzer</v>
      </c>
      <c r="D24" s="52" t="str">
        <f aca="false">C_KPI_Benchmark!F24</f>
        <v>D1</v>
      </c>
      <c r="E24" s="51" t="str">
        <f aca="false">C_KPI_Benchmark!J24</f>
        <v>Requirement-defect detection precision</v>
      </c>
      <c r="F24" s="52" t="str">
        <f aca="false">C_KPI_Benchmark!K24</f>
        <v>ratio</v>
      </c>
      <c r="G24" s="51" t="str">
        <f aca="false">C_KPI_Benchmark!L24</f>
        <v>Higher is better</v>
      </c>
      <c r="H24" s="57" t="n">
        <f aca="false">C_KPI_Benchmark!N24</f>
        <v>0.85</v>
      </c>
      <c r="I24" s="58" t="n">
        <f aca="false">IF(C_KPI_Benchmark!O24&lt;&gt;"",C_KPI_Benchmark!O24,IF(G24="Higher is better",H24*(1-A_Scoring_Model!$C$16),H24*(1+A_Scoring_Model!$C$16)))</f>
        <v>0.75</v>
      </c>
      <c r="J24" s="59"/>
      <c r="K24" s="59"/>
      <c r="L24" s="59"/>
      <c r="M24" s="59"/>
      <c r="N24" s="56" t="str">
        <f aca="false">IF(J24="","",IF($H24=$I24,IF(OR(AND($G24="Higher is better",J24&gt;=$H24),AND($G24="Lower is better",J24&lt;=$H24)),A_Scoring_Model!$C$14,0),IF($G24="Higher is better",IF(J24&gt;=$H24,A_Scoring_Model!$C$14,IF(J24&lt;$I24,0,A_Scoring_Model!$C$15+(A_Scoring_Model!$C$14-A_Scoring_Model!$C$15)*(J24-$I24)/($H24-$I24))),IF(J24&lt;=$H24,A_Scoring_Model!$C$14,IF(J24&gt;$I24,0,A_Scoring_Model!$C$15+(A_Scoring_Model!$C$14-A_Scoring_Model!$C$15)*($I24-J24)/($I24-$H24))))))</f>
        <v/>
      </c>
      <c r="O24" s="56" t="str">
        <f aca="false">IF(K24="","",IF($H24=$I24,IF(OR(AND($G24="Higher is better",K24&gt;=$H24),AND($G24="Lower is better",K24&lt;=$H24)),A_Scoring_Model!$C$14,0),IF($G24="Higher is better",IF(K24&gt;=$H24,A_Scoring_Model!$C$14,IF(K24&lt;$I24,0,A_Scoring_Model!$C$15+(A_Scoring_Model!$C$14-A_Scoring_Model!$C$15)*(K24-$I24)/($H24-$I24))),IF(K24&lt;=$H24,A_Scoring_Model!$C$14,IF(K24&gt;$I24,0,A_Scoring_Model!$C$15+(A_Scoring_Model!$C$14-A_Scoring_Model!$C$15)*($I24-K24)/($I24-$H24))))))</f>
        <v/>
      </c>
      <c r="P24" s="56" t="str">
        <f aca="false">IF(L24="","",IF($H24=$I24,IF(OR(AND($G24="Higher is better",L24&gt;=$H24),AND($G24="Lower is better",L24&lt;=$H24)),A_Scoring_Model!$C$14,0),IF($G24="Higher is better",IF(L24&gt;=$H24,A_Scoring_Model!$C$14,IF(L24&lt;$I24,0,A_Scoring_Model!$C$15+(A_Scoring_Model!$C$14-A_Scoring_Model!$C$15)*(L24-$I24)/($H24-$I24))),IF(L24&lt;=$H24,A_Scoring_Model!$C$14,IF(L24&gt;$I24,0,A_Scoring_Model!$C$15+(A_Scoring_Model!$C$14-A_Scoring_Model!$C$15)*($I24-L24)/($I24-$H24))))))</f>
        <v/>
      </c>
      <c r="Q24" s="56" t="str">
        <f aca="false">IF(M24="","",IF($H24=$I24,IF(OR(AND($G24="Higher is better",M24&gt;=$H24),AND($G24="Lower is better",M24&lt;=$H24)),A_Scoring_Model!$C$14,0),IF($G24="Higher is better",IF(M24&gt;=$H24,A_Scoring_Model!$C$14,IF(M24&lt;$I24,0,A_Scoring_Model!$C$15+(A_Scoring_Model!$C$14-A_Scoring_Model!$C$15)*(M24-$I24)/($H24-$I24))),IF(M24&lt;=$H24,A_Scoring_Model!$C$14,IF(M24&gt;$I24,0,A_Scoring_Model!$C$15+(A_Scoring_Model!$C$14-A_Scoring_Model!$C$15)*($I24-M24)/($I24-$H24))))))</f>
        <v/>
      </c>
    </row>
    <row r="25" customFormat="false" ht="15" hidden="false" customHeight="false" outlineLevel="0" collapsed="false">
      <c r="A25" s="51" t="str">
        <f aca="false">C_KPI_Benchmark!A25</f>
        <v>1.b-D1-02</v>
      </c>
      <c r="B25" s="52" t="str">
        <f aca="false">C_KPI_Benchmark!D25</f>
        <v>1.b</v>
      </c>
      <c r="C25" s="51" t="str">
        <f aca="false">C_KPI_Benchmark!E25</f>
        <v>Feasibility &amp; Quality Analyzer</v>
      </c>
      <c r="D25" s="52" t="str">
        <f aca="false">C_KPI_Benchmark!F25</f>
        <v>D1</v>
      </c>
      <c r="E25" s="51" t="str">
        <f aca="false">C_KPI_Benchmark!J25</f>
        <v>Requirement-defect detection recall</v>
      </c>
      <c r="F25" s="52" t="str">
        <f aca="false">C_KPI_Benchmark!K25</f>
        <v>ratio</v>
      </c>
      <c r="G25" s="51" t="str">
        <f aca="false">C_KPI_Benchmark!L25</f>
        <v>Higher is better</v>
      </c>
      <c r="H25" s="57" t="n">
        <f aca="false">C_KPI_Benchmark!N25</f>
        <v>0.8</v>
      </c>
      <c r="I25" s="58" t="n">
        <f aca="false">IF(C_KPI_Benchmark!O25&lt;&gt;"",C_KPI_Benchmark!O25,IF(G25="Higher is better",H25*(1-A_Scoring_Model!$C$16),H25*(1+A_Scoring_Model!$C$16)))</f>
        <v>0.7</v>
      </c>
      <c r="J25" s="59"/>
      <c r="K25" s="59"/>
      <c r="L25" s="59"/>
      <c r="M25" s="59"/>
      <c r="N25" s="56" t="str">
        <f aca="false">IF(J25="","",IF($H25=$I25,IF(OR(AND($G25="Higher is better",J25&gt;=$H25),AND($G25="Lower is better",J25&lt;=$H25)),A_Scoring_Model!$C$14,0),IF($G25="Higher is better",IF(J25&gt;=$H25,A_Scoring_Model!$C$14,IF(J25&lt;$I25,0,A_Scoring_Model!$C$15+(A_Scoring_Model!$C$14-A_Scoring_Model!$C$15)*(J25-$I25)/($H25-$I25))),IF(J25&lt;=$H25,A_Scoring_Model!$C$14,IF(J25&gt;$I25,0,A_Scoring_Model!$C$15+(A_Scoring_Model!$C$14-A_Scoring_Model!$C$15)*($I25-J25)/($I25-$H25))))))</f>
        <v/>
      </c>
      <c r="O25" s="56" t="str">
        <f aca="false">IF(K25="","",IF($H25=$I25,IF(OR(AND($G25="Higher is better",K25&gt;=$H25),AND($G25="Lower is better",K25&lt;=$H25)),A_Scoring_Model!$C$14,0),IF($G25="Higher is better",IF(K25&gt;=$H25,A_Scoring_Model!$C$14,IF(K25&lt;$I25,0,A_Scoring_Model!$C$15+(A_Scoring_Model!$C$14-A_Scoring_Model!$C$15)*(K25-$I25)/($H25-$I25))),IF(K25&lt;=$H25,A_Scoring_Model!$C$14,IF(K25&gt;$I25,0,A_Scoring_Model!$C$15+(A_Scoring_Model!$C$14-A_Scoring_Model!$C$15)*($I25-K25)/($I25-$H25))))))</f>
        <v/>
      </c>
      <c r="P25" s="56" t="str">
        <f aca="false">IF(L25="","",IF($H25=$I25,IF(OR(AND($G25="Higher is better",L25&gt;=$H25),AND($G25="Lower is better",L25&lt;=$H25)),A_Scoring_Model!$C$14,0),IF($G25="Higher is better",IF(L25&gt;=$H25,A_Scoring_Model!$C$14,IF(L25&lt;$I25,0,A_Scoring_Model!$C$15+(A_Scoring_Model!$C$14-A_Scoring_Model!$C$15)*(L25-$I25)/($H25-$I25))),IF(L25&lt;=$H25,A_Scoring_Model!$C$14,IF(L25&gt;$I25,0,A_Scoring_Model!$C$15+(A_Scoring_Model!$C$14-A_Scoring_Model!$C$15)*($I25-L25)/($I25-$H25))))))</f>
        <v/>
      </c>
      <c r="Q25" s="56" t="str">
        <f aca="false">IF(M25="","",IF($H25=$I25,IF(OR(AND($G25="Higher is better",M25&gt;=$H25),AND($G25="Lower is better",M25&lt;=$H25)),A_Scoring_Model!$C$14,0),IF($G25="Higher is better",IF(M25&gt;=$H25,A_Scoring_Model!$C$14,IF(M25&lt;$I25,0,A_Scoring_Model!$C$15+(A_Scoring_Model!$C$14-A_Scoring_Model!$C$15)*(M25-$I25)/($H25-$I25))),IF(M25&lt;=$H25,A_Scoring_Model!$C$14,IF(M25&gt;$I25,0,A_Scoring_Model!$C$15+(A_Scoring_Model!$C$14-A_Scoring_Model!$C$15)*($I25-M25)/($I25-$H25))))))</f>
        <v/>
      </c>
    </row>
    <row r="26" customFormat="false" ht="15" hidden="false" customHeight="false" outlineLevel="0" collapsed="false">
      <c r="A26" s="51" t="str">
        <f aca="false">C_KPI_Benchmark!A26</f>
        <v>1.b-D1-03</v>
      </c>
      <c r="B26" s="52" t="str">
        <f aca="false">C_KPI_Benchmark!D26</f>
        <v>1.b</v>
      </c>
      <c r="C26" s="51" t="str">
        <f aca="false">C_KPI_Benchmark!E26</f>
        <v>Feasibility &amp; Quality Analyzer</v>
      </c>
      <c r="D26" s="52" t="str">
        <f aca="false">C_KPI_Benchmark!F26</f>
        <v>D1</v>
      </c>
      <c r="E26" s="51" t="str">
        <f aca="false">C_KPI_Benchmark!J26</f>
        <v>Conflicting-pair detection recall</v>
      </c>
      <c r="F26" s="52" t="str">
        <f aca="false">C_KPI_Benchmark!K26</f>
        <v>ratio</v>
      </c>
      <c r="G26" s="51" t="str">
        <f aca="false">C_KPI_Benchmark!L26</f>
        <v>Higher is better</v>
      </c>
      <c r="H26" s="57" t="n">
        <f aca="false">C_KPI_Benchmark!N26</f>
        <v>0.75</v>
      </c>
      <c r="I26" s="58" t="n">
        <f aca="false">IF(C_KPI_Benchmark!O26&lt;&gt;"",C_KPI_Benchmark!O26,IF(G26="Higher is better",H26*(1-A_Scoring_Model!$C$16),H26*(1+A_Scoring_Model!$C$16)))</f>
        <v>0.6</v>
      </c>
      <c r="J26" s="59"/>
      <c r="K26" s="59"/>
      <c r="L26" s="59"/>
      <c r="M26" s="59"/>
      <c r="N26" s="56" t="str">
        <f aca="false">IF(J26="","",IF($H26=$I26,IF(OR(AND($G26="Higher is better",J26&gt;=$H26),AND($G26="Lower is better",J26&lt;=$H26)),A_Scoring_Model!$C$14,0),IF($G26="Higher is better",IF(J26&gt;=$H26,A_Scoring_Model!$C$14,IF(J26&lt;$I26,0,A_Scoring_Model!$C$15+(A_Scoring_Model!$C$14-A_Scoring_Model!$C$15)*(J26-$I26)/($H26-$I26))),IF(J26&lt;=$H26,A_Scoring_Model!$C$14,IF(J26&gt;$I26,0,A_Scoring_Model!$C$15+(A_Scoring_Model!$C$14-A_Scoring_Model!$C$15)*($I26-J26)/($I26-$H26))))))</f>
        <v/>
      </c>
      <c r="O26" s="56" t="str">
        <f aca="false">IF(K26="","",IF($H26=$I26,IF(OR(AND($G26="Higher is better",K26&gt;=$H26),AND($G26="Lower is better",K26&lt;=$H26)),A_Scoring_Model!$C$14,0),IF($G26="Higher is better",IF(K26&gt;=$H26,A_Scoring_Model!$C$14,IF(K26&lt;$I26,0,A_Scoring_Model!$C$15+(A_Scoring_Model!$C$14-A_Scoring_Model!$C$15)*(K26-$I26)/($H26-$I26))),IF(K26&lt;=$H26,A_Scoring_Model!$C$14,IF(K26&gt;$I26,0,A_Scoring_Model!$C$15+(A_Scoring_Model!$C$14-A_Scoring_Model!$C$15)*($I26-K26)/($I26-$H26))))))</f>
        <v/>
      </c>
      <c r="P26" s="56" t="str">
        <f aca="false">IF(L26="","",IF($H26=$I26,IF(OR(AND($G26="Higher is better",L26&gt;=$H26),AND($G26="Lower is better",L26&lt;=$H26)),A_Scoring_Model!$C$14,0),IF($G26="Higher is better",IF(L26&gt;=$H26,A_Scoring_Model!$C$14,IF(L26&lt;$I26,0,A_Scoring_Model!$C$15+(A_Scoring_Model!$C$14-A_Scoring_Model!$C$15)*(L26-$I26)/($H26-$I26))),IF(L26&lt;=$H26,A_Scoring_Model!$C$14,IF(L26&gt;$I26,0,A_Scoring_Model!$C$15+(A_Scoring_Model!$C$14-A_Scoring_Model!$C$15)*($I26-L26)/($I26-$H26))))))</f>
        <v/>
      </c>
      <c r="Q26" s="56" t="str">
        <f aca="false">IF(M26="","",IF($H26=$I26,IF(OR(AND($G26="Higher is better",M26&gt;=$H26),AND($G26="Lower is better",M26&lt;=$H26)),A_Scoring_Model!$C$14,0),IF($G26="Higher is better",IF(M26&gt;=$H26,A_Scoring_Model!$C$14,IF(M26&lt;$I26,0,A_Scoring_Model!$C$15+(A_Scoring_Model!$C$14-A_Scoring_Model!$C$15)*(M26-$I26)/($H26-$I26))),IF(M26&lt;=$H26,A_Scoring_Model!$C$14,IF(M26&gt;$I26,0,A_Scoring_Model!$C$15+(A_Scoring_Model!$C$14-A_Scoring_Model!$C$15)*($I26-M26)/($I26-$H26))))))</f>
        <v/>
      </c>
    </row>
    <row r="27" customFormat="false" ht="15" hidden="false" customHeight="false" outlineLevel="0" collapsed="false">
      <c r="A27" s="51" t="str">
        <f aca="false">C_KPI_Benchmark!A27</f>
        <v>1.b-D1-04</v>
      </c>
      <c r="B27" s="52" t="str">
        <f aca="false">C_KPI_Benchmark!D27</f>
        <v>1.b</v>
      </c>
      <c r="C27" s="51" t="str">
        <f aca="false">C_KPI_Benchmark!E27</f>
        <v>Feasibility &amp; Quality Analyzer</v>
      </c>
      <c r="D27" s="52" t="str">
        <f aca="false">C_KPI_Benchmark!F27</f>
        <v>D1</v>
      </c>
      <c r="E27" s="51" t="str">
        <f aca="false">C_KPI_Benchmark!J27</f>
        <v>Rewrite suggestion acceptance</v>
      </c>
      <c r="F27" s="52" t="str">
        <f aca="false">C_KPI_Benchmark!K27</f>
        <v>%</v>
      </c>
      <c r="G27" s="51" t="str">
        <f aca="false">C_KPI_Benchmark!L27</f>
        <v>Higher is better</v>
      </c>
      <c r="H27" s="53" t="n">
        <f aca="false">C_KPI_Benchmark!N27</f>
        <v>0.7</v>
      </c>
      <c r="I27" s="54" t="n">
        <f aca="false">IF(C_KPI_Benchmark!O27&lt;&gt;"",C_KPI_Benchmark!O27,IF(G27="Higher is better",H27*(1-A_Scoring_Model!$C$16),H27*(1+A_Scoring_Model!$C$16)))</f>
        <v>0.55</v>
      </c>
      <c r="J27" s="55"/>
      <c r="K27" s="55"/>
      <c r="L27" s="55"/>
      <c r="M27" s="55"/>
      <c r="N27" s="56" t="str">
        <f aca="false">IF(J27="","",IF($H27=$I27,IF(OR(AND($G27="Higher is better",J27&gt;=$H27),AND($G27="Lower is better",J27&lt;=$H27)),A_Scoring_Model!$C$14,0),IF($G27="Higher is better",IF(J27&gt;=$H27,A_Scoring_Model!$C$14,IF(J27&lt;$I27,0,A_Scoring_Model!$C$15+(A_Scoring_Model!$C$14-A_Scoring_Model!$C$15)*(J27-$I27)/($H27-$I27))),IF(J27&lt;=$H27,A_Scoring_Model!$C$14,IF(J27&gt;$I27,0,A_Scoring_Model!$C$15+(A_Scoring_Model!$C$14-A_Scoring_Model!$C$15)*($I27-J27)/($I27-$H27))))))</f>
        <v/>
      </c>
      <c r="O27" s="56" t="str">
        <f aca="false">IF(K27="","",IF($H27=$I27,IF(OR(AND($G27="Higher is better",K27&gt;=$H27),AND($G27="Lower is better",K27&lt;=$H27)),A_Scoring_Model!$C$14,0),IF($G27="Higher is better",IF(K27&gt;=$H27,A_Scoring_Model!$C$14,IF(K27&lt;$I27,0,A_Scoring_Model!$C$15+(A_Scoring_Model!$C$14-A_Scoring_Model!$C$15)*(K27-$I27)/($H27-$I27))),IF(K27&lt;=$H27,A_Scoring_Model!$C$14,IF(K27&gt;$I27,0,A_Scoring_Model!$C$15+(A_Scoring_Model!$C$14-A_Scoring_Model!$C$15)*($I27-K27)/($I27-$H27))))))</f>
        <v/>
      </c>
      <c r="P27" s="56" t="str">
        <f aca="false">IF(L27="","",IF($H27=$I27,IF(OR(AND($G27="Higher is better",L27&gt;=$H27),AND($G27="Lower is better",L27&lt;=$H27)),A_Scoring_Model!$C$14,0),IF($G27="Higher is better",IF(L27&gt;=$H27,A_Scoring_Model!$C$14,IF(L27&lt;$I27,0,A_Scoring_Model!$C$15+(A_Scoring_Model!$C$14-A_Scoring_Model!$C$15)*(L27-$I27)/($H27-$I27))),IF(L27&lt;=$H27,A_Scoring_Model!$C$14,IF(L27&gt;$I27,0,A_Scoring_Model!$C$15+(A_Scoring_Model!$C$14-A_Scoring_Model!$C$15)*($I27-L27)/($I27-$H27))))))</f>
        <v/>
      </c>
      <c r="Q27" s="56" t="str">
        <f aca="false">IF(M27="","",IF($H27=$I27,IF(OR(AND($G27="Higher is better",M27&gt;=$H27),AND($G27="Lower is better",M27&lt;=$H27)),A_Scoring_Model!$C$14,0),IF($G27="Higher is better",IF(M27&gt;=$H27,A_Scoring_Model!$C$14,IF(M27&lt;$I27,0,A_Scoring_Model!$C$15+(A_Scoring_Model!$C$14-A_Scoring_Model!$C$15)*(M27-$I27)/($H27-$I27))),IF(M27&lt;=$H27,A_Scoring_Model!$C$14,IF(M27&gt;$I27,0,A_Scoring_Model!$C$15+(A_Scoring_Model!$C$14-A_Scoring_Model!$C$15)*($I27-M27)/($I27-$H27))))))</f>
        <v/>
      </c>
    </row>
    <row r="28" customFormat="false" ht="15" hidden="false" customHeight="false" outlineLevel="0" collapsed="false">
      <c r="A28" s="51" t="str">
        <f aca="false">C_KPI_Benchmark!A28</f>
        <v>1.b-D2-05</v>
      </c>
      <c r="B28" s="52" t="str">
        <f aca="false">C_KPI_Benchmark!D28</f>
        <v>1.b</v>
      </c>
      <c r="C28" s="51" t="str">
        <f aca="false">C_KPI_Benchmark!E28</f>
        <v>Feasibility &amp; Quality Analyzer</v>
      </c>
      <c r="D28" s="52" t="str">
        <f aca="false">C_KPI_Benchmark!F28</f>
        <v>D2</v>
      </c>
      <c r="E28" s="51" t="str">
        <f aca="false">C_KPI_Benchmark!J28</f>
        <v>Pluggable rule packs (29148 + group checklists)</v>
      </c>
      <c r="F28" s="52" t="str">
        <f aca="false">C_KPI_Benchmark!K28</f>
        <v>Yes/No</v>
      </c>
      <c r="G28" s="51" t="str">
        <f aca="false">C_KPI_Benchmark!L28</f>
        <v>Higher is better</v>
      </c>
      <c r="H28" s="60" t="n">
        <f aca="false">C_KPI_Benchmark!N28</f>
        <v>1</v>
      </c>
      <c r="I28" s="56" t="n">
        <f aca="false">IF(C_KPI_Benchmark!O28&lt;&gt;"",C_KPI_Benchmark!O28,IF(G28="Higher is better",H28*(1-A_Scoring_Model!$C$16),H28*(1+A_Scoring_Model!$C$16)))</f>
        <v>0.8</v>
      </c>
      <c r="J28" s="61"/>
      <c r="K28" s="61"/>
      <c r="L28" s="61"/>
      <c r="M28" s="61"/>
      <c r="N28" s="56" t="str">
        <f aca="false">IF(J28="","",IF($H28=$I28,IF(OR(AND($G28="Higher is better",J28&gt;=$H28),AND($G28="Lower is better",J28&lt;=$H28)),A_Scoring_Model!$C$14,0),IF($G28="Higher is better",IF(J28&gt;=$H28,A_Scoring_Model!$C$14,IF(J28&lt;$I28,0,A_Scoring_Model!$C$15+(A_Scoring_Model!$C$14-A_Scoring_Model!$C$15)*(J28-$I28)/($H28-$I28))),IF(J28&lt;=$H28,A_Scoring_Model!$C$14,IF(J28&gt;$I28,0,A_Scoring_Model!$C$15+(A_Scoring_Model!$C$14-A_Scoring_Model!$C$15)*($I28-J28)/($I28-$H28))))))</f>
        <v/>
      </c>
      <c r="O28" s="56" t="str">
        <f aca="false">IF(K28="","",IF($H28=$I28,IF(OR(AND($G28="Higher is better",K28&gt;=$H28),AND($G28="Lower is better",K28&lt;=$H28)),A_Scoring_Model!$C$14,0),IF($G28="Higher is better",IF(K28&gt;=$H28,A_Scoring_Model!$C$14,IF(K28&lt;$I28,0,A_Scoring_Model!$C$15+(A_Scoring_Model!$C$14-A_Scoring_Model!$C$15)*(K28-$I28)/($H28-$I28))),IF(K28&lt;=$H28,A_Scoring_Model!$C$14,IF(K28&gt;$I28,0,A_Scoring_Model!$C$15+(A_Scoring_Model!$C$14-A_Scoring_Model!$C$15)*($I28-K28)/($I28-$H28))))))</f>
        <v/>
      </c>
      <c r="P28" s="56" t="str">
        <f aca="false">IF(L28="","",IF($H28=$I28,IF(OR(AND($G28="Higher is better",L28&gt;=$H28),AND($G28="Lower is better",L28&lt;=$H28)),A_Scoring_Model!$C$14,0),IF($G28="Higher is better",IF(L28&gt;=$H28,A_Scoring_Model!$C$14,IF(L28&lt;$I28,0,A_Scoring_Model!$C$15+(A_Scoring_Model!$C$14-A_Scoring_Model!$C$15)*(L28-$I28)/($H28-$I28))),IF(L28&lt;=$H28,A_Scoring_Model!$C$14,IF(L28&gt;$I28,0,A_Scoring_Model!$C$15+(A_Scoring_Model!$C$14-A_Scoring_Model!$C$15)*($I28-L28)/($I28-$H28))))))</f>
        <v/>
      </c>
      <c r="Q28" s="56" t="str">
        <f aca="false">IF(M28="","",IF($H28=$I28,IF(OR(AND($G28="Higher is better",M28&gt;=$H28),AND($G28="Lower is better",M28&lt;=$H28)),A_Scoring_Model!$C$14,0),IF($G28="Higher is better",IF(M28&gt;=$H28,A_Scoring_Model!$C$14,IF(M28&lt;$I28,0,A_Scoring_Model!$C$15+(A_Scoring_Model!$C$14-A_Scoring_Model!$C$15)*(M28-$I28)/($H28-$I28))),IF(M28&lt;=$H28,A_Scoring_Model!$C$14,IF(M28&gt;$I28,0,A_Scoring_Model!$C$15+(A_Scoring_Model!$C$14-A_Scoring_Model!$C$15)*($I28-M28)/($I28-$H28))))))</f>
        <v/>
      </c>
    </row>
    <row r="29" customFormat="false" ht="23.85" hidden="false" customHeight="false" outlineLevel="0" collapsed="false">
      <c r="A29" s="51" t="str">
        <f aca="false">C_KPI_Benchmark!A29</f>
        <v>1.b-D2-06</v>
      </c>
      <c r="B29" s="52" t="str">
        <f aca="false">C_KPI_Benchmark!D29</f>
        <v>1.b</v>
      </c>
      <c r="C29" s="51" t="str">
        <f aca="false">C_KPI_Benchmark!E29</f>
        <v>Feasibility &amp; Quality Analyzer</v>
      </c>
      <c r="D29" s="52" t="str">
        <f aca="false">C_KPI_Benchmark!F29</f>
        <v>D2</v>
      </c>
      <c r="E29" s="51" t="str">
        <f aca="false">C_KPI_Benchmark!J29</f>
        <v>Product lines supported with ≤10% efficacy drop (NVMe SSD, UFS, eMMC/uSD, PSSD)</v>
      </c>
      <c r="F29" s="52" t="str">
        <f aca="false">C_KPI_Benchmark!K29</f>
        <v>count</v>
      </c>
      <c r="G29" s="51" t="str">
        <f aca="false">C_KPI_Benchmark!L29</f>
        <v>Higher is better</v>
      </c>
      <c r="H29" s="62" t="n">
        <f aca="false">C_KPI_Benchmark!N29</f>
        <v>3</v>
      </c>
      <c r="I29" s="63" t="n">
        <f aca="false">IF(C_KPI_Benchmark!O29&lt;&gt;"",C_KPI_Benchmark!O29,IF(G29="Higher is better",H29*(1-A_Scoring_Model!$C$16),H29*(1+A_Scoring_Model!$C$16)))</f>
        <v>2</v>
      </c>
      <c r="J29" s="64"/>
      <c r="K29" s="64"/>
      <c r="L29" s="64"/>
      <c r="M29" s="64"/>
      <c r="N29" s="56" t="str">
        <f aca="false">IF(J29="","",IF($H29=$I29,IF(OR(AND($G29="Higher is better",J29&gt;=$H29),AND($G29="Lower is better",J29&lt;=$H29)),A_Scoring_Model!$C$14,0),IF($G29="Higher is better",IF(J29&gt;=$H29,A_Scoring_Model!$C$14,IF(J29&lt;$I29,0,A_Scoring_Model!$C$15+(A_Scoring_Model!$C$14-A_Scoring_Model!$C$15)*(J29-$I29)/($H29-$I29))),IF(J29&lt;=$H29,A_Scoring_Model!$C$14,IF(J29&gt;$I29,0,A_Scoring_Model!$C$15+(A_Scoring_Model!$C$14-A_Scoring_Model!$C$15)*($I29-J29)/($I29-$H29))))))</f>
        <v/>
      </c>
      <c r="O29" s="56" t="str">
        <f aca="false">IF(K29="","",IF($H29=$I29,IF(OR(AND($G29="Higher is better",K29&gt;=$H29),AND($G29="Lower is better",K29&lt;=$H29)),A_Scoring_Model!$C$14,0),IF($G29="Higher is better",IF(K29&gt;=$H29,A_Scoring_Model!$C$14,IF(K29&lt;$I29,0,A_Scoring_Model!$C$15+(A_Scoring_Model!$C$14-A_Scoring_Model!$C$15)*(K29-$I29)/($H29-$I29))),IF(K29&lt;=$H29,A_Scoring_Model!$C$14,IF(K29&gt;$I29,0,A_Scoring_Model!$C$15+(A_Scoring_Model!$C$14-A_Scoring_Model!$C$15)*($I29-K29)/($I29-$H29))))))</f>
        <v/>
      </c>
      <c r="P29" s="56" t="str">
        <f aca="false">IF(L29="","",IF($H29=$I29,IF(OR(AND($G29="Higher is better",L29&gt;=$H29),AND($G29="Lower is better",L29&lt;=$H29)),A_Scoring_Model!$C$14,0),IF($G29="Higher is better",IF(L29&gt;=$H29,A_Scoring_Model!$C$14,IF(L29&lt;$I29,0,A_Scoring_Model!$C$15+(A_Scoring_Model!$C$14-A_Scoring_Model!$C$15)*(L29-$I29)/($H29-$I29))),IF(L29&lt;=$H29,A_Scoring_Model!$C$14,IF(L29&gt;$I29,0,A_Scoring_Model!$C$15+(A_Scoring_Model!$C$14-A_Scoring_Model!$C$15)*($I29-L29)/($I29-$H29))))))</f>
        <v/>
      </c>
      <c r="Q29" s="56" t="str">
        <f aca="false">IF(M29="","",IF($H29=$I29,IF(OR(AND($G29="Higher is better",M29&gt;=$H29),AND($G29="Lower is better",M29&lt;=$H29)),A_Scoring_Model!$C$14,0),IF($G29="Higher is better",IF(M29&gt;=$H29,A_Scoring_Model!$C$14,IF(M29&lt;$I29,0,A_Scoring_Model!$C$15+(A_Scoring_Model!$C$14-A_Scoring_Model!$C$15)*(M29-$I29)/($H29-$I29))),IF(M29&lt;=$H29,A_Scoring_Model!$C$14,IF(M29&gt;$I29,0,A_Scoring_Model!$C$15+(A_Scoring_Model!$C$14-A_Scoring_Model!$C$15)*($I29-M29)/($I29-$H29))))))</f>
        <v/>
      </c>
    </row>
    <row r="30" customFormat="false" ht="15" hidden="false" customHeight="false" outlineLevel="0" collapsed="false">
      <c r="A30" s="51" t="str">
        <f aca="false">C_KPI_Benchmark!A30</f>
        <v>1.b-D2-07</v>
      </c>
      <c r="B30" s="52" t="str">
        <f aca="false">C_KPI_Benchmark!D30</f>
        <v>1.b</v>
      </c>
      <c r="C30" s="51" t="str">
        <f aca="false">C_KPI_Benchmark!E30</f>
        <v>Feasibility &amp; Quality Analyzer</v>
      </c>
      <c r="D30" s="52" t="str">
        <f aca="false">C_KPI_Benchmark!F30</f>
        <v>D2</v>
      </c>
      <c r="E30" s="51" t="str">
        <f aca="false">C_KPI_Benchmark!J30</f>
        <v>Uses Zion shared services instead of re-implementing them</v>
      </c>
      <c r="F30" s="52" t="str">
        <f aca="false">C_KPI_Benchmark!K30</f>
        <v>Yes/No</v>
      </c>
      <c r="G30" s="51" t="str">
        <f aca="false">C_KPI_Benchmark!L30</f>
        <v>Higher is better</v>
      </c>
      <c r="H30" s="60" t="n">
        <f aca="false">C_KPI_Benchmark!N30</f>
        <v>1</v>
      </c>
      <c r="I30" s="56" t="n">
        <f aca="false">IF(C_KPI_Benchmark!O30&lt;&gt;"",C_KPI_Benchmark!O30,IF(G30="Higher is better",H30*(1-A_Scoring_Model!$C$16),H30*(1+A_Scoring_Model!$C$16)))</f>
        <v>0.8</v>
      </c>
      <c r="J30" s="61"/>
      <c r="K30" s="61"/>
      <c r="L30" s="61"/>
      <c r="M30" s="61"/>
      <c r="N30" s="56" t="str">
        <f aca="false">IF(J30="","",IF($H30=$I30,IF(OR(AND($G30="Higher is better",J30&gt;=$H30),AND($G30="Lower is better",J30&lt;=$H30)),A_Scoring_Model!$C$14,0),IF($G30="Higher is better",IF(J30&gt;=$H30,A_Scoring_Model!$C$14,IF(J30&lt;$I30,0,A_Scoring_Model!$C$15+(A_Scoring_Model!$C$14-A_Scoring_Model!$C$15)*(J30-$I30)/($H30-$I30))),IF(J30&lt;=$H30,A_Scoring_Model!$C$14,IF(J30&gt;$I30,0,A_Scoring_Model!$C$15+(A_Scoring_Model!$C$14-A_Scoring_Model!$C$15)*($I30-J30)/($I30-$H30))))))</f>
        <v/>
      </c>
      <c r="O30" s="56" t="str">
        <f aca="false">IF(K30="","",IF($H30=$I30,IF(OR(AND($G30="Higher is better",K30&gt;=$H30),AND($G30="Lower is better",K30&lt;=$H30)),A_Scoring_Model!$C$14,0),IF($G30="Higher is better",IF(K30&gt;=$H30,A_Scoring_Model!$C$14,IF(K30&lt;$I30,0,A_Scoring_Model!$C$15+(A_Scoring_Model!$C$14-A_Scoring_Model!$C$15)*(K30-$I30)/($H30-$I30))),IF(K30&lt;=$H30,A_Scoring_Model!$C$14,IF(K30&gt;$I30,0,A_Scoring_Model!$C$15+(A_Scoring_Model!$C$14-A_Scoring_Model!$C$15)*($I30-K30)/($I30-$H30))))))</f>
        <v/>
      </c>
      <c r="P30" s="56" t="str">
        <f aca="false">IF(L30="","",IF($H30=$I30,IF(OR(AND($G30="Higher is better",L30&gt;=$H30),AND($G30="Lower is better",L30&lt;=$H30)),A_Scoring_Model!$C$14,0),IF($G30="Higher is better",IF(L30&gt;=$H30,A_Scoring_Model!$C$14,IF(L30&lt;$I30,0,A_Scoring_Model!$C$15+(A_Scoring_Model!$C$14-A_Scoring_Model!$C$15)*(L30-$I30)/($H30-$I30))),IF(L30&lt;=$H30,A_Scoring_Model!$C$14,IF(L30&gt;$I30,0,A_Scoring_Model!$C$15+(A_Scoring_Model!$C$14-A_Scoring_Model!$C$15)*($I30-L30)/($I30-$H30))))))</f>
        <v/>
      </c>
      <c r="Q30" s="56" t="str">
        <f aca="false">IF(M30="","",IF($H30=$I30,IF(OR(AND($G30="Higher is better",M30&gt;=$H30),AND($G30="Lower is better",M30&lt;=$H30)),A_Scoring_Model!$C$14,0),IF($G30="Higher is better",IF(M30&gt;=$H30,A_Scoring_Model!$C$14,IF(M30&lt;$I30,0,A_Scoring_Model!$C$15+(A_Scoring_Model!$C$14-A_Scoring_Model!$C$15)*(M30-$I30)/($H30-$I30))),IF(M30&lt;=$H30,A_Scoring_Model!$C$14,IF(M30&gt;$I30,0,A_Scoring_Model!$C$15+(A_Scoring_Model!$C$14-A_Scoring_Model!$C$15)*($I30-M30)/($I30-$H30))))))</f>
        <v/>
      </c>
    </row>
    <row r="31" customFormat="false" ht="15" hidden="false" customHeight="false" outlineLevel="0" collapsed="false">
      <c r="A31" s="51" t="str">
        <f aca="false">C_KPI_Benchmark!A31</f>
        <v>1.b-D3-08</v>
      </c>
      <c r="B31" s="52" t="str">
        <f aca="false">C_KPI_Benchmark!D31</f>
        <v>1.b</v>
      </c>
      <c r="C31" s="51" t="str">
        <f aca="false">C_KPI_Benchmark!E31</f>
        <v>Feasibility &amp; Quality Analyzer</v>
      </c>
      <c r="D31" s="52" t="str">
        <f aca="false">C_KPI_Benchmark!F31</f>
        <v>D3</v>
      </c>
      <c r="E31" s="51" t="str">
        <f aca="false">C_KPI_Benchmark!J31</f>
        <v>Time to analyse 1,000 requirements</v>
      </c>
      <c r="F31" s="52" t="str">
        <f aca="false">C_KPI_Benchmark!K31</f>
        <v>min</v>
      </c>
      <c r="G31" s="51" t="str">
        <f aca="false">C_KPI_Benchmark!L31</f>
        <v>Lower is better</v>
      </c>
      <c r="H31" s="62" t="n">
        <f aca="false">C_KPI_Benchmark!N31</f>
        <v>10</v>
      </c>
      <c r="I31" s="63" t="n">
        <f aca="false">IF(C_KPI_Benchmark!O31&lt;&gt;"",C_KPI_Benchmark!O31,IF(G31="Higher is better",H31*(1-A_Scoring_Model!$C$16),H31*(1+A_Scoring_Model!$C$16)))</f>
        <v>12</v>
      </c>
      <c r="J31" s="64"/>
      <c r="K31" s="64"/>
      <c r="L31" s="64"/>
      <c r="M31" s="64"/>
      <c r="N31" s="56" t="str">
        <f aca="false">IF(J31="","",IF($H31=$I31,IF(OR(AND($G31="Higher is better",J31&gt;=$H31),AND($G31="Lower is better",J31&lt;=$H31)),A_Scoring_Model!$C$14,0),IF($G31="Higher is better",IF(J31&gt;=$H31,A_Scoring_Model!$C$14,IF(J31&lt;$I31,0,A_Scoring_Model!$C$15+(A_Scoring_Model!$C$14-A_Scoring_Model!$C$15)*(J31-$I31)/($H31-$I31))),IF(J31&lt;=$H31,A_Scoring_Model!$C$14,IF(J31&gt;$I31,0,A_Scoring_Model!$C$15+(A_Scoring_Model!$C$14-A_Scoring_Model!$C$15)*($I31-J31)/($I31-$H31))))))</f>
        <v/>
      </c>
      <c r="O31" s="56" t="str">
        <f aca="false">IF(K31="","",IF($H31=$I31,IF(OR(AND($G31="Higher is better",K31&gt;=$H31),AND($G31="Lower is better",K31&lt;=$H31)),A_Scoring_Model!$C$14,0),IF($G31="Higher is better",IF(K31&gt;=$H31,A_Scoring_Model!$C$14,IF(K31&lt;$I31,0,A_Scoring_Model!$C$15+(A_Scoring_Model!$C$14-A_Scoring_Model!$C$15)*(K31-$I31)/($H31-$I31))),IF(K31&lt;=$H31,A_Scoring_Model!$C$14,IF(K31&gt;$I31,0,A_Scoring_Model!$C$15+(A_Scoring_Model!$C$14-A_Scoring_Model!$C$15)*($I31-K31)/($I31-$H31))))))</f>
        <v/>
      </c>
      <c r="P31" s="56" t="str">
        <f aca="false">IF(L31="","",IF($H31=$I31,IF(OR(AND($G31="Higher is better",L31&gt;=$H31),AND($G31="Lower is better",L31&lt;=$H31)),A_Scoring_Model!$C$14,0),IF($G31="Higher is better",IF(L31&gt;=$H31,A_Scoring_Model!$C$14,IF(L31&lt;$I31,0,A_Scoring_Model!$C$15+(A_Scoring_Model!$C$14-A_Scoring_Model!$C$15)*(L31-$I31)/($H31-$I31))),IF(L31&lt;=$H31,A_Scoring_Model!$C$14,IF(L31&gt;$I31,0,A_Scoring_Model!$C$15+(A_Scoring_Model!$C$14-A_Scoring_Model!$C$15)*($I31-L31)/($I31-$H31))))))</f>
        <v/>
      </c>
      <c r="Q31" s="56" t="str">
        <f aca="false">IF(M31="","",IF($H31=$I31,IF(OR(AND($G31="Higher is better",M31&gt;=$H31),AND($G31="Lower is better",M31&lt;=$H31)),A_Scoring_Model!$C$14,0),IF($G31="Higher is better",IF(M31&gt;=$H31,A_Scoring_Model!$C$14,IF(M31&lt;$I31,0,A_Scoring_Model!$C$15+(A_Scoring_Model!$C$14-A_Scoring_Model!$C$15)*(M31-$I31)/($H31-$I31))),IF(M31&lt;=$H31,A_Scoring_Model!$C$14,IF(M31&gt;$I31,0,A_Scoring_Model!$C$15+(A_Scoring_Model!$C$14-A_Scoring_Model!$C$15)*($I31-M31)/($I31-$H31))))))</f>
        <v/>
      </c>
    </row>
    <row r="32" customFormat="false" ht="15" hidden="false" customHeight="false" outlineLevel="0" collapsed="false">
      <c r="A32" s="51" t="str">
        <f aca="false">C_KPI_Benchmark!A32</f>
        <v>1.b-D3-09</v>
      </c>
      <c r="B32" s="52" t="str">
        <f aca="false">C_KPI_Benchmark!D32</f>
        <v>1.b</v>
      </c>
      <c r="C32" s="51" t="str">
        <f aca="false">C_KPI_Benchmark!E32</f>
        <v>Feasibility &amp; Quality Analyzer</v>
      </c>
      <c r="D32" s="52" t="str">
        <f aca="false">C_KPI_Benchmark!F32</f>
        <v>D3</v>
      </c>
      <c r="E32" s="51" t="str">
        <f aca="false">C_KPI_Benchmark!J32</f>
        <v>Latency degradation at 10× load</v>
      </c>
      <c r="F32" s="52" t="str">
        <f aca="false">C_KPI_Benchmark!K32</f>
        <v>%</v>
      </c>
      <c r="G32" s="51" t="str">
        <f aca="false">C_KPI_Benchmark!L32</f>
        <v>Lower is better</v>
      </c>
      <c r="H32" s="53" t="n">
        <f aca="false">C_KPI_Benchmark!N32</f>
        <v>0.2</v>
      </c>
      <c r="I32" s="54" t="n">
        <f aca="false">IF(C_KPI_Benchmark!O32&lt;&gt;"",C_KPI_Benchmark!O32,IF(G32="Higher is better",H32*(1-A_Scoring_Model!$C$16),H32*(1+A_Scoring_Model!$C$16)))</f>
        <v>0.4</v>
      </c>
      <c r="J32" s="55"/>
      <c r="K32" s="55"/>
      <c r="L32" s="55"/>
      <c r="M32" s="55"/>
      <c r="N32" s="56" t="str">
        <f aca="false">IF(J32="","",IF($H32=$I32,IF(OR(AND($G32="Higher is better",J32&gt;=$H32),AND($G32="Lower is better",J32&lt;=$H32)),A_Scoring_Model!$C$14,0),IF($G32="Higher is better",IF(J32&gt;=$H32,A_Scoring_Model!$C$14,IF(J32&lt;$I32,0,A_Scoring_Model!$C$15+(A_Scoring_Model!$C$14-A_Scoring_Model!$C$15)*(J32-$I32)/($H32-$I32))),IF(J32&lt;=$H32,A_Scoring_Model!$C$14,IF(J32&gt;$I32,0,A_Scoring_Model!$C$15+(A_Scoring_Model!$C$14-A_Scoring_Model!$C$15)*($I32-J32)/($I32-$H32))))))</f>
        <v/>
      </c>
      <c r="O32" s="56" t="str">
        <f aca="false">IF(K32="","",IF($H32=$I32,IF(OR(AND($G32="Higher is better",K32&gt;=$H32),AND($G32="Lower is better",K32&lt;=$H32)),A_Scoring_Model!$C$14,0),IF($G32="Higher is better",IF(K32&gt;=$H32,A_Scoring_Model!$C$14,IF(K32&lt;$I32,0,A_Scoring_Model!$C$15+(A_Scoring_Model!$C$14-A_Scoring_Model!$C$15)*(K32-$I32)/($H32-$I32))),IF(K32&lt;=$H32,A_Scoring_Model!$C$14,IF(K32&gt;$I32,0,A_Scoring_Model!$C$15+(A_Scoring_Model!$C$14-A_Scoring_Model!$C$15)*($I32-K32)/($I32-$H32))))))</f>
        <v/>
      </c>
      <c r="P32" s="56" t="str">
        <f aca="false">IF(L32="","",IF($H32=$I32,IF(OR(AND($G32="Higher is better",L32&gt;=$H32),AND($G32="Lower is better",L32&lt;=$H32)),A_Scoring_Model!$C$14,0),IF($G32="Higher is better",IF(L32&gt;=$H32,A_Scoring_Model!$C$14,IF(L32&lt;$I32,0,A_Scoring_Model!$C$15+(A_Scoring_Model!$C$14-A_Scoring_Model!$C$15)*(L32-$I32)/($H32-$I32))),IF(L32&lt;=$H32,A_Scoring_Model!$C$14,IF(L32&gt;$I32,0,A_Scoring_Model!$C$15+(A_Scoring_Model!$C$14-A_Scoring_Model!$C$15)*($I32-L32)/($I32-$H32))))))</f>
        <v/>
      </c>
      <c r="Q32" s="56" t="str">
        <f aca="false">IF(M32="","",IF($H32=$I32,IF(OR(AND($G32="Higher is better",M32&gt;=$H32),AND($G32="Lower is better",M32&lt;=$H32)),A_Scoring_Model!$C$14,0),IF($G32="Higher is better",IF(M32&gt;=$H32,A_Scoring_Model!$C$14,IF(M32&lt;$I32,0,A_Scoring_Model!$C$15+(A_Scoring_Model!$C$14-A_Scoring_Model!$C$15)*(M32-$I32)/($H32-$I32))),IF(M32&lt;=$H32,A_Scoring_Model!$C$14,IF(M32&gt;$I32,0,A_Scoring_Model!$C$15+(A_Scoring_Model!$C$14-A_Scoring_Model!$C$15)*($I32-M32)/($I32-$H32))))))</f>
        <v/>
      </c>
    </row>
    <row r="33" customFormat="false" ht="15" hidden="false" customHeight="false" outlineLevel="0" collapsed="false">
      <c r="A33" s="51" t="str">
        <f aca="false">C_KPI_Benchmark!A33</f>
        <v>1.b-D4-10</v>
      </c>
      <c r="B33" s="52" t="str">
        <f aca="false">C_KPI_Benchmark!D33</f>
        <v>1.b</v>
      </c>
      <c r="C33" s="51" t="str">
        <f aca="false">C_KPI_Benchmark!E33</f>
        <v>Feasibility &amp; Quality Analyzer</v>
      </c>
      <c r="D33" s="52" t="str">
        <f aca="false">C_KPI_Benchmark!F33</f>
        <v>D4</v>
      </c>
      <c r="E33" s="51" t="str">
        <f aca="false">C_KPI_Benchmark!J33</f>
        <v>False alarm rate</v>
      </c>
      <c r="F33" s="52" t="str">
        <f aca="false">C_KPI_Benchmark!K33</f>
        <v>%</v>
      </c>
      <c r="G33" s="51" t="str">
        <f aca="false">C_KPI_Benchmark!L33</f>
        <v>Lower is better</v>
      </c>
      <c r="H33" s="53" t="n">
        <f aca="false">C_KPI_Benchmark!N33</f>
        <v>0.15</v>
      </c>
      <c r="I33" s="54" t="n">
        <f aca="false">IF(C_KPI_Benchmark!O33&lt;&gt;"",C_KPI_Benchmark!O33,IF(G33="Higher is better",H33*(1-A_Scoring_Model!$C$16),H33*(1+A_Scoring_Model!$C$16)))</f>
        <v>0.18</v>
      </c>
      <c r="J33" s="55"/>
      <c r="K33" s="55"/>
      <c r="L33" s="55"/>
      <c r="M33" s="55"/>
      <c r="N33" s="56" t="str">
        <f aca="false">IF(J33="","",IF($H33=$I33,IF(OR(AND($G33="Higher is better",J33&gt;=$H33),AND($G33="Lower is better",J33&lt;=$H33)),A_Scoring_Model!$C$14,0),IF($G33="Higher is better",IF(J33&gt;=$H33,A_Scoring_Model!$C$14,IF(J33&lt;$I33,0,A_Scoring_Model!$C$15+(A_Scoring_Model!$C$14-A_Scoring_Model!$C$15)*(J33-$I33)/($H33-$I33))),IF(J33&lt;=$H33,A_Scoring_Model!$C$14,IF(J33&gt;$I33,0,A_Scoring_Model!$C$15+(A_Scoring_Model!$C$14-A_Scoring_Model!$C$15)*($I33-J33)/($I33-$H33))))))</f>
        <v/>
      </c>
      <c r="O33" s="56" t="str">
        <f aca="false">IF(K33="","",IF($H33=$I33,IF(OR(AND($G33="Higher is better",K33&gt;=$H33),AND($G33="Lower is better",K33&lt;=$H33)),A_Scoring_Model!$C$14,0),IF($G33="Higher is better",IF(K33&gt;=$H33,A_Scoring_Model!$C$14,IF(K33&lt;$I33,0,A_Scoring_Model!$C$15+(A_Scoring_Model!$C$14-A_Scoring_Model!$C$15)*(K33-$I33)/($H33-$I33))),IF(K33&lt;=$H33,A_Scoring_Model!$C$14,IF(K33&gt;$I33,0,A_Scoring_Model!$C$15+(A_Scoring_Model!$C$14-A_Scoring_Model!$C$15)*($I33-K33)/($I33-$H33))))))</f>
        <v/>
      </c>
      <c r="P33" s="56" t="str">
        <f aca="false">IF(L33="","",IF($H33=$I33,IF(OR(AND($G33="Higher is better",L33&gt;=$H33),AND($G33="Lower is better",L33&lt;=$H33)),A_Scoring_Model!$C$14,0),IF($G33="Higher is better",IF(L33&gt;=$H33,A_Scoring_Model!$C$14,IF(L33&lt;$I33,0,A_Scoring_Model!$C$15+(A_Scoring_Model!$C$14-A_Scoring_Model!$C$15)*(L33-$I33)/($H33-$I33))),IF(L33&lt;=$H33,A_Scoring_Model!$C$14,IF(L33&gt;$I33,0,A_Scoring_Model!$C$15+(A_Scoring_Model!$C$14-A_Scoring_Model!$C$15)*($I33-L33)/($I33-$H33))))))</f>
        <v/>
      </c>
      <c r="Q33" s="56" t="str">
        <f aca="false">IF(M33="","",IF($H33=$I33,IF(OR(AND($G33="Higher is better",M33&gt;=$H33),AND($G33="Lower is better",M33&lt;=$H33)),A_Scoring_Model!$C$14,0),IF($G33="Higher is better",IF(M33&gt;=$H33,A_Scoring_Model!$C$14,IF(M33&lt;$I33,0,A_Scoring_Model!$C$15+(A_Scoring_Model!$C$14-A_Scoring_Model!$C$15)*(M33-$I33)/($H33-$I33))),IF(M33&lt;=$H33,A_Scoring_Model!$C$14,IF(M33&gt;$I33,0,A_Scoring_Model!$C$15+(A_Scoring_Model!$C$14-A_Scoring_Model!$C$15)*($I33-M33)/($I33-$H33))))))</f>
        <v/>
      </c>
    </row>
    <row r="34" customFormat="false" ht="15" hidden="false" customHeight="false" outlineLevel="0" collapsed="false">
      <c r="A34" s="51" t="str">
        <f aca="false">C_KPI_Benchmark!A34</f>
        <v>1.b-D4-11</v>
      </c>
      <c r="B34" s="52" t="str">
        <f aca="false">C_KPI_Benchmark!D34</f>
        <v>1.b</v>
      </c>
      <c r="C34" s="51" t="str">
        <f aca="false">C_KPI_Benchmark!E34</f>
        <v>Feasibility &amp; Quality Analyzer</v>
      </c>
      <c r="D34" s="52" t="str">
        <f aca="false">C_KPI_Benchmark!F34</f>
        <v>D4</v>
      </c>
      <c r="E34" s="51" t="str">
        <f aca="false">C_KPI_Benchmark!J34</f>
        <v>Flags citing rule + text span</v>
      </c>
      <c r="F34" s="52" t="str">
        <f aca="false">C_KPI_Benchmark!K34</f>
        <v>%</v>
      </c>
      <c r="G34" s="51" t="str">
        <f aca="false">C_KPI_Benchmark!L34</f>
        <v>Higher is better</v>
      </c>
      <c r="H34" s="53" t="n">
        <f aca="false">C_KPI_Benchmark!N34</f>
        <v>1</v>
      </c>
      <c r="I34" s="54" t="n">
        <f aca="false">IF(C_KPI_Benchmark!O34&lt;&gt;"",C_KPI_Benchmark!O34,IF(G34="Higher is better",H34*(1-A_Scoring_Model!$C$16),H34*(1+A_Scoring_Model!$C$16)))</f>
        <v>0.8</v>
      </c>
      <c r="J34" s="55"/>
      <c r="K34" s="55"/>
      <c r="L34" s="55"/>
      <c r="M34" s="55"/>
      <c r="N34" s="56" t="str">
        <f aca="false">IF(J34="","",IF($H34=$I34,IF(OR(AND($G34="Higher is better",J34&gt;=$H34),AND($G34="Lower is better",J34&lt;=$H34)),A_Scoring_Model!$C$14,0),IF($G34="Higher is better",IF(J34&gt;=$H34,A_Scoring_Model!$C$14,IF(J34&lt;$I34,0,A_Scoring_Model!$C$15+(A_Scoring_Model!$C$14-A_Scoring_Model!$C$15)*(J34-$I34)/($H34-$I34))),IF(J34&lt;=$H34,A_Scoring_Model!$C$14,IF(J34&gt;$I34,0,A_Scoring_Model!$C$15+(A_Scoring_Model!$C$14-A_Scoring_Model!$C$15)*($I34-J34)/($I34-$H34))))))</f>
        <v/>
      </c>
      <c r="O34" s="56" t="str">
        <f aca="false">IF(K34="","",IF($H34=$I34,IF(OR(AND($G34="Higher is better",K34&gt;=$H34),AND($G34="Lower is better",K34&lt;=$H34)),A_Scoring_Model!$C$14,0),IF($G34="Higher is better",IF(K34&gt;=$H34,A_Scoring_Model!$C$14,IF(K34&lt;$I34,0,A_Scoring_Model!$C$15+(A_Scoring_Model!$C$14-A_Scoring_Model!$C$15)*(K34-$I34)/($H34-$I34))),IF(K34&lt;=$H34,A_Scoring_Model!$C$14,IF(K34&gt;$I34,0,A_Scoring_Model!$C$15+(A_Scoring_Model!$C$14-A_Scoring_Model!$C$15)*($I34-K34)/($I34-$H34))))))</f>
        <v/>
      </c>
      <c r="P34" s="56" t="str">
        <f aca="false">IF(L34="","",IF($H34=$I34,IF(OR(AND($G34="Higher is better",L34&gt;=$H34),AND($G34="Lower is better",L34&lt;=$H34)),A_Scoring_Model!$C$14,0),IF($G34="Higher is better",IF(L34&gt;=$H34,A_Scoring_Model!$C$14,IF(L34&lt;$I34,0,A_Scoring_Model!$C$15+(A_Scoring_Model!$C$14-A_Scoring_Model!$C$15)*(L34-$I34)/($H34-$I34))),IF(L34&lt;=$H34,A_Scoring_Model!$C$14,IF(L34&gt;$I34,0,A_Scoring_Model!$C$15+(A_Scoring_Model!$C$14-A_Scoring_Model!$C$15)*($I34-L34)/($I34-$H34))))))</f>
        <v/>
      </c>
      <c r="Q34" s="56" t="str">
        <f aca="false">IF(M34="","",IF($H34=$I34,IF(OR(AND($G34="Higher is better",M34&gt;=$H34),AND($G34="Lower is better",M34&lt;=$H34)),A_Scoring_Model!$C$14,0),IF($G34="Higher is better",IF(M34&gt;=$H34,A_Scoring_Model!$C$14,IF(M34&lt;$I34,0,A_Scoring_Model!$C$15+(A_Scoring_Model!$C$14-A_Scoring_Model!$C$15)*(M34-$I34)/($H34-$I34))),IF(M34&lt;=$H34,A_Scoring_Model!$C$14,IF(M34&gt;$I34,0,A_Scoring_Model!$C$15+(A_Scoring_Model!$C$14-A_Scoring_Model!$C$15)*($I34-M34)/($I34-$H34))))))</f>
        <v/>
      </c>
    </row>
    <row r="35" customFormat="false" ht="15" hidden="false" customHeight="false" outlineLevel="0" collapsed="false">
      <c r="A35" s="51" t="str">
        <f aca="false">C_KPI_Benchmark!A35</f>
        <v>1.b-D4-12</v>
      </c>
      <c r="B35" s="52" t="str">
        <f aca="false">C_KPI_Benchmark!D35</f>
        <v>1.b</v>
      </c>
      <c r="C35" s="51" t="str">
        <f aca="false">C_KPI_Benchmark!E35</f>
        <v>Feasibility &amp; Quality Analyzer</v>
      </c>
      <c r="D35" s="52" t="str">
        <f aca="false">C_KPI_Benchmark!F35</f>
        <v>D4</v>
      </c>
      <c r="E35" s="51" t="str">
        <f aca="false">C_KPI_Benchmark!J35</f>
        <v>Service availability</v>
      </c>
      <c r="F35" s="52" t="str">
        <f aca="false">C_KPI_Benchmark!K35</f>
        <v>%</v>
      </c>
      <c r="G35" s="51" t="str">
        <f aca="false">C_KPI_Benchmark!L35</f>
        <v>Higher is better</v>
      </c>
      <c r="H35" s="53" t="n">
        <f aca="false">C_KPI_Benchmark!N35</f>
        <v>0.995</v>
      </c>
      <c r="I35" s="54" t="n">
        <f aca="false">IF(C_KPI_Benchmark!O35&lt;&gt;"",C_KPI_Benchmark!O35,IF(G35="Higher is better",H35*(1-A_Scoring_Model!$C$16),H35*(1+A_Scoring_Model!$C$16)))</f>
        <v>0.99</v>
      </c>
      <c r="J35" s="55"/>
      <c r="K35" s="55"/>
      <c r="L35" s="55"/>
      <c r="M35" s="55"/>
      <c r="N35" s="56" t="str">
        <f aca="false">IF(J35="","",IF($H35=$I35,IF(OR(AND($G35="Higher is better",J35&gt;=$H35),AND($G35="Lower is better",J35&lt;=$H35)),A_Scoring_Model!$C$14,0),IF($G35="Higher is better",IF(J35&gt;=$H35,A_Scoring_Model!$C$14,IF(J35&lt;$I35,0,A_Scoring_Model!$C$15+(A_Scoring_Model!$C$14-A_Scoring_Model!$C$15)*(J35-$I35)/($H35-$I35))),IF(J35&lt;=$H35,A_Scoring_Model!$C$14,IF(J35&gt;$I35,0,A_Scoring_Model!$C$15+(A_Scoring_Model!$C$14-A_Scoring_Model!$C$15)*($I35-J35)/($I35-$H35))))))</f>
        <v/>
      </c>
      <c r="O35" s="56" t="str">
        <f aca="false">IF(K35="","",IF($H35=$I35,IF(OR(AND($G35="Higher is better",K35&gt;=$H35),AND($G35="Lower is better",K35&lt;=$H35)),A_Scoring_Model!$C$14,0),IF($G35="Higher is better",IF(K35&gt;=$H35,A_Scoring_Model!$C$14,IF(K35&lt;$I35,0,A_Scoring_Model!$C$15+(A_Scoring_Model!$C$14-A_Scoring_Model!$C$15)*(K35-$I35)/($H35-$I35))),IF(K35&lt;=$H35,A_Scoring_Model!$C$14,IF(K35&gt;$I35,0,A_Scoring_Model!$C$15+(A_Scoring_Model!$C$14-A_Scoring_Model!$C$15)*($I35-K35)/($I35-$H35))))))</f>
        <v/>
      </c>
      <c r="P35" s="56" t="str">
        <f aca="false">IF(L35="","",IF($H35=$I35,IF(OR(AND($G35="Higher is better",L35&gt;=$H35),AND($G35="Lower is better",L35&lt;=$H35)),A_Scoring_Model!$C$14,0),IF($G35="Higher is better",IF(L35&gt;=$H35,A_Scoring_Model!$C$14,IF(L35&lt;$I35,0,A_Scoring_Model!$C$15+(A_Scoring_Model!$C$14-A_Scoring_Model!$C$15)*(L35-$I35)/($H35-$I35))),IF(L35&lt;=$H35,A_Scoring_Model!$C$14,IF(L35&gt;$I35,0,A_Scoring_Model!$C$15+(A_Scoring_Model!$C$14-A_Scoring_Model!$C$15)*($I35-L35)/($I35-$H35))))))</f>
        <v/>
      </c>
      <c r="Q35" s="56" t="str">
        <f aca="false">IF(M35="","",IF($H35=$I35,IF(OR(AND($G35="Higher is better",M35&gt;=$H35),AND($G35="Lower is better",M35&lt;=$H35)),A_Scoring_Model!$C$14,0),IF($G35="Higher is better",IF(M35&gt;=$H35,A_Scoring_Model!$C$14,IF(M35&lt;$I35,0,A_Scoring_Model!$C$15+(A_Scoring_Model!$C$14-A_Scoring_Model!$C$15)*(M35-$I35)/($H35-$I35))),IF(M35&lt;=$H35,A_Scoring_Model!$C$14,IF(M35&gt;$I35,0,A_Scoring_Model!$C$15+(A_Scoring_Model!$C$14-A_Scoring_Model!$C$15)*($I35-M35)/($I35-$H35))))))</f>
        <v/>
      </c>
    </row>
    <row r="36" customFormat="false" ht="15" hidden="false" customHeight="false" outlineLevel="0" collapsed="false">
      <c r="A36" s="51" t="str">
        <f aca="false">C_KPI_Benchmark!A36</f>
        <v>1.b-D5-13</v>
      </c>
      <c r="B36" s="52" t="str">
        <f aca="false">C_KPI_Benchmark!D36</f>
        <v>1.b</v>
      </c>
      <c r="C36" s="51" t="str">
        <f aca="false">C_KPI_Benchmark!E36</f>
        <v>Feasibility &amp; Quality Analyzer</v>
      </c>
      <c r="D36" s="52" t="str">
        <f aca="false">C_KPI_Benchmark!F36</f>
        <v>D5</v>
      </c>
      <c r="E36" s="51" t="str">
        <f aca="false">C_KPI_Benchmark!J36</f>
        <v>Requirement defects escaping into test design (reduction)</v>
      </c>
      <c r="F36" s="52" t="str">
        <f aca="false">C_KPI_Benchmark!K36</f>
        <v>%</v>
      </c>
      <c r="G36" s="51" t="str">
        <f aca="false">C_KPI_Benchmark!L36</f>
        <v>Higher is better</v>
      </c>
      <c r="H36" s="53" t="n">
        <f aca="false">C_KPI_Benchmark!N36</f>
        <v>0.4</v>
      </c>
      <c r="I36" s="54" t="n">
        <f aca="false">IF(C_KPI_Benchmark!O36&lt;&gt;"",C_KPI_Benchmark!O36,IF(G36="Higher is better",H36*(1-A_Scoring_Model!$C$16),H36*(1+A_Scoring_Model!$C$16)))</f>
        <v>0.32</v>
      </c>
      <c r="J36" s="55"/>
      <c r="K36" s="55"/>
      <c r="L36" s="55"/>
      <c r="M36" s="55"/>
      <c r="N36" s="56" t="str">
        <f aca="false">IF(J36="","",IF($H36=$I36,IF(OR(AND($G36="Higher is better",J36&gt;=$H36),AND($G36="Lower is better",J36&lt;=$H36)),A_Scoring_Model!$C$14,0),IF($G36="Higher is better",IF(J36&gt;=$H36,A_Scoring_Model!$C$14,IF(J36&lt;$I36,0,A_Scoring_Model!$C$15+(A_Scoring_Model!$C$14-A_Scoring_Model!$C$15)*(J36-$I36)/($H36-$I36))),IF(J36&lt;=$H36,A_Scoring_Model!$C$14,IF(J36&gt;$I36,0,A_Scoring_Model!$C$15+(A_Scoring_Model!$C$14-A_Scoring_Model!$C$15)*($I36-J36)/($I36-$H36))))))</f>
        <v/>
      </c>
      <c r="O36" s="56" t="str">
        <f aca="false">IF(K36="","",IF($H36=$I36,IF(OR(AND($G36="Higher is better",K36&gt;=$H36),AND($G36="Lower is better",K36&lt;=$H36)),A_Scoring_Model!$C$14,0),IF($G36="Higher is better",IF(K36&gt;=$H36,A_Scoring_Model!$C$14,IF(K36&lt;$I36,0,A_Scoring_Model!$C$15+(A_Scoring_Model!$C$14-A_Scoring_Model!$C$15)*(K36-$I36)/($H36-$I36))),IF(K36&lt;=$H36,A_Scoring_Model!$C$14,IF(K36&gt;$I36,0,A_Scoring_Model!$C$15+(A_Scoring_Model!$C$14-A_Scoring_Model!$C$15)*($I36-K36)/($I36-$H36))))))</f>
        <v/>
      </c>
      <c r="P36" s="56" t="str">
        <f aca="false">IF(L36="","",IF($H36=$I36,IF(OR(AND($G36="Higher is better",L36&gt;=$H36),AND($G36="Lower is better",L36&lt;=$H36)),A_Scoring_Model!$C$14,0),IF($G36="Higher is better",IF(L36&gt;=$H36,A_Scoring_Model!$C$14,IF(L36&lt;$I36,0,A_Scoring_Model!$C$15+(A_Scoring_Model!$C$14-A_Scoring_Model!$C$15)*(L36-$I36)/($H36-$I36))),IF(L36&lt;=$H36,A_Scoring_Model!$C$14,IF(L36&gt;$I36,0,A_Scoring_Model!$C$15+(A_Scoring_Model!$C$14-A_Scoring_Model!$C$15)*($I36-L36)/($I36-$H36))))))</f>
        <v/>
      </c>
      <c r="Q36" s="56" t="str">
        <f aca="false">IF(M36="","",IF($H36=$I36,IF(OR(AND($G36="Higher is better",M36&gt;=$H36),AND($G36="Lower is better",M36&lt;=$H36)),A_Scoring_Model!$C$14,0),IF($G36="Higher is better",IF(M36&gt;=$H36,A_Scoring_Model!$C$14,IF(M36&lt;$I36,0,A_Scoring_Model!$C$15+(A_Scoring_Model!$C$14-A_Scoring_Model!$C$15)*(M36-$I36)/($H36-$I36))),IF(M36&lt;=$H36,A_Scoring_Model!$C$14,IF(M36&gt;$I36,0,A_Scoring_Model!$C$15+(A_Scoring_Model!$C$14-A_Scoring_Model!$C$15)*($I36-M36)/($I36-$H36))))))</f>
        <v/>
      </c>
    </row>
    <row r="37" customFormat="false" ht="15" hidden="false" customHeight="false" outlineLevel="0" collapsed="false">
      <c r="A37" s="51" t="str">
        <f aca="false">C_KPI_Benchmark!A37</f>
        <v>1.b-D6-14</v>
      </c>
      <c r="B37" s="52" t="str">
        <f aca="false">C_KPI_Benchmark!D37</f>
        <v>1.b</v>
      </c>
      <c r="C37" s="51" t="str">
        <f aca="false">C_KPI_Benchmark!E37</f>
        <v>Feasibility &amp; Quality Analyzer</v>
      </c>
      <c r="D37" s="52" t="str">
        <f aca="false">C_KPI_Benchmark!F37</f>
        <v>D6</v>
      </c>
      <c r="E37" s="51" t="str">
        <f aca="false">C_KPI_Benchmark!J37</f>
        <v>Solution code test coverage</v>
      </c>
      <c r="F37" s="52" t="str">
        <f aca="false">C_KPI_Benchmark!K37</f>
        <v>%</v>
      </c>
      <c r="G37" s="51" t="str">
        <f aca="false">C_KPI_Benchmark!L37</f>
        <v>Higher is better</v>
      </c>
      <c r="H37" s="53" t="n">
        <f aca="false">C_KPI_Benchmark!N37</f>
        <v>0.8</v>
      </c>
      <c r="I37" s="54" t="n">
        <f aca="false">IF(C_KPI_Benchmark!O37&lt;&gt;"",C_KPI_Benchmark!O37,IF(G37="Higher is better",H37*(1-A_Scoring_Model!$C$16),H37*(1+A_Scoring_Model!$C$16)))</f>
        <v>0.6</v>
      </c>
      <c r="J37" s="55"/>
      <c r="K37" s="55"/>
      <c r="L37" s="55"/>
      <c r="M37" s="55"/>
      <c r="N37" s="56" t="str">
        <f aca="false">IF(J37="","",IF($H37=$I37,IF(OR(AND($G37="Higher is better",J37&gt;=$H37),AND($G37="Lower is better",J37&lt;=$H37)),A_Scoring_Model!$C$14,0),IF($G37="Higher is better",IF(J37&gt;=$H37,A_Scoring_Model!$C$14,IF(J37&lt;$I37,0,A_Scoring_Model!$C$15+(A_Scoring_Model!$C$14-A_Scoring_Model!$C$15)*(J37-$I37)/($H37-$I37))),IF(J37&lt;=$H37,A_Scoring_Model!$C$14,IF(J37&gt;$I37,0,A_Scoring_Model!$C$15+(A_Scoring_Model!$C$14-A_Scoring_Model!$C$15)*($I37-J37)/($I37-$H37))))))</f>
        <v/>
      </c>
      <c r="O37" s="56" t="str">
        <f aca="false">IF(K37="","",IF($H37=$I37,IF(OR(AND($G37="Higher is better",K37&gt;=$H37),AND($G37="Lower is better",K37&lt;=$H37)),A_Scoring_Model!$C$14,0),IF($G37="Higher is better",IF(K37&gt;=$H37,A_Scoring_Model!$C$14,IF(K37&lt;$I37,0,A_Scoring_Model!$C$15+(A_Scoring_Model!$C$14-A_Scoring_Model!$C$15)*(K37-$I37)/($H37-$I37))),IF(K37&lt;=$H37,A_Scoring_Model!$C$14,IF(K37&gt;$I37,0,A_Scoring_Model!$C$15+(A_Scoring_Model!$C$14-A_Scoring_Model!$C$15)*($I37-K37)/($I37-$H37))))))</f>
        <v/>
      </c>
      <c r="P37" s="56" t="str">
        <f aca="false">IF(L37="","",IF($H37=$I37,IF(OR(AND($G37="Higher is better",L37&gt;=$H37),AND($G37="Lower is better",L37&lt;=$H37)),A_Scoring_Model!$C$14,0),IF($G37="Higher is better",IF(L37&gt;=$H37,A_Scoring_Model!$C$14,IF(L37&lt;$I37,0,A_Scoring_Model!$C$15+(A_Scoring_Model!$C$14-A_Scoring_Model!$C$15)*(L37-$I37)/($H37-$I37))),IF(L37&lt;=$H37,A_Scoring_Model!$C$14,IF(L37&gt;$I37,0,A_Scoring_Model!$C$15+(A_Scoring_Model!$C$14-A_Scoring_Model!$C$15)*($I37-L37)/($I37-$H37))))))</f>
        <v/>
      </c>
      <c r="Q37" s="56" t="str">
        <f aca="false">IF(M37="","",IF($H37=$I37,IF(OR(AND($G37="Higher is better",M37&gt;=$H37),AND($G37="Lower is better",M37&lt;=$H37)),A_Scoring_Model!$C$14,0),IF($G37="Higher is better",IF(M37&gt;=$H37,A_Scoring_Model!$C$14,IF(M37&lt;$I37,0,A_Scoring_Model!$C$15+(A_Scoring_Model!$C$14-A_Scoring_Model!$C$15)*(M37-$I37)/($H37-$I37))),IF(M37&lt;=$H37,A_Scoring_Model!$C$14,IF(M37&gt;$I37,0,A_Scoring_Model!$C$15+(A_Scoring_Model!$C$14-A_Scoring_Model!$C$15)*($I37-M37)/($I37-$H37))))))</f>
        <v/>
      </c>
    </row>
    <row r="38" customFormat="false" ht="15" hidden="false" customHeight="false" outlineLevel="0" collapsed="false">
      <c r="A38" s="51" t="str">
        <f aca="false">C_KPI_Benchmark!A38</f>
        <v>1.b-D6-15</v>
      </c>
      <c r="B38" s="52" t="str">
        <f aca="false">C_KPI_Benchmark!D38</f>
        <v>1.b</v>
      </c>
      <c r="C38" s="51" t="str">
        <f aca="false">C_KPI_Benchmark!E38</f>
        <v>Feasibility &amp; Quality Analyzer</v>
      </c>
      <c r="D38" s="52" t="str">
        <f aca="false">C_KPI_Benchmark!F38</f>
        <v>D6</v>
      </c>
      <c r="E38" s="51" t="str">
        <f aca="false">C_KPI_Benchmark!J38</f>
        <v>Review Shield critical findings</v>
      </c>
      <c r="F38" s="52" t="str">
        <f aca="false">C_KPI_Benchmark!K38</f>
        <v>count</v>
      </c>
      <c r="G38" s="51" t="str">
        <f aca="false">C_KPI_Benchmark!L38</f>
        <v>Lower is better</v>
      </c>
      <c r="H38" s="62" t="n">
        <f aca="false">C_KPI_Benchmark!N38</f>
        <v>0</v>
      </c>
      <c r="I38" s="63" t="n">
        <f aca="false">IF(C_KPI_Benchmark!O38&lt;&gt;"",C_KPI_Benchmark!O38,IF(G38="Higher is better",H38*(1-A_Scoring_Model!$C$16),H38*(1+A_Scoring_Model!$C$16)))</f>
        <v>0</v>
      </c>
      <c r="J38" s="64"/>
      <c r="K38" s="64"/>
      <c r="L38" s="64"/>
      <c r="M38" s="64"/>
      <c r="N38" s="56" t="str">
        <f aca="false">IF(J38="","",IF($H38=$I38,IF(OR(AND($G38="Higher is better",J38&gt;=$H38),AND($G38="Lower is better",J38&lt;=$H38)),A_Scoring_Model!$C$14,0),IF($G38="Higher is better",IF(J38&gt;=$H38,A_Scoring_Model!$C$14,IF(J38&lt;$I38,0,A_Scoring_Model!$C$15+(A_Scoring_Model!$C$14-A_Scoring_Model!$C$15)*(J38-$I38)/($H38-$I38))),IF(J38&lt;=$H38,A_Scoring_Model!$C$14,IF(J38&gt;$I38,0,A_Scoring_Model!$C$15+(A_Scoring_Model!$C$14-A_Scoring_Model!$C$15)*($I38-J38)/($I38-$H38))))))</f>
        <v/>
      </c>
      <c r="O38" s="56" t="str">
        <f aca="false">IF(K38="","",IF($H38=$I38,IF(OR(AND($G38="Higher is better",K38&gt;=$H38),AND($G38="Lower is better",K38&lt;=$H38)),A_Scoring_Model!$C$14,0),IF($G38="Higher is better",IF(K38&gt;=$H38,A_Scoring_Model!$C$14,IF(K38&lt;$I38,0,A_Scoring_Model!$C$15+(A_Scoring_Model!$C$14-A_Scoring_Model!$C$15)*(K38-$I38)/($H38-$I38))),IF(K38&lt;=$H38,A_Scoring_Model!$C$14,IF(K38&gt;$I38,0,A_Scoring_Model!$C$15+(A_Scoring_Model!$C$14-A_Scoring_Model!$C$15)*($I38-K38)/($I38-$H38))))))</f>
        <v/>
      </c>
      <c r="P38" s="56" t="str">
        <f aca="false">IF(L38="","",IF($H38=$I38,IF(OR(AND($G38="Higher is better",L38&gt;=$H38),AND($G38="Lower is better",L38&lt;=$H38)),A_Scoring_Model!$C$14,0),IF($G38="Higher is better",IF(L38&gt;=$H38,A_Scoring_Model!$C$14,IF(L38&lt;$I38,0,A_Scoring_Model!$C$15+(A_Scoring_Model!$C$14-A_Scoring_Model!$C$15)*(L38-$I38)/($H38-$I38))),IF(L38&lt;=$H38,A_Scoring_Model!$C$14,IF(L38&gt;$I38,0,A_Scoring_Model!$C$15+(A_Scoring_Model!$C$14-A_Scoring_Model!$C$15)*($I38-L38)/($I38-$H38))))))</f>
        <v/>
      </c>
      <c r="Q38" s="56" t="str">
        <f aca="false">IF(M38="","",IF($H38=$I38,IF(OR(AND($G38="Higher is better",M38&gt;=$H38),AND($G38="Lower is better",M38&lt;=$H38)),A_Scoring_Model!$C$14,0),IF($G38="Higher is better",IF(M38&gt;=$H38,A_Scoring_Model!$C$14,IF(M38&lt;$I38,0,A_Scoring_Model!$C$15+(A_Scoring_Model!$C$14-A_Scoring_Model!$C$15)*(M38-$I38)/($H38-$I38))),IF(M38&lt;=$H38,A_Scoring_Model!$C$14,IF(M38&gt;$I38,0,A_Scoring_Model!$C$15+(A_Scoring_Model!$C$14-A_Scoring_Model!$C$15)*($I38-M38)/($I38-$H38))))))</f>
        <v/>
      </c>
    </row>
    <row r="39" customFormat="false" ht="15" hidden="false" customHeight="false" outlineLevel="0" collapsed="false">
      <c r="A39" s="51" t="str">
        <f aca="false">C_KPI_Benchmark!A39</f>
        <v>1.b-D6-16</v>
      </c>
      <c r="B39" s="52" t="str">
        <f aca="false">C_KPI_Benchmark!D39</f>
        <v>1.b</v>
      </c>
      <c r="C39" s="51" t="str">
        <f aca="false">C_KPI_Benchmark!E39</f>
        <v>Feasibility &amp; Quality Analyzer</v>
      </c>
      <c r="D39" s="52" t="str">
        <f aca="false">C_KPI_Benchmark!F39</f>
        <v>D6</v>
      </c>
      <c r="E39" s="51" t="str">
        <f aca="false">C_KPI_Benchmark!J39</f>
        <v>SAST high findings and exposed secrets</v>
      </c>
      <c r="F39" s="52" t="str">
        <f aca="false">C_KPI_Benchmark!K39</f>
        <v>count</v>
      </c>
      <c r="G39" s="51" t="str">
        <f aca="false">C_KPI_Benchmark!L39</f>
        <v>Lower is better</v>
      </c>
      <c r="H39" s="62" t="n">
        <f aca="false">C_KPI_Benchmark!N39</f>
        <v>0</v>
      </c>
      <c r="I39" s="63" t="n">
        <f aca="false">IF(C_KPI_Benchmark!O39&lt;&gt;"",C_KPI_Benchmark!O39,IF(G39="Higher is better",H39*(1-A_Scoring_Model!$C$16),H39*(1+A_Scoring_Model!$C$16)))</f>
        <v>0</v>
      </c>
      <c r="J39" s="64"/>
      <c r="K39" s="64"/>
      <c r="L39" s="64"/>
      <c r="M39" s="64"/>
      <c r="N39" s="56" t="str">
        <f aca="false">IF(J39="","",IF($H39=$I39,IF(OR(AND($G39="Higher is better",J39&gt;=$H39),AND($G39="Lower is better",J39&lt;=$H39)),A_Scoring_Model!$C$14,0),IF($G39="Higher is better",IF(J39&gt;=$H39,A_Scoring_Model!$C$14,IF(J39&lt;$I39,0,A_Scoring_Model!$C$15+(A_Scoring_Model!$C$14-A_Scoring_Model!$C$15)*(J39-$I39)/($H39-$I39))),IF(J39&lt;=$H39,A_Scoring_Model!$C$14,IF(J39&gt;$I39,0,A_Scoring_Model!$C$15+(A_Scoring_Model!$C$14-A_Scoring_Model!$C$15)*($I39-J39)/($I39-$H39))))))</f>
        <v/>
      </c>
      <c r="O39" s="56" t="str">
        <f aca="false">IF(K39="","",IF($H39=$I39,IF(OR(AND($G39="Higher is better",K39&gt;=$H39),AND($G39="Lower is better",K39&lt;=$H39)),A_Scoring_Model!$C$14,0),IF($G39="Higher is better",IF(K39&gt;=$H39,A_Scoring_Model!$C$14,IF(K39&lt;$I39,0,A_Scoring_Model!$C$15+(A_Scoring_Model!$C$14-A_Scoring_Model!$C$15)*(K39-$I39)/($H39-$I39))),IF(K39&lt;=$H39,A_Scoring_Model!$C$14,IF(K39&gt;$I39,0,A_Scoring_Model!$C$15+(A_Scoring_Model!$C$14-A_Scoring_Model!$C$15)*($I39-K39)/($I39-$H39))))))</f>
        <v/>
      </c>
      <c r="P39" s="56" t="str">
        <f aca="false">IF(L39="","",IF($H39=$I39,IF(OR(AND($G39="Higher is better",L39&gt;=$H39),AND($G39="Lower is better",L39&lt;=$H39)),A_Scoring_Model!$C$14,0),IF($G39="Higher is better",IF(L39&gt;=$H39,A_Scoring_Model!$C$14,IF(L39&lt;$I39,0,A_Scoring_Model!$C$15+(A_Scoring_Model!$C$14-A_Scoring_Model!$C$15)*(L39-$I39)/($H39-$I39))),IF(L39&lt;=$H39,A_Scoring_Model!$C$14,IF(L39&gt;$I39,0,A_Scoring_Model!$C$15+(A_Scoring_Model!$C$14-A_Scoring_Model!$C$15)*($I39-L39)/($I39-$H39))))))</f>
        <v/>
      </c>
      <c r="Q39" s="56" t="str">
        <f aca="false">IF(M39="","",IF($H39=$I39,IF(OR(AND($G39="Higher is better",M39&gt;=$H39),AND($G39="Lower is better",M39&lt;=$H39)),A_Scoring_Model!$C$14,0),IF($G39="Higher is better",IF(M39&gt;=$H39,A_Scoring_Model!$C$14,IF(M39&lt;$I39,0,A_Scoring_Model!$C$15+(A_Scoring_Model!$C$14-A_Scoring_Model!$C$15)*(M39-$I39)/($H39-$I39))),IF(M39&lt;=$H39,A_Scoring_Model!$C$14,IF(M39&gt;$I39,0,A_Scoring_Model!$C$15+(A_Scoring_Model!$C$14-A_Scoring_Model!$C$15)*($I39-M39)/($I39-$H39))))))</f>
        <v/>
      </c>
    </row>
    <row r="40" customFormat="false" ht="23.85" hidden="false" customHeight="false" outlineLevel="0" collapsed="false">
      <c r="A40" s="51" t="str">
        <f aca="false">C_KPI_Benchmark!A40</f>
        <v>1.b-D6-17</v>
      </c>
      <c r="B40" s="52" t="str">
        <f aca="false">C_KPI_Benchmark!D40</f>
        <v>1.b</v>
      </c>
      <c r="C40" s="51" t="str">
        <f aca="false">C_KPI_Benchmark!E40</f>
        <v>Feasibility &amp; Quality Analyzer</v>
      </c>
      <c r="D40" s="52" t="str">
        <f aca="false">C_KPI_Benchmark!F40</f>
        <v>D6</v>
      </c>
      <c r="E40" s="51" t="str">
        <f aca="false">C_KPI_Benchmark!J40</f>
        <v>Documentation pack complete (README, I/O contract, model card, runbook)</v>
      </c>
      <c r="F40" s="52" t="str">
        <f aca="false">C_KPI_Benchmark!K40</f>
        <v>Yes/No</v>
      </c>
      <c r="G40" s="51" t="str">
        <f aca="false">C_KPI_Benchmark!L40</f>
        <v>Higher is better</v>
      </c>
      <c r="H40" s="60" t="n">
        <f aca="false">C_KPI_Benchmark!N40</f>
        <v>1</v>
      </c>
      <c r="I40" s="56" t="n">
        <f aca="false">IF(C_KPI_Benchmark!O40&lt;&gt;"",C_KPI_Benchmark!O40,IF(G40="Higher is better",H40*(1-A_Scoring_Model!$C$16),H40*(1+A_Scoring_Model!$C$16)))</f>
        <v>0.8</v>
      </c>
      <c r="J40" s="61"/>
      <c r="K40" s="61"/>
      <c r="L40" s="61"/>
      <c r="M40" s="61"/>
      <c r="N40" s="56" t="str">
        <f aca="false">IF(J40="","",IF($H40=$I40,IF(OR(AND($G40="Higher is better",J40&gt;=$H40),AND($G40="Lower is better",J40&lt;=$H40)),A_Scoring_Model!$C$14,0),IF($G40="Higher is better",IF(J40&gt;=$H40,A_Scoring_Model!$C$14,IF(J40&lt;$I40,0,A_Scoring_Model!$C$15+(A_Scoring_Model!$C$14-A_Scoring_Model!$C$15)*(J40-$I40)/($H40-$I40))),IF(J40&lt;=$H40,A_Scoring_Model!$C$14,IF(J40&gt;$I40,0,A_Scoring_Model!$C$15+(A_Scoring_Model!$C$14-A_Scoring_Model!$C$15)*($I40-J40)/($I40-$H40))))))</f>
        <v/>
      </c>
      <c r="O40" s="56" t="str">
        <f aca="false">IF(K40="","",IF($H40=$I40,IF(OR(AND($G40="Higher is better",K40&gt;=$H40),AND($G40="Lower is better",K40&lt;=$H40)),A_Scoring_Model!$C$14,0),IF($G40="Higher is better",IF(K40&gt;=$H40,A_Scoring_Model!$C$14,IF(K40&lt;$I40,0,A_Scoring_Model!$C$15+(A_Scoring_Model!$C$14-A_Scoring_Model!$C$15)*(K40-$I40)/($H40-$I40))),IF(K40&lt;=$H40,A_Scoring_Model!$C$14,IF(K40&gt;$I40,0,A_Scoring_Model!$C$15+(A_Scoring_Model!$C$14-A_Scoring_Model!$C$15)*($I40-K40)/($I40-$H40))))))</f>
        <v/>
      </c>
      <c r="P40" s="56" t="str">
        <f aca="false">IF(L40="","",IF($H40=$I40,IF(OR(AND($G40="Higher is better",L40&gt;=$H40),AND($G40="Lower is better",L40&lt;=$H40)),A_Scoring_Model!$C$14,0),IF($G40="Higher is better",IF(L40&gt;=$H40,A_Scoring_Model!$C$14,IF(L40&lt;$I40,0,A_Scoring_Model!$C$15+(A_Scoring_Model!$C$14-A_Scoring_Model!$C$15)*(L40-$I40)/($H40-$I40))),IF(L40&lt;=$H40,A_Scoring_Model!$C$14,IF(L40&gt;$I40,0,A_Scoring_Model!$C$15+(A_Scoring_Model!$C$14-A_Scoring_Model!$C$15)*($I40-L40)/($I40-$H40))))))</f>
        <v/>
      </c>
      <c r="Q40" s="56" t="str">
        <f aca="false">IF(M40="","",IF($H40=$I40,IF(OR(AND($G40="Higher is better",M40&gt;=$H40),AND($G40="Lower is better",M40&lt;=$H40)),A_Scoring_Model!$C$14,0),IF($G40="Higher is better",IF(M40&gt;=$H40,A_Scoring_Model!$C$14,IF(M40&lt;$I40,0,A_Scoring_Model!$C$15+(A_Scoring_Model!$C$14-A_Scoring_Model!$C$15)*(M40-$I40)/($H40-$I40))),IF(M40&lt;=$H40,A_Scoring_Model!$C$14,IF(M40&gt;$I40,0,A_Scoring_Model!$C$15+(A_Scoring_Model!$C$14-A_Scoring_Model!$C$15)*($I40-M40)/($I40-$H40))))))</f>
        <v/>
      </c>
    </row>
    <row r="41" customFormat="false" ht="15" hidden="false" customHeight="false" outlineLevel="0" collapsed="false">
      <c r="A41" s="51" t="str">
        <f aca="false">C_KPI_Benchmark!A41</f>
        <v>1.b-D6-18</v>
      </c>
      <c r="B41" s="52" t="str">
        <f aca="false">C_KPI_Benchmark!D41</f>
        <v>1.b</v>
      </c>
      <c r="C41" s="51" t="str">
        <f aca="false">C_KPI_Benchmark!E41</f>
        <v>Feasibility &amp; Quality Analyzer</v>
      </c>
      <c r="D41" s="52" t="str">
        <f aca="false">C_KPI_Benchmark!F41</f>
        <v>D6</v>
      </c>
      <c r="E41" s="51" t="str">
        <f aca="false">C_KPI_Benchmark!J41</f>
        <v>Named owner and support SLA</v>
      </c>
      <c r="F41" s="52" t="str">
        <f aca="false">C_KPI_Benchmark!K41</f>
        <v>Yes/No</v>
      </c>
      <c r="G41" s="51" t="str">
        <f aca="false">C_KPI_Benchmark!L41</f>
        <v>Higher is better</v>
      </c>
      <c r="H41" s="60" t="n">
        <f aca="false">C_KPI_Benchmark!N41</f>
        <v>1</v>
      </c>
      <c r="I41" s="56" t="n">
        <f aca="false">IF(C_KPI_Benchmark!O41&lt;&gt;"",C_KPI_Benchmark!O41,IF(G41="Higher is better",H41*(1-A_Scoring_Model!$C$16),H41*(1+A_Scoring_Model!$C$16)))</f>
        <v>0.8</v>
      </c>
      <c r="J41" s="61"/>
      <c r="K41" s="61"/>
      <c r="L41" s="61"/>
      <c r="M41" s="61"/>
      <c r="N41" s="56" t="str">
        <f aca="false">IF(J41="","",IF($H41=$I41,IF(OR(AND($G41="Higher is better",J41&gt;=$H41),AND($G41="Lower is better",J41&lt;=$H41)),A_Scoring_Model!$C$14,0),IF($G41="Higher is better",IF(J41&gt;=$H41,A_Scoring_Model!$C$14,IF(J41&lt;$I41,0,A_Scoring_Model!$C$15+(A_Scoring_Model!$C$14-A_Scoring_Model!$C$15)*(J41-$I41)/($H41-$I41))),IF(J41&lt;=$H41,A_Scoring_Model!$C$14,IF(J41&gt;$I41,0,A_Scoring_Model!$C$15+(A_Scoring_Model!$C$14-A_Scoring_Model!$C$15)*($I41-J41)/($I41-$H41))))))</f>
        <v/>
      </c>
      <c r="O41" s="56" t="str">
        <f aca="false">IF(K41="","",IF($H41=$I41,IF(OR(AND($G41="Higher is better",K41&gt;=$H41),AND($G41="Lower is better",K41&lt;=$H41)),A_Scoring_Model!$C$14,0),IF($G41="Higher is better",IF(K41&gt;=$H41,A_Scoring_Model!$C$14,IF(K41&lt;$I41,0,A_Scoring_Model!$C$15+(A_Scoring_Model!$C$14-A_Scoring_Model!$C$15)*(K41-$I41)/($H41-$I41))),IF(K41&lt;=$H41,A_Scoring_Model!$C$14,IF(K41&gt;$I41,0,A_Scoring_Model!$C$15+(A_Scoring_Model!$C$14-A_Scoring_Model!$C$15)*($I41-K41)/($I41-$H41))))))</f>
        <v/>
      </c>
      <c r="P41" s="56" t="str">
        <f aca="false">IF(L41="","",IF($H41=$I41,IF(OR(AND($G41="Higher is better",L41&gt;=$H41),AND($G41="Lower is better",L41&lt;=$H41)),A_Scoring_Model!$C$14,0),IF($G41="Higher is better",IF(L41&gt;=$H41,A_Scoring_Model!$C$14,IF(L41&lt;$I41,0,A_Scoring_Model!$C$15+(A_Scoring_Model!$C$14-A_Scoring_Model!$C$15)*(L41-$I41)/($H41-$I41))),IF(L41&lt;=$H41,A_Scoring_Model!$C$14,IF(L41&gt;$I41,0,A_Scoring_Model!$C$15+(A_Scoring_Model!$C$14-A_Scoring_Model!$C$15)*($I41-L41)/($I41-$H41))))))</f>
        <v/>
      </c>
      <c r="Q41" s="56" t="str">
        <f aca="false">IF(M41="","",IF($H41=$I41,IF(OR(AND($G41="Higher is better",M41&gt;=$H41),AND($G41="Lower is better",M41&lt;=$H41)),A_Scoring_Model!$C$14,0),IF($G41="Higher is better",IF(M41&gt;=$H41,A_Scoring_Model!$C$14,IF(M41&lt;$I41,0,A_Scoring_Model!$C$15+(A_Scoring_Model!$C$14-A_Scoring_Model!$C$15)*(M41-$I41)/($H41-$I41))),IF(M41&lt;=$H41,A_Scoring_Model!$C$14,IF(M41&gt;$I41,0,A_Scoring_Model!$C$15+(A_Scoring_Model!$C$14-A_Scoring_Model!$C$15)*($I41-M41)/($I41-$H41))))))</f>
        <v/>
      </c>
    </row>
    <row r="42" customFormat="false" ht="15" hidden="false" customHeight="false" outlineLevel="0" collapsed="false">
      <c r="A42" s="51" t="str">
        <f aca="false">C_KPI_Benchmark!A42</f>
        <v>1.c-D1-01</v>
      </c>
      <c r="B42" s="52" t="str">
        <f aca="false">C_KPI_Benchmark!D42</f>
        <v>1.c</v>
      </c>
      <c r="C42" s="51" t="str">
        <f aca="false">C_KPI_Benchmark!E42</f>
        <v>RTM Auto-Generator + Risk Scoring</v>
      </c>
      <c r="D42" s="52" t="str">
        <f aca="false">C_KPI_Benchmark!F42</f>
        <v>D1</v>
      </c>
      <c r="E42" s="51" t="str">
        <f aca="false">C_KPI_Benchmark!J42</f>
        <v>Trace-link precision</v>
      </c>
      <c r="F42" s="52" t="str">
        <f aca="false">C_KPI_Benchmark!K42</f>
        <v>ratio</v>
      </c>
      <c r="G42" s="51" t="str">
        <f aca="false">C_KPI_Benchmark!L42</f>
        <v>Higher is better</v>
      </c>
      <c r="H42" s="57" t="n">
        <f aca="false">C_KPI_Benchmark!N42</f>
        <v>0.9</v>
      </c>
      <c r="I42" s="58" t="n">
        <f aca="false">IF(C_KPI_Benchmark!O42&lt;&gt;"",C_KPI_Benchmark!O42,IF(G42="Higher is better",H42*(1-A_Scoring_Model!$C$16),H42*(1+A_Scoring_Model!$C$16)))</f>
        <v>0.8</v>
      </c>
      <c r="J42" s="59"/>
      <c r="K42" s="59"/>
      <c r="L42" s="59"/>
      <c r="M42" s="59"/>
      <c r="N42" s="56" t="str">
        <f aca="false">IF(J42="","",IF($H42=$I42,IF(OR(AND($G42="Higher is better",J42&gt;=$H42),AND($G42="Lower is better",J42&lt;=$H42)),A_Scoring_Model!$C$14,0),IF($G42="Higher is better",IF(J42&gt;=$H42,A_Scoring_Model!$C$14,IF(J42&lt;$I42,0,A_Scoring_Model!$C$15+(A_Scoring_Model!$C$14-A_Scoring_Model!$C$15)*(J42-$I42)/($H42-$I42))),IF(J42&lt;=$H42,A_Scoring_Model!$C$14,IF(J42&gt;$I42,0,A_Scoring_Model!$C$15+(A_Scoring_Model!$C$14-A_Scoring_Model!$C$15)*($I42-J42)/($I42-$H42))))))</f>
        <v/>
      </c>
      <c r="O42" s="56" t="str">
        <f aca="false">IF(K42="","",IF($H42=$I42,IF(OR(AND($G42="Higher is better",K42&gt;=$H42),AND($G42="Lower is better",K42&lt;=$H42)),A_Scoring_Model!$C$14,0),IF($G42="Higher is better",IF(K42&gt;=$H42,A_Scoring_Model!$C$14,IF(K42&lt;$I42,0,A_Scoring_Model!$C$15+(A_Scoring_Model!$C$14-A_Scoring_Model!$C$15)*(K42-$I42)/($H42-$I42))),IF(K42&lt;=$H42,A_Scoring_Model!$C$14,IF(K42&gt;$I42,0,A_Scoring_Model!$C$15+(A_Scoring_Model!$C$14-A_Scoring_Model!$C$15)*($I42-K42)/($I42-$H42))))))</f>
        <v/>
      </c>
      <c r="P42" s="56" t="str">
        <f aca="false">IF(L42="","",IF($H42=$I42,IF(OR(AND($G42="Higher is better",L42&gt;=$H42),AND($G42="Lower is better",L42&lt;=$H42)),A_Scoring_Model!$C$14,0),IF($G42="Higher is better",IF(L42&gt;=$H42,A_Scoring_Model!$C$14,IF(L42&lt;$I42,0,A_Scoring_Model!$C$15+(A_Scoring_Model!$C$14-A_Scoring_Model!$C$15)*(L42-$I42)/($H42-$I42))),IF(L42&lt;=$H42,A_Scoring_Model!$C$14,IF(L42&gt;$I42,0,A_Scoring_Model!$C$15+(A_Scoring_Model!$C$14-A_Scoring_Model!$C$15)*($I42-L42)/($I42-$H42))))))</f>
        <v/>
      </c>
      <c r="Q42" s="56" t="str">
        <f aca="false">IF(M42="","",IF($H42=$I42,IF(OR(AND($G42="Higher is better",M42&gt;=$H42),AND($G42="Lower is better",M42&lt;=$H42)),A_Scoring_Model!$C$14,0),IF($G42="Higher is better",IF(M42&gt;=$H42,A_Scoring_Model!$C$14,IF(M42&lt;$I42,0,A_Scoring_Model!$C$15+(A_Scoring_Model!$C$14-A_Scoring_Model!$C$15)*(M42-$I42)/($H42-$I42))),IF(M42&lt;=$H42,A_Scoring_Model!$C$14,IF(M42&gt;$I42,0,A_Scoring_Model!$C$15+(A_Scoring_Model!$C$14-A_Scoring_Model!$C$15)*($I42-M42)/($I42-$H42))))))</f>
        <v/>
      </c>
    </row>
    <row r="43" customFormat="false" ht="15" hidden="false" customHeight="false" outlineLevel="0" collapsed="false">
      <c r="A43" s="51" t="str">
        <f aca="false">C_KPI_Benchmark!A43</f>
        <v>1.c-D1-02</v>
      </c>
      <c r="B43" s="52" t="str">
        <f aca="false">C_KPI_Benchmark!D43</f>
        <v>1.c</v>
      </c>
      <c r="C43" s="51" t="str">
        <f aca="false">C_KPI_Benchmark!E43</f>
        <v>RTM Auto-Generator + Risk Scoring</v>
      </c>
      <c r="D43" s="52" t="str">
        <f aca="false">C_KPI_Benchmark!F43</f>
        <v>D1</v>
      </c>
      <c r="E43" s="51" t="str">
        <f aca="false">C_KPI_Benchmark!J43</f>
        <v>Trace-link recall</v>
      </c>
      <c r="F43" s="52" t="str">
        <f aca="false">C_KPI_Benchmark!K43</f>
        <v>ratio</v>
      </c>
      <c r="G43" s="51" t="str">
        <f aca="false">C_KPI_Benchmark!L43</f>
        <v>Higher is better</v>
      </c>
      <c r="H43" s="57" t="n">
        <f aca="false">C_KPI_Benchmark!N43</f>
        <v>0.85</v>
      </c>
      <c r="I43" s="58" t="n">
        <f aca="false">IF(C_KPI_Benchmark!O43&lt;&gt;"",C_KPI_Benchmark!O43,IF(G43="Higher is better",H43*(1-A_Scoring_Model!$C$16),H43*(1+A_Scoring_Model!$C$16)))</f>
        <v>0.75</v>
      </c>
      <c r="J43" s="59"/>
      <c r="K43" s="59"/>
      <c r="L43" s="59"/>
      <c r="M43" s="59"/>
      <c r="N43" s="56" t="str">
        <f aca="false">IF(J43="","",IF($H43=$I43,IF(OR(AND($G43="Higher is better",J43&gt;=$H43),AND($G43="Lower is better",J43&lt;=$H43)),A_Scoring_Model!$C$14,0),IF($G43="Higher is better",IF(J43&gt;=$H43,A_Scoring_Model!$C$14,IF(J43&lt;$I43,0,A_Scoring_Model!$C$15+(A_Scoring_Model!$C$14-A_Scoring_Model!$C$15)*(J43-$I43)/($H43-$I43))),IF(J43&lt;=$H43,A_Scoring_Model!$C$14,IF(J43&gt;$I43,0,A_Scoring_Model!$C$15+(A_Scoring_Model!$C$14-A_Scoring_Model!$C$15)*($I43-J43)/($I43-$H43))))))</f>
        <v/>
      </c>
      <c r="O43" s="56" t="str">
        <f aca="false">IF(K43="","",IF($H43=$I43,IF(OR(AND($G43="Higher is better",K43&gt;=$H43),AND($G43="Lower is better",K43&lt;=$H43)),A_Scoring_Model!$C$14,0),IF($G43="Higher is better",IF(K43&gt;=$H43,A_Scoring_Model!$C$14,IF(K43&lt;$I43,0,A_Scoring_Model!$C$15+(A_Scoring_Model!$C$14-A_Scoring_Model!$C$15)*(K43-$I43)/($H43-$I43))),IF(K43&lt;=$H43,A_Scoring_Model!$C$14,IF(K43&gt;$I43,0,A_Scoring_Model!$C$15+(A_Scoring_Model!$C$14-A_Scoring_Model!$C$15)*($I43-K43)/($I43-$H43))))))</f>
        <v/>
      </c>
      <c r="P43" s="56" t="str">
        <f aca="false">IF(L43="","",IF($H43=$I43,IF(OR(AND($G43="Higher is better",L43&gt;=$H43),AND($G43="Lower is better",L43&lt;=$H43)),A_Scoring_Model!$C$14,0),IF($G43="Higher is better",IF(L43&gt;=$H43,A_Scoring_Model!$C$14,IF(L43&lt;$I43,0,A_Scoring_Model!$C$15+(A_Scoring_Model!$C$14-A_Scoring_Model!$C$15)*(L43-$I43)/($H43-$I43))),IF(L43&lt;=$H43,A_Scoring_Model!$C$14,IF(L43&gt;$I43,0,A_Scoring_Model!$C$15+(A_Scoring_Model!$C$14-A_Scoring_Model!$C$15)*($I43-L43)/($I43-$H43))))))</f>
        <v/>
      </c>
      <c r="Q43" s="56" t="str">
        <f aca="false">IF(M43="","",IF($H43=$I43,IF(OR(AND($G43="Higher is better",M43&gt;=$H43),AND($G43="Lower is better",M43&lt;=$H43)),A_Scoring_Model!$C$14,0),IF($G43="Higher is better",IF(M43&gt;=$H43,A_Scoring_Model!$C$14,IF(M43&lt;$I43,0,A_Scoring_Model!$C$15+(A_Scoring_Model!$C$14-A_Scoring_Model!$C$15)*(M43-$I43)/($H43-$I43))),IF(M43&lt;=$H43,A_Scoring_Model!$C$14,IF(M43&gt;$I43,0,A_Scoring_Model!$C$15+(A_Scoring_Model!$C$14-A_Scoring_Model!$C$15)*($I43-M43)/($I43-$H43))))))</f>
        <v/>
      </c>
    </row>
    <row r="44" customFormat="false" ht="15" hidden="false" customHeight="false" outlineLevel="0" collapsed="false">
      <c r="A44" s="51" t="str">
        <f aca="false">C_KPI_Benchmark!A44</f>
        <v>1.c-D1-03</v>
      </c>
      <c r="B44" s="52" t="str">
        <f aca="false">C_KPI_Benchmark!D44</f>
        <v>1.c</v>
      </c>
      <c r="C44" s="51" t="str">
        <f aca="false">C_KPI_Benchmark!E44</f>
        <v>RTM Auto-Generator + Risk Scoring</v>
      </c>
      <c r="D44" s="52" t="str">
        <f aca="false">C_KPI_Benchmark!F44</f>
        <v>D1</v>
      </c>
      <c r="E44" s="51" t="str">
        <f aca="false">C_KPI_Benchmark!J44</f>
        <v>Risk rank vs SME (Spearman ρ)</v>
      </c>
      <c r="F44" s="52" t="str">
        <f aca="false">C_KPI_Benchmark!K44</f>
        <v>ρ</v>
      </c>
      <c r="G44" s="51" t="str">
        <f aca="false">C_KPI_Benchmark!L44</f>
        <v>Higher is better</v>
      </c>
      <c r="H44" s="57" t="n">
        <f aca="false">C_KPI_Benchmark!N44</f>
        <v>0.75</v>
      </c>
      <c r="I44" s="58" t="n">
        <f aca="false">IF(C_KPI_Benchmark!O44&lt;&gt;"",C_KPI_Benchmark!O44,IF(G44="Higher is better",H44*(1-A_Scoring_Model!$C$16),H44*(1+A_Scoring_Model!$C$16)))</f>
        <v>0.6</v>
      </c>
      <c r="J44" s="59"/>
      <c r="K44" s="59"/>
      <c r="L44" s="59"/>
      <c r="M44" s="59"/>
      <c r="N44" s="56" t="str">
        <f aca="false">IF(J44="","",IF($H44=$I44,IF(OR(AND($G44="Higher is better",J44&gt;=$H44),AND($G44="Lower is better",J44&lt;=$H44)),A_Scoring_Model!$C$14,0),IF($G44="Higher is better",IF(J44&gt;=$H44,A_Scoring_Model!$C$14,IF(J44&lt;$I44,0,A_Scoring_Model!$C$15+(A_Scoring_Model!$C$14-A_Scoring_Model!$C$15)*(J44-$I44)/($H44-$I44))),IF(J44&lt;=$H44,A_Scoring_Model!$C$14,IF(J44&gt;$I44,0,A_Scoring_Model!$C$15+(A_Scoring_Model!$C$14-A_Scoring_Model!$C$15)*($I44-J44)/($I44-$H44))))))</f>
        <v/>
      </c>
      <c r="O44" s="56" t="str">
        <f aca="false">IF(K44="","",IF($H44=$I44,IF(OR(AND($G44="Higher is better",K44&gt;=$H44),AND($G44="Lower is better",K44&lt;=$H44)),A_Scoring_Model!$C$14,0),IF($G44="Higher is better",IF(K44&gt;=$H44,A_Scoring_Model!$C$14,IF(K44&lt;$I44,0,A_Scoring_Model!$C$15+(A_Scoring_Model!$C$14-A_Scoring_Model!$C$15)*(K44-$I44)/($H44-$I44))),IF(K44&lt;=$H44,A_Scoring_Model!$C$14,IF(K44&gt;$I44,0,A_Scoring_Model!$C$15+(A_Scoring_Model!$C$14-A_Scoring_Model!$C$15)*($I44-K44)/($I44-$H44))))))</f>
        <v/>
      </c>
      <c r="P44" s="56" t="str">
        <f aca="false">IF(L44="","",IF($H44=$I44,IF(OR(AND($G44="Higher is better",L44&gt;=$H44),AND($G44="Lower is better",L44&lt;=$H44)),A_Scoring_Model!$C$14,0),IF($G44="Higher is better",IF(L44&gt;=$H44,A_Scoring_Model!$C$14,IF(L44&lt;$I44,0,A_Scoring_Model!$C$15+(A_Scoring_Model!$C$14-A_Scoring_Model!$C$15)*(L44-$I44)/($H44-$I44))),IF(L44&lt;=$H44,A_Scoring_Model!$C$14,IF(L44&gt;$I44,0,A_Scoring_Model!$C$15+(A_Scoring_Model!$C$14-A_Scoring_Model!$C$15)*($I44-L44)/($I44-$H44))))))</f>
        <v/>
      </c>
      <c r="Q44" s="56" t="str">
        <f aca="false">IF(M44="","",IF($H44=$I44,IF(OR(AND($G44="Higher is better",M44&gt;=$H44),AND($G44="Lower is better",M44&lt;=$H44)),A_Scoring_Model!$C$14,0),IF($G44="Higher is better",IF(M44&gt;=$H44,A_Scoring_Model!$C$14,IF(M44&lt;$I44,0,A_Scoring_Model!$C$15+(A_Scoring_Model!$C$14-A_Scoring_Model!$C$15)*(M44-$I44)/($H44-$I44))),IF(M44&lt;=$H44,A_Scoring_Model!$C$14,IF(M44&gt;$I44,0,A_Scoring_Model!$C$15+(A_Scoring_Model!$C$14-A_Scoring_Model!$C$15)*($I44-M44)/($I44-$H44))))))</f>
        <v/>
      </c>
    </row>
    <row r="45" customFormat="false" ht="15" hidden="false" customHeight="false" outlineLevel="0" collapsed="false">
      <c r="A45" s="51" t="str">
        <f aca="false">C_KPI_Benchmark!A45</f>
        <v>1.c-D1-04</v>
      </c>
      <c r="B45" s="52" t="str">
        <f aca="false">C_KPI_Benchmark!D45</f>
        <v>1.c</v>
      </c>
      <c r="C45" s="51" t="str">
        <f aca="false">C_KPI_Benchmark!E45</f>
        <v>RTM Auto-Generator + Risk Scoring</v>
      </c>
      <c r="D45" s="52" t="str">
        <f aca="false">C_KPI_Benchmark!F45</f>
        <v>D1</v>
      </c>
      <c r="E45" s="51" t="str">
        <f aca="false">C_KPI_Benchmark!J45</f>
        <v>Orphan requirement / TC detection</v>
      </c>
      <c r="F45" s="52" t="str">
        <f aca="false">C_KPI_Benchmark!K45</f>
        <v>%</v>
      </c>
      <c r="G45" s="51" t="str">
        <f aca="false">C_KPI_Benchmark!L45</f>
        <v>Higher is better</v>
      </c>
      <c r="H45" s="53" t="n">
        <f aca="false">C_KPI_Benchmark!N45</f>
        <v>1</v>
      </c>
      <c r="I45" s="54" t="n">
        <f aca="false">IF(C_KPI_Benchmark!O45&lt;&gt;"",C_KPI_Benchmark!O45,IF(G45="Higher is better",H45*(1-A_Scoring_Model!$C$16),H45*(1+A_Scoring_Model!$C$16)))</f>
        <v>0.98</v>
      </c>
      <c r="J45" s="55"/>
      <c r="K45" s="55"/>
      <c r="L45" s="55"/>
      <c r="M45" s="55"/>
      <c r="N45" s="56" t="str">
        <f aca="false">IF(J45="","",IF($H45=$I45,IF(OR(AND($G45="Higher is better",J45&gt;=$H45),AND($G45="Lower is better",J45&lt;=$H45)),A_Scoring_Model!$C$14,0),IF($G45="Higher is better",IF(J45&gt;=$H45,A_Scoring_Model!$C$14,IF(J45&lt;$I45,0,A_Scoring_Model!$C$15+(A_Scoring_Model!$C$14-A_Scoring_Model!$C$15)*(J45-$I45)/($H45-$I45))),IF(J45&lt;=$H45,A_Scoring_Model!$C$14,IF(J45&gt;$I45,0,A_Scoring_Model!$C$15+(A_Scoring_Model!$C$14-A_Scoring_Model!$C$15)*($I45-J45)/($I45-$H45))))))</f>
        <v/>
      </c>
      <c r="O45" s="56" t="str">
        <f aca="false">IF(K45="","",IF($H45=$I45,IF(OR(AND($G45="Higher is better",K45&gt;=$H45),AND($G45="Lower is better",K45&lt;=$H45)),A_Scoring_Model!$C$14,0),IF($G45="Higher is better",IF(K45&gt;=$H45,A_Scoring_Model!$C$14,IF(K45&lt;$I45,0,A_Scoring_Model!$C$15+(A_Scoring_Model!$C$14-A_Scoring_Model!$C$15)*(K45-$I45)/($H45-$I45))),IF(K45&lt;=$H45,A_Scoring_Model!$C$14,IF(K45&gt;$I45,0,A_Scoring_Model!$C$15+(A_Scoring_Model!$C$14-A_Scoring_Model!$C$15)*($I45-K45)/($I45-$H45))))))</f>
        <v/>
      </c>
      <c r="P45" s="56" t="str">
        <f aca="false">IF(L45="","",IF($H45=$I45,IF(OR(AND($G45="Higher is better",L45&gt;=$H45),AND($G45="Lower is better",L45&lt;=$H45)),A_Scoring_Model!$C$14,0),IF($G45="Higher is better",IF(L45&gt;=$H45,A_Scoring_Model!$C$14,IF(L45&lt;$I45,0,A_Scoring_Model!$C$15+(A_Scoring_Model!$C$14-A_Scoring_Model!$C$15)*(L45-$I45)/($H45-$I45))),IF(L45&lt;=$H45,A_Scoring_Model!$C$14,IF(L45&gt;$I45,0,A_Scoring_Model!$C$15+(A_Scoring_Model!$C$14-A_Scoring_Model!$C$15)*($I45-L45)/($I45-$H45))))))</f>
        <v/>
      </c>
      <c r="Q45" s="56" t="str">
        <f aca="false">IF(M45="","",IF($H45=$I45,IF(OR(AND($G45="Higher is better",M45&gt;=$H45),AND($G45="Lower is better",M45&lt;=$H45)),A_Scoring_Model!$C$14,0),IF($G45="Higher is better",IF(M45&gt;=$H45,A_Scoring_Model!$C$14,IF(M45&lt;$I45,0,A_Scoring_Model!$C$15+(A_Scoring_Model!$C$14-A_Scoring_Model!$C$15)*(M45-$I45)/($H45-$I45))),IF(M45&lt;=$H45,A_Scoring_Model!$C$14,IF(M45&gt;$I45,0,A_Scoring_Model!$C$15+(A_Scoring_Model!$C$14-A_Scoring_Model!$C$15)*($I45-M45)/($I45-$H45))))))</f>
        <v/>
      </c>
    </row>
    <row r="46" customFormat="false" ht="15" hidden="false" customHeight="false" outlineLevel="0" collapsed="false">
      <c r="A46" s="51" t="str">
        <f aca="false">C_KPI_Benchmark!A46</f>
        <v>1.c-D2-05</v>
      </c>
      <c r="B46" s="52" t="str">
        <f aca="false">C_KPI_Benchmark!D46</f>
        <v>1.c</v>
      </c>
      <c r="C46" s="51" t="str">
        <f aca="false">C_KPI_Benchmark!E46</f>
        <v>RTM Auto-Generator + Risk Scoring</v>
      </c>
      <c r="D46" s="52" t="str">
        <f aca="false">C_KPI_Benchmark!F46</f>
        <v>D2</v>
      </c>
      <c r="E46" s="51" t="str">
        <f aca="false">C_KPI_Benchmark!J46</f>
        <v>ALM adapters available (Jira, Polarion, TestRail)</v>
      </c>
      <c r="F46" s="52" t="str">
        <f aca="false">C_KPI_Benchmark!K46</f>
        <v>count</v>
      </c>
      <c r="G46" s="51" t="str">
        <f aca="false">C_KPI_Benchmark!L46</f>
        <v>Higher is better</v>
      </c>
      <c r="H46" s="62" t="n">
        <f aca="false">C_KPI_Benchmark!N46</f>
        <v>3</v>
      </c>
      <c r="I46" s="63" t="n">
        <f aca="false">IF(C_KPI_Benchmark!O46&lt;&gt;"",C_KPI_Benchmark!O46,IF(G46="Higher is better",H46*(1-A_Scoring_Model!$C$16),H46*(1+A_Scoring_Model!$C$16)))</f>
        <v>2.4</v>
      </c>
      <c r="J46" s="64"/>
      <c r="K46" s="64"/>
      <c r="L46" s="64"/>
      <c r="M46" s="64"/>
      <c r="N46" s="56" t="str">
        <f aca="false">IF(J46="","",IF($H46=$I46,IF(OR(AND($G46="Higher is better",J46&gt;=$H46),AND($G46="Lower is better",J46&lt;=$H46)),A_Scoring_Model!$C$14,0),IF($G46="Higher is better",IF(J46&gt;=$H46,A_Scoring_Model!$C$14,IF(J46&lt;$I46,0,A_Scoring_Model!$C$15+(A_Scoring_Model!$C$14-A_Scoring_Model!$C$15)*(J46-$I46)/($H46-$I46))),IF(J46&lt;=$H46,A_Scoring_Model!$C$14,IF(J46&gt;$I46,0,A_Scoring_Model!$C$15+(A_Scoring_Model!$C$14-A_Scoring_Model!$C$15)*($I46-J46)/($I46-$H46))))))</f>
        <v/>
      </c>
      <c r="O46" s="56" t="str">
        <f aca="false">IF(K46="","",IF($H46=$I46,IF(OR(AND($G46="Higher is better",K46&gt;=$H46),AND($G46="Lower is better",K46&lt;=$H46)),A_Scoring_Model!$C$14,0),IF($G46="Higher is better",IF(K46&gt;=$H46,A_Scoring_Model!$C$14,IF(K46&lt;$I46,0,A_Scoring_Model!$C$15+(A_Scoring_Model!$C$14-A_Scoring_Model!$C$15)*(K46-$I46)/($H46-$I46))),IF(K46&lt;=$H46,A_Scoring_Model!$C$14,IF(K46&gt;$I46,0,A_Scoring_Model!$C$15+(A_Scoring_Model!$C$14-A_Scoring_Model!$C$15)*($I46-K46)/($I46-$H46))))))</f>
        <v/>
      </c>
      <c r="P46" s="56" t="str">
        <f aca="false">IF(L46="","",IF($H46=$I46,IF(OR(AND($G46="Higher is better",L46&gt;=$H46),AND($G46="Lower is better",L46&lt;=$H46)),A_Scoring_Model!$C$14,0),IF($G46="Higher is better",IF(L46&gt;=$H46,A_Scoring_Model!$C$14,IF(L46&lt;$I46,0,A_Scoring_Model!$C$15+(A_Scoring_Model!$C$14-A_Scoring_Model!$C$15)*(L46-$I46)/($H46-$I46))),IF(L46&lt;=$H46,A_Scoring_Model!$C$14,IF(L46&gt;$I46,0,A_Scoring_Model!$C$15+(A_Scoring_Model!$C$14-A_Scoring_Model!$C$15)*($I46-L46)/($I46-$H46))))))</f>
        <v/>
      </c>
      <c r="Q46" s="56" t="str">
        <f aca="false">IF(M46="","",IF($H46=$I46,IF(OR(AND($G46="Higher is better",M46&gt;=$H46),AND($G46="Lower is better",M46&lt;=$H46)),A_Scoring_Model!$C$14,0),IF($G46="Higher is better",IF(M46&gt;=$H46,A_Scoring_Model!$C$14,IF(M46&lt;$I46,0,A_Scoring_Model!$C$15+(A_Scoring_Model!$C$14-A_Scoring_Model!$C$15)*(M46-$I46)/($H46-$I46))),IF(M46&lt;=$H46,A_Scoring_Model!$C$14,IF(M46&gt;$I46,0,A_Scoring_Model!$C$15+(A_Scoring_Model!$C$14-A_Scoring_Model!$C$15)*($I46-M46)/($I46-$H46))))))</f>
        <v/>
      </c>
    </row>
    <row r="47" customFormat="false" ht="23.85" hidden="false" customHeight="false" outlineLevel="0" collapsed="false">
      <c r="A47" s="51" t="str">
        <f aca="false">C_KPI_Benchmark!A47</f>
        <v>1.c-D2-06</v>
      </c>
      <c r="B47" s="52" t="str">
        <f aca="false">C_KPI_Benchmark!D47</f>
        <v>1.c</v>
      </c>
      <c r="C47" s="51" t="str">
        <f aca="false">C_KPI_Benchmark!E47</f>
        <v>RTM Auto-Generator + Risk Scoring</v>
      </c>
      <c r="D47" s="52" t="str">
        <f aca="false">C_KPI_Benchmark!F47</f>
        <v>D2</v>
      </c>
      <c r="E47" s="51" t="str">
        <f aca="false">C_KPI_Benchmark!J47</f>
        <v>Product lines supported with ≤10% efficacy drop (NVMe SSD, UFS, eMMC/uSD, PSSD)</v>
      </c>
      <c r="F47" s="52" t="str">
        <f aca="false">C_KPI_Benchmark!K47</f>
        <v>count</v>
      </c>
      <c r="G47" s="51" t="str">
        <f aca="false">C_KPI_Benchmark!L47</f>
        <v>Higher is better</v>
      </c>
      <c r="H47" s="62" t="n">
        <f aca="false">C_KPI_Benchmark!N47</f>
        <v>3</v>
      </c>
      <c r="I47" s="63" t="n">
        <f aca="false">IF(C_KPI_Benchmark!O47&lt;&gt;"",C_KPI_Benchmark!O47,IF(G47="Higher is better",H47*(1-A_Scoring_Model!$C$16),H47*(1+A_Scoring_Model!$C$16)))</f>
        <v>2</v>
      </c>
      <c r="J47" s="64"/>
      <c r="K47" s="64"/>
      <c r="L47" s="64"/>
      <c r="M47" s="64"/>
      <c r="N47" s="56" t="str">
        <f aca="false">IF(J47="","",IF($H47=$I47,IF(OR(AND($G47="Higher is better",J47&gt;=$H47),AND($G47="Lower is better",J47&lt;=$H47)),A_Scoring_Model!$C$14,0),IF($G47="Higher is better",IF(J47&gt;=$H47,A_Scoring_Model!$C$14,IF(J47&lt;$I47,0,A_Scoring_Model!$C$15+(A_Scoring_Model!$C$14-A_Scoring_Model!$C$15)*(J47-$I47)/($H47-$I47))),IF(J47&lt;=$H47,A_Scoring_Model!$C$14,IF(J47&gt;$I47,0,A_Scoring_Model!$C$15+(A_Scoring_Model!$C$14-A_Scoring_Model!$C$15)*($I47-J47)/($I47-$H47))))))</f>
        <v/>
      </c>
      <c r="O47" s="56" t="str">
        <f aca="false">IF(K47="","",IF($H47=$I47,IF(OR(AND($G47="Higher is better",K47&gt;=$H47),AND($G47="Lower is better",K47&lt;=$H47)),A_Scoring_Model!$C$14,0),IF($G47="Higher is better",IF(K47&gt;=$H47,A_Scoring_Model!$C$14,IF(K47&lt;$I47,0,A_Scoring_Model!$C$15+(A_Scoring_Model!$C$14-A_Scoring_Model!$C$15)*(K47-$I47)/($H47-$I47))),IF(K47&lt;=$H47,A_Scoring_Model!$C$14,IF(K47&gt;$I47,0,A_Scoring_Model!$C$15+(A_Scoring_Model!$C$14-A_Scoring_Model!$C$15)*($I47-K47)/($I47-$H47))))))</f>
        <v/>
      </c>
      <c r="P47" s="56" t="str">
        <f aca="false">IF(L47="","",IF($H47=$I47,IF(OR(AND($G47="Higher is better",L47&gt;=$H47),AND($G47="Lower is better",L47&lt;=$H47)),A_Scoring_Model!$C$14,0),IF($G47="Higher is better",IF(L47&gt;=$H47,A_Scoring_Model!$C$14,IF(L47&lt;$I47,0,A_Scoring_Model!$C$15+(A_Scoring_Model!$C$14-A_Scoring_Model!$C$15)*(L47-$I47)/($H47-$I47))),IF(L47&lt;=$H47,A_Scoring_Model!$C$14,IF(L47&gt;$I47,0,A_Scoring_Model!$C$15+(A_Scoring_Model!$C$14-A_Scoring_Model!$C$15)*($I47-L47)/($I47-$H47))))))</f>
        <v/>
      </c>
      <c r="Q47" s="56" t="str">
        <f aca="false">IF(M47="","",IF($H47=$I47,IF(OR(AND($G47="Higher is better",M47&gt;=$H47),AND($G47="Lower is better",M47&lt;=$H47)),A_Scoring_Model!$C$14,0),IF($G47="Higher is better",IF(M47&gt;=$H47,A_Scoring_Model!$C$14,IF(M47&lt;$I47,0,A_Scoring_Model!$C$15+(A_Scoring_Model!$C$14-A_Scoring_Model!$C$15)*(M47-$I47)/($H47-$I47))),IF(M47&lt;=$H47,A_Scoring_Model!$C$14,IF(M47&gt;$I47,0,A_Scoring_Model!$C$15+(A_Scoring_Model!$C$14-A_Scoring_Model!$C$15)*($I47-M47)/($I47-$H47))))))</f>
        <v/>
      </c>
    </row>
    <row r="48" customFormat="false" ht="15" hidden="false" customHeight="false" outlineLevel="0" collapsed="false">
      <c r="A48" s="51" t="str">
        <f aca="false">C_KPI_Benchmark!A48</f>
        <v>1.c-D2-07</v>
      </c>
      <c r="B48" s="52" t="str">
        <f aca="false">C_KPI_Benchmark!D48</f>
        <v>1.c</v>
      </c>
      <c r="C48" s="51" t="str">
        <f aca="false">C_KPI_Benchmark!E48</f>
        <v>RTM Auto-Generator + Risk Scoring</v>
      </c>
      <c r="D48" s="52" t="str">
        <f aca="false">C_KPI_Benchmark!F48</f>
        <v>D2</v>
      </c>
      <c r="E48" s="51" t="str">
        <f aca="false">C_KPI_Benchmark!J48</f>
        <v>Uses Zion shared services instead of re-implementing them</v>
      </c>
      <c r="F48" s="52" t="str">
        <f aca="false">C_KPI_Benchmark!K48</f>
        <v>Yes/No</v>
      </c>
      <c r="G48" s="51" t="str">
        <f aca="false">C_KPI_Benchmark!L48</f>
        <v>Higher is better</v>
      </c>
      <c r="H48" s="60" t="n">
        <f aca="false">C_KPI_Benchmark!N48</f>
        <v>1</v>
      </c>
      <c r="I48" s="56" t="n">
        <f aca="false">IF(C_KPI_Benchmark!O48&lt;&gt;"",C_KPI_Benchmark!O48,IF(G48="Higher is better",H48*(1-A_Scoring_Model!$C$16),H48*(1+A_Scoring_Model!$C$16)))</f>
        <v>0.8</v>
      </c>
      <c r="J48" s="61"/>
      <c r="K48" s="61"/>
      <c r="L48" s="61"/>
      <c r="M48" s="61"/>
      <c r="N48" s="56" t="str">
        <f aca="false">IF(J48="","",IF($H48=$I48,IF(OR(AND($G48="Higher is better",J48&gt;=$H48),AND($G48="Lower is better",J48&lt;=$H48)),A_Scoring_Model!$C$14,0),IF($G48="Higher is better",IF(J48&gt;=$H48,A_Scoring_Model!$C$14,IF(J48&lt;$I48,0,A_Scoring_Model!$C$15+(A_Scoring_Model!$C$14-A_Scoring_Model!$C$15)*(J48-$I48)/($H48-$I48))),IF(J48&lt;=$H48,A_Scoring_Model!$C$14,IF(J48&gt;$I48,0,A_Scoring_Model!$C$15+(A_Scoring_Model!$C$14-A_Scoring_Model!$C$15)*($I48-J48)/($I48-$H48))))))</f>
        <v/>
      </c>
      <c r="O48" s="56" t="str">
        <f aca="false">IF(K48="","",IF($H48=$I48,IF(OR(AND($G48="Higher is better",K48&gt;=$H48),AND($G48="Lower is better",K48&lt;=$H48)),A_Scoring_Model!$C$14,0),IF($G48="Higher is better",IF(K48&gt;=$H48,A_Scoring_Model!$C$14,IF(K48&lt;$I48,0,A_Scoring_Model!$C$15+(A_Scoring_Model!$C$14-A_Scoring_Model!$C$15)*(K48-$I48)/($H48-$I48))),IF(K48&lt;=$H48,A_Scoring_Model!$C$14,IF(K48&gt;$I48,0,A_Scoring_Model!$C$15+(A_Scoring_Model!$C$14-A_Scoring_Model!$C$15)*($I48-K48)/($I48-$H48))))))</f>
        <v/>
      </c>
      <c r="P48" s="56" t="str">
        <f aca="false">IF(L48="","",IF($H48=$I48,IF(OR(AND($G48="Higher is better",L48&gt;=$H48),AND($G48="Lower is better",L48&lt;=$H48)),A_Scoring_Model!$C$14,0),IF($G48="Higher is better",IF(L48&gt;=$H48,A_Scoring_Model!$C$14,IF(L48&lt;$I48,0,A_Scoring_Model!$C$15+(A_Scoring_Model!$C$14-A_Scoring_Model!$C$15)*(L48-$I48)/($H48-$I48))),IF(L48&lt;=$H48,A_Scoring_Model!$C$14,IF(L48&gt;$I48,0,A_Scoring_Model!$C$15+(A_Scoring_Model!$C$14-A_Scoring_Model!$C$15)*($I48-L48)/($I48-$H48))))))</f>
        <v/>
      </c>
      <c r="Q48" s="56" t="str">
        <f aca="false">IF(M48="","",IF($H48=$I48,IF(OR(AND($G48="Higher is better",M48&gt;=$H48),AND($G48="Lower is better",M48&lt;=$H48)),A_Scoring_Model!$C$14,0),IF($G48="Higher is better",IF(M48&gt;=$H48,A_Scoring_Model!$C$14,IF(M48&lt;$I48,0,A_Scoring_Model!$C$15+(A_Scoring_Model!$C$14-A_Scoring_Model!$C$15)*(M48-$I48)/($H48-$I48))),IF(M48&lt;=$H48,A_Scoring_Model!$C$14,IF(M48&gt;$I48,0,A_Scoring_Model!$C$15+(A_Scoring_Model!$C$14-A_Scoring_Model!$C$15)*($I48-M48)/($I48-$H48))))))</f>
        <v/>
      </c>
    </row>
    <row r="49" customFormat="false" ht="15" hidden="false" customHeight="false" outlineLevel="0" collapsed="false">
      <c r="A49" s="51" t="str">
        <f aca="false">C_KPI_Benchmark!A49</f>
        <v>1.c-D3-08</v>
      </c>
      <c r="B49" s="52" t="str">
        <f aca="false">C_KPI_Benchmark!D49</f>
        <v>1.c</v>
      </c>
      <c r="C49" s="51" t="str">
        <f aca="false">C_KPI_Benchmark!E49</f>
        <v>RTM Auto-Generator + Risk Scoring</v>
      </c>
      <c r="D49" s="52" t="str">
        <f aca="false">C_KPI_Benchmark!F49</f>
        <v>D3</v>
      </c>
      <c r="E49" s="51" t="str">
        <f aca="false">C_KPI_Benchmark!J49</f>
        <v>Full link run: 10k reqs × 50k TCs</v>
      </c>
      <c r="F49" s="52" t="str">
        <f aca="false">C_KPI_Benchmark!K49</f>
        <v>min</v>
      </c>
      <c r="G49" s="51" t="str">
        <f aca="false">C_KPI_Benchmark!L49</f>
        <v>Lower is better</v>
      </c>
      <c r="H49" s="62" t="n">
        <f aca="false">C_KPI_Benchmark!N49</f>
        <v>30</v>
      </c>
      <c r="I49" s="63" t="n">
        <f aca="false">IF(C_KPI_Benchmark!O49&lt;&gt;"",C_KPI_Benchmark!O49,IF(G49="Higher is better",H49*(1-A_Scoring_Model!$C$16),H49*(1+A_Scoring_Model!$C$16)))</f>
        <v>36</v>
      </c>
      <c r="J49" s="64"/>
      <c r="K49" s="64"/>
      <c r="L49" s="64"/>
      <c r="M49" s="64"/>
      <c r="N49" s="56" t="str">
        <f aca="false">IF(J49="","",IF($H49=$I49,IF(OR(AND($G49="Higher is better",J49&gt;=$H49),AND($G49="Lower is better",J49&lt;=$H49)),A_Scoring_Model!$C$14,0),IF($G49="Higher is better",IF(J49&gt;=$H49,A_Scoring_Model!$C$14,IF(J49&lt;$I49,0,A_Scoring_Model!$C$15+(A_Scoring_Model!$C$14-A_Scoring_Model!$C$15)*(J49-$I49)/($H49-$I49))),IF(J49&lt;=$H49,A_Scoring_Model!$C$14,IF(J49&gt;$I49,0,A_Scoring_Model!$C$15+(A_Scoring_Model!$C$14-A_Scoring_Model!$C$15)*($I49-J49)/($I49-$H49))))))</f>
        <v/>
      </c>
      <c r="O49" s="56" t="str">
        <f aca="false">IF(K49="","",IF($H49=$I49,IF(OR(AND($G49="Higher is better",K49&gt;=$H49),AND($G49="Lower is better",K49&lt;=$H49)),A_Scoring_Model!$C$14,0),IF($G49="Higher is better",IF(K49&gt;=$H49,A_Scoring_Model!$C$14,IF(K49&lt;$I49,0,A_Scoring_Model!$C$15+(A_Scoring_Model!$C$14-A_Scoring_Model!$C$15)*(K49-$I49)/($H49-$I49))),IF(K49&lt;=$H49,A_Scoring_Model!$C$14,IF(K49&gt;$I49,0,A_Scoring_Model!$C$15+(A_Scoring_Model!$C$14-A_Scoring_Model!$C$15)*($I49-K49)/($I49-$H49))))))</f>
        <v/>
      </c>
      <c r="P49" s="56" t="str">
        <f aca="false">IF(L49="","",IF($H49=$I49,IF(OR(AND($G49="Higher is better",L49&gt;=$H49),AND($G49="Lower is better",L49&lt;=$H49)),A_Scoring_Model!$C$14,0),IF($G49="Higher is better",IF(L49&gt;=$H49,A_Scoring_Model!$C$14,IF(L49&lt;$I49,0,A_Scoring_Model!$C$15+(A_Scoring_Model!$C$14-A_Scoring_Model!$C$15)*(L49-$I49)/($H49-$I49))),IF(L49&lt;=$H49,A_Scoring_Model!$C$14,IF(L49&gt;$I49,0,A_Scoring_Model!$C$15+(A_Scoring_Model!$C$14-A_Scoring_Model!$C$15)*($I49-L49)/($I49-$H49))))))</f>
        <v/>
      </c>
      <c r="Q49" s="56" t="str">
        <f aca="false">IF(M49="","",IF($H49=$I49,IF(OR(AND($G49="Higher is better",M49&gt;=$H49),AND($G49="Lower is better",M49&lt;=$H49)),A_Scoring_Model!$C$14,0),IF($G49="Higher is better",IF(M49&gt;=$H49,A_Scoring_Model!$C$14,IF(M49&lt;$I49,0,A_Scoring_Model!$C$15+(A_Scoring_Model!$C$14-A_Scoring_Model!$C$15)*(M49-$I49)/($H49-$I49))),IF(M49&lt;=$H49,A_Scoring_Model!$C$14,IF(M49&gt;$I49,0,A_Scoring_Model!$C$15+(A_Scoring_Model!$C$14-A_Scoring_Model!$C$15)*($I49-M49)/($I49-$H49))))))</f>
        <v/>
      </c>
    </row>
    <row r="50" customFormat="false" ht="15" hidden="false" customHeight="false" outlineLevel="0" collapsed="false">
      <c r="A50" s="51" t="str">
        <f aca="false">C_KPI_Benchmark!A50</f>
        <v>1.c-D3-09</v>
      </c>
      <c r="B50" s="52" t="str">
        <f aca="false">C_KPI_Benchmark!D50</f>
        <v>1.c</v>
      </c>
      <c r="C50" s="51" t="str">
        <f aca="false">C_KPI_Benchmark!E50</f>
        <v>RTM Auto-Generator + Risk Scoring</v>
      </c>
      <c r="D50" s="52" t="str">
        <f aca="false">C_KPI_Benchmark!F50</f>
        <v>D3</v>
      </c>
      <c r="E50" s="51" t="str">
        <f aca="false">C_KPI_Benchmark!J50</f>
        <v>Incremental re-link on delta</v>
      </c>
      <c r="F50" s="52" t="str">
        <f aca="false">C_KPI_Benchmark!K50</f>
        <v>min</v>
      </c>
      <c r="G50" s="51" t="str">
        <f aca="false">C_KPI_Benchmark!L50</f>
        <v>Lower is better</v>
      </c>
      <c r="H50" s="62" t="n">
        <f aca="false">C_KPI_Benchmark!N50</f>
        <v>2</v>
      </c>
      <c r="I50" s="63" t="n">
        <f aca="false">IF(C_KPI_Benchmark!O50&lt;&gt;"",C_KPI_Benchmark!O50,IF(G50="Higher is better",H50*(1-A_Scoring_Model!$C$16),H50*(1+A_Scoring_Model!$C$16)))</f>
        <v>2.4</v>
      </c>
      <c r="J50" s="64"/>
      <c r="K50" s="64"/>
      <c r="L50" s="64"/>
      <c r="M50" s="64"/>
      <c r="N50" s="56" t="str">
        <f aca="false">IF(J50="","",IF($H50=$I50,IF(OR(AND($G50="Higher is better",J50&gt;=$H50),AND($G50="Lower is better",J50&lt;=$H50)),A_Scoring_Model!$C$14,0),IF($G50="Higher is better",IF(J50&gt;=$H50,A_Scoring_Model!$C$14,IF(J50&lt;$I50,0,A_Scoring_Model!$C$15+(A_Scoring_Model!$C$14-A_Scoring_Model!$C$15)*(J50-$I50)/($H50-$I50))),IF(J50&lt;=$H50,A_Scoring_Model!$C$14,IF(J50&gt;$I50,0,A_Scoring_Model!$C$15+(A_Scoring_Model!$C$14-A_Scoring_Model!$C$15)*($I50-J50)/($I50-$H50))))))</f>
        <v/>
      </c>
      <c r="O50" s="56" t="str">
        <f aca="false">IF(K50="","",IF($H50=$I50,IF(OR(AND($G50="Higher is better",K50&gt;=$H50),AND($G50="Lower is better",K50&lt;=$H50)),A_Scoring_Model!$C$14,0),IF($G50="Higher is better",IF(K50&gt;=$H50,A_Scoring_Model!$C$14,IF(K50&lt;$I50,0,A_Scoring_Model!$C$15+(A_Scoring_Model!$C$14-A_Scoring_Model!$C$15)*(K50-$I50)/($H50-$I50))),IF(K50&lt;=$H50,A_Scoring_Model!$C$14,IF(K50&gt;$I50,0,A_Scoring_Model!$C$15+(A_Scoring_Model!$C$14-A_Scoring_Model!$C$15)*($I50-K50)/($I50-$H50))))))</f>
        <v/>
      </c>
      <c r="P50" s="56" t="str">
        <f aca="false">IF(L50="","",IF($H50=$I50,IF(OR(AND($G50="Higher is better",L50&gt;=$H50),AND($G50="Lower is better",L50&lt;=$H50)),A_Scoring_Model!$C$14,0),IF($G50="Higher is better",IF(L50&gt;=$H50,A_Scoring_Model!$C$14,IF(L50&lt;$I50,0,A_Scoring_Model!$C$15+(A_Scoring_Model!$C$14-A_Scoring_Model!$C$15)*(L50-$I50)/($H50-$I50))),IF(L50&lt;=$H50,A_Scoring_Model!$C$14,IF(L50&gt;$I50,0,A_Scoring_Model!$C$15+(A_Scoring_Model!$C$14-A_Scoring_Model!$C$15)*($I50-L50)/($I50-$H50))))))</f>
        <v/>
      </c>
      <c r="Q50" s="56" t="str">
        <f aca="false">IF(M50="","",IF($H50=$I50,IF(OR(AND($G50="Higher is better",M50&gt;=$H50),AND($G50="Lower is better",M50&lt;=$H50)),A_Scoring_Model!$C$14,0),IF($G50="Higher is better",IF(M50&gt;=$H50,A_Scoring_Model!$C$14,IF(M50&lt;$I50,0,A_Scoring_Model!$C$15+(A_Scoring_Model!$C$14-A_Scoring_Model!$C$15)*(M50-$I50)/($H50-$I50))),IF(M50&lt;=$H50,A_Scoring_Model!$C$14,IF(M50&gt;$I50,0,A_Scoring_Model!$C$15+(A_Scoring_Model!$C$14-A_Scoring_Model!$C$15)*($I50-M50)/($I50-$H50))))))</f>
        <v/>
      </c>
    </row>
    <row r="51" customFormat="false" ht="15" hidden="false" customHeight="false" outlineLevel="0" collapsed="false">
      <c r="A51" s="51" t="str">
        <f aca="false">C_KPI_Benchmark!A51</f>
        <v>1.c-D3-10</v>
      </c>
      <c r="B51" s="52" t="str">
        <f aca="false">C_KPI_Benchmark!D51</f>
        <v>1.c</v>
      </c>
      <c r="C51" s="51" t="str">
        <f aca="false">C_KPI_Benchmark!E51</f>
        <v>RTM Auto-Generator + Risk Scoring</v>
      </c>
      <c r="D51" s="52" t="str">
        <f aca="false">C_KPI_Benchmark!F51</f>
        <v>D3</v>
      </c>
      <c r="E51" s="51" t="str">
        <f aca="false">C_KPI_Benchmark!J51</f>
        <v>Latency degradation at 10× load</v>
      </c>
      <c r="F51" s="52" t="str">
        <f aca="false">C_KPI_Benchmark!K51</f>
        <v>%</v>
      </c>
      <c r="G51" s="51" t="str">
        <f aca="false">C_KPI_Benchmark!L51</f>
        <v>Lower is better</v>
      </c>
      <c r="H51" s="53" t="n">
        <f aca="false">C_KPI_Benchmark!N51</f>
        <v>0.2</v>
      </c>
      <c r="I51" s="54" t="n">
        <f aca="false">IF(C_KPI_Benchmark!O51&lt;&gt;"",C_KPI_Benchmark!O51,IF(G51="Higher is better",H51*(1-A_Scoring_Model!$C$16),H51*(1+A_Scoring_Model!$C$16)))</f>
        <v>0.4</v>
      </c>
      <c r="J51" s="55"/>
      <c r="K51" s="55"/>
      <c r="L51" s="55"/>
      <c r="M51" s="55"/>
      <c r="N51" s="56" t="str">
        <f aca="false">IF(J51="","",IF($H51=$I51,IF(OR(AND($G51="Higher is better",J51&gt;=$H51),AND($G51="Lower is better",J51&lt;=$H51)),A_Scoring_Model!$C$14,0),IF($G51="Higher is better",IF(J51&gt;=$H51,A_Scoring_Model!$C$14,IF(J51&lt;$I51,0,A_Scoring_Model!$C$15+(A_Scoring_Model!$C$14-A_Scoring_Model!$C$15)*(J51-$I51)/($H51-$I51))),IF(J51&lt;=$H51,A_Scoring_Model!$C$14,IF(J51&gt;$I51,0,A_Scoring_Model!$C$15+(A_Scoring_Model!$C$14-A_Scoring_Model!$C$15)*($I51-J51)/($I51-$H51))))))</f>
        <v/>
      </c>
      <c r="O51" s="56" t="str">
        <f aca="false">IF(K51="","",IF($H51=$I51,IF(OR(AND($G51="Higher is better",K51&gt;=$H51),AND($G51="Lower is better",K51&lt;=$H51)),A_Scoring_Model!$C$14,0),IF($G51="Higher is better",IF(K51&gt;=$H51,A_Scoring_Model!$C$14,IF(K51&lt;$I51,0,A_Scoring_Model!$C$15+(A_Scoring_Model!$C$14-A_Scoring_Model!$C$15)*(K51-$I51)/($H51-$I51))),IF(K51&lt;=$H51,A_Scoring_Model!$C$14,IF(K51&gt;$I51,0,A_Scoring_Model!$C$15+(A_Scoring_Model!$C$14-A_Scoring_Model!$C$15)*($I51-K51)/($I51-$H51))))))</f>
        <v/>
      </c>
      <c r="P51" s="56" t="str">
        <f aca="false">IF(L51="","",IF($H51=$I51,IF(OR(AND($G51="Higher is better",L51&gt;=$H51),AND($G51="Lower is better",L51&lt;=$H51)),A_Scoring_Model!$C$14,0),IF($G51="Higher is better",IF(L51&gt;=$H51,A_Scoring_Model!$C$14,IF(L51&lt;$I51,0,A_Scoring_Model!$C$15+(A_Scoring_Model!$C$14-A_Scoring_Model!$C$15)*(L51-$I51)/($H51-$I51))),IF(L51&lt;=$H51,A_Scoring_Model!$C$14,IF(L51&gt;$I51,0,A_Scoring_Model!$C$15+(A_Scoring_Model!$C$14-A_Scoring_Model!$C$15)*($I51-L51)/($I51-$H51))))))</f>
        <v/>
      </c>
      <c r="Q51" s="56" t="str">
        <f aca="false">IF(M51="","",IF($H51=$I51,IF(OR(AND($G51="Higher is better",M51&gt;=$H51),AND($G51="Lower is better",M51&lt;=$H51)),A_Scoring_Model!$C$14,0),IF($G51="Higher is better",IF(M51&gt;=$H51,A_Scoring_Model!$C$14,IF(M51&lt;$I51,0,A_Scoring_Model!$C$15+(A_Scoring_Model!$C$14-A_Scoring_Model!$C$15)*(M51-$I51)/($H51-$I51))),IF(M51&lt;=$H51,A_Scoring_Model!$C$14,IF(M51&gt;$I51,0,A_Scoring_Model!$C$15+(A_Scoring_Model!$C$14-A_Scoring_Model!$C$15)*($I51-M51)/($I51-$H51))))))</f>
        <v/>
      </c>
    </row>
    <row r="52" customFormat="false" ht="15" hidden="false" customHeight="false" outlineLevel="0" collapsed="false">
      <c r="A52" s="51" t="str">
        <f aca="false">C_KPI_Benchmark!A52</f>
        <v>1.c-D4-11</v>
      </c>
      <c r="B52" s="52" t="str">
        <f aca="false">C_KPI_Benchmark!D52</f>
        <v>1.c</v>
      </c>
      <c r="C52" s="51" t="str">
        <f aca="false">C_KPI_Benchmark!E52</f>
        <v>RTM Auto-Generator + Risk Scoring</v>
      </c>
      <c r="D52" s="52" t="str">
        <f aca="false">C_KPI_Benchmark!F52</f>
        <v>D4</v>
      </c>
      <c r="E52" s="51" t="str">
        <f aca="false">C_KPI_Benchmark!J52</f>
        <v>Low-confidence links (&lt;0.6) routed to human review</v>
      </c>
      <c r="F52" s="52" t="str">
        <f aca="false">C_KPI_Benchmark!K52</f>
        <v>%</v>
      </c>
      <c r="G52" s="51" t="str">
        <f aca="false">C_KPI_Benchmark!L52</f>
        <v>Higher is better</v>
      </c>
      <c r="H52" s="53" t="n">
        <f aca="false">C_KPI_Benchmark!N52</f>
        <v>1</v>
      </c>
      <c r="I52" s="54" t="n">
        <f aca="false">IF(C_KPI_Benchmark!O52&lt;&gt;"",C_KPI_Benchmark!O52,IF(G52="Higher is better",H52*(1-A_Scoring_Model!$C$16),H52*(1+A_Scoring_Model!$C$16)))</f>
        <v>0.8</v>
      </c>
      <c r="J52" s="55"/>
      <c r="K52" s="55"/>
      <c r="L52" s="55"/>
      <c r="M52" s="55"/>
      <c r="N52" s="56" t="str">
        <f aca="false">IF(J52="","",IF($H52=$I52,IF(OR(AND($G52="Higher is better",J52&gt;=$H52),AND($G52="Lower is better",J52&lt;=$H52)),A_Scoring_Model!$C$14,0),IF($G52="Higher is better",IF(J52&gt;=$H52,A_Scoring_Model!$C$14,IF(J52&lt;$I52,0,A_Scoring_Model!$C$15+(A_Scoring_Model!$C$14-A_Scoring_Model!$C$15)*(J52-$I52)/($H52-$I52))),IF(J52&lt;=$H52,A_Scoring_Model!$C$14,IF(J52&gt;$I52,0,A_Scoring_Model!$C$15+(A_Scoring_Model!$C$14-A_Scoring_Model!$C$15)*($I52-J52)/($I52-$H52))))))</f>
        <v/>
      </c>
      <c r="O52" s="56" t="str">
        <f aca="false">IF(K52="","",IF($H52=$I52,IF(OR(AND($G52="Higher is better",K52&gt;=$H52),AND($G52="Lower is better",K52&lt;=$H52)),A_Scoring_Model!$C$14,0),IF($G52="Higher is better",IF(K52&gt;=$H52,A_Scoring_Model!$C$14,IF(K52&lt;$I52,0,A_Scoring_Model!$C$15+(A_Scoring_Model!$C$14-A_Scoring_Model!$C$15)*(K52-$I52)/($H52-$I52))),IF(K52&lt;=$H52,A_Scoring_Model!$C$14,IF(K52&gt;$I52,0,A_Scoring_Model!$C$15+(A_Scoring_Model!$C$14-A_Scoring_Model!$C$15)*($I52-K52)/($I52-$H52))))))</f>
        <v/>
      </c>
      <c r="P52" s="56" t="str">
        <f aca="false">IF(L52="","",IF($H52=$I52,IF(OR(AND($G52="Higher is better",L52&gt;=$H52),AND($G52="Lower is better",L52&lt;=$H52)),A_Scoring_Model!$C$14,0),IF($G52="Higher is better",IF(L52&gt;=$H52,A_Scoring_Model!$C$14,IF(L52&lt;$I52,0,A_Scoring_Model!$C$15+(A_Scoring_Model!$C$14-A_Scoring_Model!$C$15)*(L52-$I52)/($H52-$I52))),IF(L52&lt;=$H52,A_Scoring_Model!$C$14,IF(L52&gt;$I52,0,A_Scoring_Model!$C$15+(A_Scoring_Model!$C$14-A_Scoring_Model!$C$15)*($I52-L52)/($I52-$H52))))))</f>
        <v/>
      </c>
      <c r="Q52" s="56" t="str">
        <f aca="false">IF(M52="","",IF($H52=$I52,IF(OR(AND($G52="Higher is better",M52&gt;=$H52),AND($G52="Lower is better",M52&lt;=$H52)),A_Scoring_Model!$C$14,0),IF($G52="Higher is better",IF(M52&gt;=$H52,A_Scoring_Model!$C$14,IF(M52&lt;$I52,0,A_Scoring_Model!$C$15+(A_Scoring_Model!$C$14-A_Scoring_Model!$C$15)*(M52-$I52)/($H52-$I52))),IF(M52&lt;=$H52,A_Scoring_Model!$C$14,IF(M52&gt;$I52,0,A_Scoring_Model!$C$15+(A_Scoring_Model!$C$14-A_Scoring_Model!$C$15)*($I52-M52)/($I52-$H52))))))</f>
        <v/>
      </c>
    </row>
    <row r="53" customFormat="false" ht="15" hidden="false" customHeight="false" outlineLevel="0" collapsed="false">
      <c r="A53" s="51" t="str">
        <f aca="false">C_KPI_Benchmark!A53</f>
        <v>1.c-D4-12</v>
      </c>
      <c r="B53" s="52" t="str">
        <f aca="false">C_KPI_Benchmark!D53</f>
        <v>1.c</v>
      </c>
      <c r="C53" s="51" t="str">
        <f aca="false">C_KPI_Benchmark!E53</f>
        <v>RTM Auto-Generator + Risk Scoring</v>
      </c>
      <c r="D53" s="52" t="str">
        <f aca="false">C_KPI_Benchmark!F53</f>
        <v>D4</v>
      </c>
      <c r="E53" s="51" t="str">
        <f aca="false">C_KPI_Benchmark!J53</f>
        <v>Service availability</v>
      </c>
      <c r="F53" s="52" t="str">
        <f aca="false">C_KPI_Benchmark!K53</f>
        <v>%</v>
      </c>
      <c r="G53" s="51" t="str">
        <f aca="false">C_KPI_Benchmark!L53</f>
        <v>Higher is better</v>
      </c>
      <c r="H53" s="53" t="n">
        <f aca="false">C_KPI_Benchmark!N53</f>
        <v>0.995</v>
      </c>
      <c r="I53" s="54" t="n">
        <f aca="false">IF(C_KPI_Benchmark!O53&lt;&gt;"",C_KPI_Benchmark!O53,IF(G53="Higher is better",H53*(1-A_Scoring_Model!$C$16),H53*(1+A_Scoring_Model!$C$16)))</f>
        <v>0.99</v>
      </c>
      <c r="J53" s="55"/>
      <c r="K53" s="55"/>
      <c r="L53" s="55"/>
      <c r="M53" s="55"/>
      <c r="N53" s="56" t="str">
        <f aca="false">IF(J53="","",IF($H53=$I53,IF(OR(AND($G53="Higher is better",J53&gt;=$H53),AND($G53="Lower is better",J53&lt;=$H53)),A_Scoring_Model!$C$14,0),IF($G53="Higher is better",IF(J53&gt;=$H53,A_Scoring_Model!$C$14,IF(J53&lt;$I53,0,A_Scoring_Model!$C$15+(A_Scoring_Model!$C$14-A_Scoring_Model!$C$15)*(J53-$I53)/($H53-$I53))),IF(J53&lt;=$H53,A_Scoring_Model!$C$14,IF(J53&gt;$I53,0,A_Scoring_Model!$C$15+(A_Scoring_Model!$C$14-A_Scoring_Model!$C$15)*($I53-J53)/($I53-$H53))))))</f>
        <v/>
      </c>
      <c r="O53" s="56" t="str">
        <f aca="false">IF(K53="","",IF($H53=$I53,IF(OR(AND($G53="Higher is better",K53&gt;=$H53),AND($G53="Lower is better",K53&lt;=$H53)),A_Scoring_Model!$C$14,0),IF($G53="Higher is better",IF(K53&gt;=$H53,A_Scoring_Model!$C$14,IF(K53&lt;$I53,0,A_Scoring_Model!$C$15+(A_Scoring_Model!$C$14-A_Scoring_Model!$C$15)*(K53-$I53)/($H53-$I53))),IF(K53&lt;=$H53,A_Scoring_Model!$C$14,IF(K53&gt;$I53,0,A_Scoring_Model!$C$15+(A_Scoring_Model!$C$14-A_Scoring_Model!$C$15)*($I53-K53)/($I53-$H53))))))</f>
        <v/>
      </c>
      <c r="P53" s="56" t="str">
        <f aca="false">IF(L53="","",IF($H53=$I53,IF(OR(AND($G53="Higher is better",L53&gt;=$H53),AND($G53="Lower is better",L53&lt;=$H53)),A_Scoring_Model!$C$14,0),IF($G53="Higher is better",IF(L53&gt;=$H53,A_Scoring_Model!$C$14,IF(L53&lt;$I53,0,A_Scoring_Model!$C$15+(A_Scoring_Model!$C$14-A_Scoring_Model!$C$15)*(L53-$I53)/($H53-$I53))),IF(L53&lt;=$H53,A_Scoring_Model!$C$14,IF(L53&gt;$I53,0,A_Scoring_Model!$C$15+(A_Scoring_Model!$C$14-A_Scoring_Model!$C$15)*($I53-L53)/($I53-$H53))))))</f>
        <v/>
      </c>
      <c r="Q53" s="56" t="str">
        <f aca="false">IF(M53="","",IF($H53=$I53,IF(OR(AND($G53="Higher is better",M53&gt;=$H53),AND($G53="Lower is better",M53&lt;=$H53)),A_Scoring_Model!$C$14,0),IF($G53="Higher is better",IF(M53&gt;=$H53,A_Scoring_Model!$C$14,IF(M53&lt;$I53,0,A_Scoring_Model!$C$15+(A_Scoring_Model!$C$14-A_Scoring_Model!$C$15)*(M53-$I53)/($H53-$I53))),IF(M53&lt;=$H53,A_Scoring_Model!$C$14,IF(M53&gt;$I53,0,A_Scoring_Model!$C$15+(A_Scoring_Model!$C$14-A_Scoring_Model!$C$15)*($I53-M53)/($I53-$H53))))))</f>
        <v/>
      </c>
    </row>
    <row r="54" customFormat="false" ht="15" hidden="false" customHeight="false" outlineLevel="0" collapsed="false">
      <c r="A54" s="51" t="str">
        <f aca="false">C_KPI_Benchmark!A54</f>
        <v>1.c-D5-13</v>
      </c>
      <c r="B54" s="52" t="str">
        <f aca="false">C_KPI_Benchmark!D54</f>
        <v>1.c</v>
      </c>
      <c r="C54" s="51" t="str">
        <f aca="false">C_KPI_Benchmark!E54</f>
        <v>RTM Auto-Generator + Risk Scoring</v>
      </c>
      <c r="D54" s="52" t="str">
        <f aca="false">C_KPI_Benchmark!F54</f>
        <v>D5</v>
      </c>
      <c r="E54" s="51" t="str">
        <f aca="false">C_KPI_Benchmark!J54</f>
        <v>RTM creation effort reduction</v>
      </c>
      <c r="F54" s="52" t="str">
        <f aca="false">C_KPI_Benchmark!K54</f>
        <v>%</v>
      </c>
      <c r="G54" s="51" t="str">
        <f aca="false">C_KPI_Benchmark!L54</f>
        <v>Higher is better</v>
      </c>
      <c r="H54" s="53" t="n">
        <f aca="false">C_KPI_Benchmark!N54</f>
        <v>0.7</v>
      </c>
      <c r="I54" s="54" t="n">
        <f aca="false">IF(C_KPI_Benchmark!O54&lt;&gt;"",C_KPI_Benchmark!O54,IF(G54="Higher is better",H54*(1-A_Scoring_Model!$C$16),H54*(1+A_Scoring_Model!$C$16)))</f>
        <v>0.56</v>
      </c>
      <c r="J54" s="55"/>
      <c r="K54" s="55"/>
      <c r="L54" s="55"/>
      <c r="M54" s="55"/>
      <c r="N54" s="56" t="str">
        <f aca="false">IF(J54="","",IF($H54=$I54,IF(OR(AND($G54="Higher is better",J54&gt;=$H54),AND($G54="Lower is better",J54&lt;=$H54)),A_Scoring_Model!$C$14,0),IF($G54="Higher is better",IF(J54&gt;=$H54,A_Scoring_Model!$C$14,IF(J54&lt;$I54,0,A_Scoring_Model!$C$15+(A_Scoring_Model!$C$14-A_Scoring_Model!$C$15)*(J54-$I54)/($H54-$I54))),IF(J54&lt;=$H54,A_Scoring_Model!$C$14,IF(J54&gt;$I54,0,A_Scoring_Model!$C$15+(A_Scoring_Model!$C$14-A_Scoring_Model!$C$15)*($I54-J54)/($I54-$H54))))))</f>
        <v/>
      </c>
      <c r="O54" s="56" t="str">
        <f aca="false">IF(K54="","",IF($H54=$I54,IF(OR(AND($G54="Higher is better",K54&gt;=$H54),AND($G54="Lower is better",K54&lt;=$H54)),A_Scoring_Model!$C$14,0),IF($G54="Higher is better",IF(K54&gt;=$H54,A_Scoring_Model!$C$14,IF(K54&lt;$I54,0,A_Scoring_Model!$C$15+(A_Scoring_Model!$C$14-A_Scoring_Model!$C$15)*(K54-$I54)/($H54-$I54))),IF(K54&lt;=$H54,A_Scoring_Model!$C$14,IF(K54&gt;$I54,0,A_Scoring_Model!$C$15+(A_Scoring_Model!$C$14-A_Scoring_Model!$C$15)*($I54-K54)/($I54-$H54))))))</f>
        <v/>
      </c>
      <c r="P54" s="56" t="str">
        <f aca="false">IF(L54="","",IF($H54=$I54,IF(OR(AND($G54="Higher is better",L54&gt;=$H54),AND($G54="Lower is better",L54&lt;=$H54)),A_Scoring_Model!$C$14,0),IF($G54="Higher is better",IF(L54&gt;=$H54,A_Scoring_Model!$C$14,IF(L54&lt;$I54,0,A_Scoring_Model!$C$15+(A_Scoring_Model!$C$14-A_Scoring_Model!$C$15)*(L54-$I54)/($H54-$I54))),IF(L54&lt;=$H54,A_Scoring_Model!$C$14,IF(L54&gt;$I54,0,A_Scoring_Model!$C$15+(A_Scoring_Model!$C$14-A_Scoring_Model!$C$15)*($I54-L54)/($I54-$H54))))))</f>
        <v/>
      </c>
      <c r="Q54" s="56" t="str">
        <f aca="false">IF(M54="","",IF($H54=$I54,IF(OR(AND($G54="Higher is better",M54&gt;=$H54),AND($G54="Lower is better",M54&lt;=$H54)),A_Scoring_Model!$C$14,0),IF($G54="Higher is better",IF(M54&gt;=$H54,A_Scoring_Model!$C$14,IF(M54&lt;$I54,0,A_Scoring_Model!$C$15+(A_Scoring_Model!$C$14-A_Scoring_Model!$C$15)*(M54-$I54)/($H54-$I54))),IF(M54&lt;=$H54,A_Scoring_Model!$C$14,IF(M54&gt;$I54,0,A_Scoring_Model!$C$15+(A_Scoring_Model!$C$14-A_Scoring_Model!$C$15)*($I54-M54)/($I54-$H54))))))</f>
        <v/>
      </c>
    </row>
    <row r="55" customFormat="false" ht="15" hidden="false" customHeight="false" outlineLevel="0" collapsed="false">
      <c r="A55" s="51" t="str">
        <f aca="false">C_KPI_Benchmark!A55</f>
        <v>1.c-D5-14</v>
      </c>
      <c r="B55" s="52" t="str">
        <f aca="false">C_KPI_Benchmark!D55</f>
        <v>1.c</v>
      </c>
      <c r="C55" s="51" t="str">
        <f aca="false">C_KPI_Benchmark!E55</f>
        <v>RTM Auto-Generator + Risk Scoring</v>
      </c>
      <c r="D55" s="52" t="str">
        <f aca="false">C_KPI_Benchmark!F55</f>
        <v>D5</v>
      </c>
      <c r="E55" s="51" t="str">
        <f aca="false">C_KPI_Benchmark!J55</f>
        <v>Coverage gaps found before design</v>
      </c>
      <c r="F55" s="52" t="str">
        <f aca="false">C_KPI_Benchmark!K55</f>
        <v>%</v>
      </c>
      <c r="G55" s="51" t="str">
        <f aca="false">C_KPI_Benchmark!L55</f>
        <v>Higher is better</v>
      </c>
      <c r="H55" s="53" t="n">
        <f aca="false">C_KPI_Benchmark!N55</f>
        <v>0.9</v>
      </c>
      <c r="I55" s="54" t="n">
        <f aca="false">IF(C_KPI_Benchmark!O55&lt;&gt;"",C_KPI_Benchmark!O55,IF(G55="Higher is better",H55*(1-A_Scoring_Model!$C$16),H55*(1+A_Scoring_Model!$C$16)))</f>
        <v>0.72</v>
      </c>
      <c r="J55" s="55"/>
      <c r="K55" s="55"/>
      <c r="L55" s="55"/>
      <c r="M55" s="55"/>
      <c r="N55" s="56" t="str">
        <f aca="false">IF(J55="","",IF($H55=$I55,IF(OR(AND($G55="Higher is better",J55&gt;=$H55),AND($G55="Lower is better",J55&lt;=$H55)),A_Scoring_Model!$C$14,0),IF($G55="Higher is better",IF(J55&gt;=$H55,A_Scoring_Model!$C$14,IF(J55&lt;$I55,0,A_Scoring_Model!$C$15+(A_Scoring_Model!$C$14-A_Scoring_Model!$C$15)*(J55-$I55)/($H55-$I55))),IF(J55&lt;=$H55,A_Scoring_Model!$C$14,IF(J55&gt;$I55,0,A_Scoring_Model!$C$15+(A_Scoring_Model!$C$14-A_Scoring_Model!$C$15)*($I55-J55)/($I55-$H55))))))</f>
        <v/>
      </c>
      <c r="O55" s="56" t="str">
        <f aca="false">IF(K55="","",IF($H55=$I55,IF(OR(AND($G55="Higher is better",K55&gt;=$H55),AND($G55="Lower is better",K55&lt;=$H55)),A_Scoring_Model!$C$14,0),IF($G55="Higher is better",IF(K55&gt;=$H55,A_Scoring_Model!$C$14,IF(K55&lt;$I55,0,A_Scoring_Model!$C$15+(A_Scoring_Model!$C$14-A_Scoring_Model!$C$15)*(K55-$I55)/($H55-$I55))),IF(K55&lt;=$H55,A_Scoring_Model!$C$14,IF(K55&gt;$I55,0,A_Scoring_Model!$C$15+(A_Scoring_Model!$C$14-A_Scoring_Model!$C$15)*($I55-K55)/($I55-$H55))))))</f>
        <v/>
      </c>
      <c r="P55" s="56" t="str">
        <f aca="false">IF(L55="","",IF($H55=$I55,IF(OR(AND($G55="Higher is better",L55&gt;=$H55),AND($G55="Lower is better",L55&lt;=$H55)),A_Scoring_Model!$C$14,0),IF($G55="Higher is better",IF(L55&gt;=$H55,A_Scoring_Model!$C$14,IF(L55&lt;$I55,0,A_Scoring_Model!$C$15+(A_Scoring_Model!$C$14-A_Scoring_Model!$C$15)*(L55-$I55)/($H55-$I55))),IF(L55&lt;=$H55,A_Scoring_Model!$C$14,IF(L55&gt;$I55,0,A_Scoring_Model!$C$15+(A_Scoring_Model!$C$14-A_Scoring_Model!$C$15)*($I55-L55)/($I55-$H55))))))</f>
        <v/>
      </c>
      <c r="Q55" s="56" t="str">
        <f aca="false">IF(M55="","",IF($H55=$I55,IF(OR(AND($G55="Higher is better",M55&gt;=$H55),AND($G55="Lower is better",M55&lt;=$H55)),A_Scoring_Model!$C$14,0),IF($G55="Higher is better",IF(M55&gt;=$H55,A_Scoring_Model!$C$14,IF(M55&lt;$I55,0,A_Scoring_Model!$C$15+(A_Scoring_Model!$C$14-A_Scoring_Model!$C$15)*(M55-$I55)/($H55-$I55))),IF(M55&lt;=$H55,A_Scoring_Model!$C$14,IF(M55&gt;$I55,0,A_Scoring_Model!$C$15+(A_Scoring_Model!$C$14-A_Scoring_Model!$C$15)*($I55-M55)/($I55-$H55))))))</f>
        <v/>
      </c>
    </row>
    <row r="56" customFormat="false" ht="15" hidden="false" customHeight="false" outlineLevel="0" collapsed="false">
      <c r="A56" s="51" t="str">
        <f aca="false">C_KPI_Benchmark!A56</f>
        <v>1.c-D6-15</v>
      </c>
      <c r="B56" s="52" t="str">
        <f aca="false">C_KPI_Benchmark!D56</f>
        <v>1.c</v>
      </c>
      <c r="C56" s="51" t="str">
        <f aca="false">C_KPI_Benchmark!E56</f>
        <v>RTM Auto-Generator + Risk Scoring</v>
      </c>
      <c r="D56" s="52" t="str">
        <f aca="false">C_KPI_Benchmark!F56</f>
        <v>D6</v>
      </c>
      <c r="E56" s="51" t="str">
        <f aca="false">C_KPI_Benchmark!J56</f>
        <v>Solution code test coverage</v>
      </c>
      <c r="F56" s="52" t="str">
        <f aca="false">C_KPI_Benchmark!K56</f>
        <v>%</v>
      </c>
      <c r="G56" s="51" t="str">
        <f aca="false">C_KPI_Benchmark!L56</f>
        <v>Higher is better</v>
      </c>
      <c r="H56" s="53" t="n">
        <f aca="false">C_KPI_Benchmark!N56</f>
        <v>0.8</v>
      </c>
      <c r="I56" s="54" t="n">
        <f aca="false">IF(C_KPI_Benchmark!O56&lt;&gt;"",C_KPI_Benchmark!O56,IF(G56="Higher is better",H56*(1-A_Scoring_Model!$C$16),H56*(1+A_Scoring_Model!$C$16)))</f>
        <v>0.6</v>
      </c>
      <c r="J56" s="55"/>
      <c r="K56" s="55"/>
      <c r="L56" s="55"/>
      <c r="M56" s="55"/>
      <c r="N56" s="56" t="str">
        <f aca="false">IF(J56="","",IF($H56=$I56,IF(OR(AND($G56="Higher is better",J56&gt;=$H56),AND($G56="Lower is better",J56&lt;=$H56)),A_Scoring_Model!$C$14,0),IF($G56="Higher is better",IF(J56&gt;=$H56,A_Scoring_Model!$C$14,IF(J56&lt;$I56,0,A_Scoring_Model!$C$15+(A_Scoring_Model!$C$14-A_Scoring_Model!$C$15)*(J56-$I56)/($H56-$I56))),IF(J56&lt;=$H56,A_Scoring_Model!$C$14,IF(J56&gt;$I56,0,A_Scoring_Model!$C$15+(A_Scoring_Model!$C$14-A_Scoring_Model!$C$15)*($I56-J56)/($I56-$H56))))))</f>
        <v/>
      </c>
      <c r="O56" s="56" t="str">
        <f aca="false">IF(K56="","",IF($H56=$I56,IF(OR(AND($G56="Higher is better",K56&gt;=$H56),AND($G56="Lower is better",K56&lt;=$H56)),A_Scoring_Model!$C$14,0),IF($G56="Higher is better",IF(K56&gt;=$H56,A_Scoring_Model!$C$14,IF(K56&lt;$I56,0,A_Scoring_Model!$C$15+(A_Scoring_Model!$C$14-A_Scoring_Model!$C$15)*(K56-$I56)/($H56-$I56))),IF(K56&lt;=$H56,A_Scoring_Model!$C$14,IF(K56&gt;$I56,0,A_Scoring_Model!$C$15+(A_Scoring_Model!$C$14-A_Scoring_Model!$C$15)*($I56-K56)/($I56-$H56))))))</f>
        <v/>
      </c>
      <c r="P56" s="56" t="str">
        <f aca="false">IF(L56="","",IF($H56=$I56,IF(OR(AND($G56="Higher is better",L56&gt;=$H56),AND($G56="Lower is better",L56&lt;=$H56)),A_Scoring_Model!$C$14,0),IF($G56="Higher is better",IF(L56&gt;=$H56,A_Scoring_Model!$C$14,IF(L56&lt;$I56,0,A_Scoring_Model!$C$15+(A_Scoring_Model!$C$14-A_Scoring_Model!$C$15)*(L56-$I56)/($H56-$I56))),IF(L56&lt;=$H56,A_Scoring_Model!$C$14,IF(L56&gt;$I56,0,A_Scoring_Model!$C$15+(A_Scoring_Model!$C$14-A_Scoring_Model!$C$15)*($I56-L56)/($I56-$H56))))))</f>
        <v/>
      </c>
      <c r="Q56" s="56" t="str">
        <f aca="false">IF(M56="","",IF($H56=$I56,IF(OR(AND($G56="Higher is better",M56&gt;=$H56),AND($G56="Lower is better",M56&lt;=$H56)),A_Scoring_Model!$C$14,0),IF($G56="Higher is better",IF(M56&gt;=$H56,A_Scoring_Model!$C$14,IF(M56&lt;$I56,0,A_Scoring_Model!$C$15+(A_Scoring_Model!$C$14-A_Scoring_Model!$C$15)*(M56-$I56)/($H56-$I56))),IF(M56&lt;=$H56,A_Scoring_Model!$C$14,IF(M56&gt;$I56,0,A_Scoring_Model!$C$15+(A_Scoring_Model!$C$14-A_Scoring_Model!$C$15)*($I56-M56)/($I56-$H56))))))</f>
        <v/>
      </c>
    </row>
    <row r="57" customFormat="false" ht="15" hidden="false" customHeight="false" outlineLevel="0" collapsed="false">
      <c r="A57" s="51" t="str">
        <f aca="false">C_KPI_Benchmark!A57</f>
        <v>1.c-D6-16</v>
      </c>
      <c r="B57" s="52" t="str">
        <f aca="false">C_KPI_Benchmark!D57</f>
        <v>1.c</v>
      </c>
      <c r="C57" s="51" t="str">
        <f aca="false">C_KPI_Benchmark!E57</f>
        <v>RTM Auto-Generator + Risk Scoring</v>
      </c>
      <c r="D57" s="52" t="str">
        <f aca="false">C_KPI_Benchmark!F57</f>
        <v>D6</v>
      </c>
      <c r="E57" s="51" t="str">
        <f aca="false">C_KPI_Benchmark!J57</f>
        <v>Review Shield critical findings</v>
      </c>
      <c r="F57" s="52" t="str">
        <f aca="false">C_KPI_Benchmark!K57</f>
        <v>count</v>
      </c>
      <c r="G57" s="51" t="str">
        <f aca="false">C_KPI_Benchmark!L57</f>
        <v>Lower is better</v>
      </c>
      <c r="H57" s="62" t="n">
        <f aca="false">C_KPI_Benchmark!N57</f>
        <v>0</v>
      </c>
      <c r="I57" s="63" t="n">
        <f aca="false">IF(C_KPI_Benchmark!O57&lt;&gt;"",C_KPI_Benchmark!O57,IF(G57="Higher is better",H57*(1-A_Scoring_Model!$C$16),H57*(1+A_Scoring_Model!$C$16)))</f>
        <v>0</v>
      </c>
      <c r="J57" s="64"/>
      <c r="K57" s="64"/>
      <c r="L57" s="64"/>
      <c r="M57" s="64"/>
      <c r="N57" s="56" t="str">
        <f aca="false">IF(J57="","",IF($H57=$I57,IF(OR(AND($G57="Higher is better",J57&gt;=$H57),AND($G57="Lower is better",J57&lt;=$H57)),A_Scoring_Model!$C$14,0),IF($G57="Higher is better",IF(J57&gt;=$H57,A_Scoring_Model!$C$14,IF(J57&lt;$I57,0,A_Scoring_Model!$C$15+(A_Scoring_Model!$C$14-A_Scoring_Model!$C$15)*(J57-$I57)/($H57-$I57))),IF(J57&lt;=$H57,A_Scoring_Model!$C$14,IF(J57&gt;$I57,0,A_Scoring_Model!$C$15+(A_Scoring_Model!$C$14-A_Scoring_Model!$C$15)*($I57-J57)/($I57-$H57))))))</f>
        <v/>
      </c>
      <c r="O57" s="56" t="str">
        <f aca="false">IF(K57="","",IF($H57=$I57,IF(OR(AND($G57="Higher is better",K57&gt;=$H57),AND($G57="Lower is better",K57&lt;=$H57)),A_Scoring_Model!$C$14,0),IF($G57="Higher is better",IF(K57&gt;=$H57,A_Scoring_Model!$C$14,IF(K57&lt;$I57,0,A_Scoring_Model!$C$15+(A_Scoring_Model!$C$14-A_Scoring_Model!$C$15)*(K57-$I57)/($H57-$I57))),IF(K57&lt;=$H57,A_Scoring_Model!$C$14,IF(K57&gt;$I57,0,A_Scoring_Model!$C$15+(A_Scoring_Model!$C$14-A_Scoring_Model!$C$15)*($I57-K57)/($I57-$H57))))))</f>
        <v/>
      </c>
      <c r="P57" s="56" t="str">
        <f aca="false">IF(L57="","",IF($H57=$I57,IF(OR(AND($G57="Higher is better",L57&gt;=$H57),AND($G57="Lower is better",L57&lt;=$H57)),A_Scoring_Model!$C$14,0),IF($G57="Higher is better",IF(L57&gt;=$H57,A_Scoring_Model!$C$14,IF(L57&lt;$I57,0,A_Scoring_Model!$C$15+(A_Scoring_Model!$C$14-A_Scoring_Model!$C$15)*(L57-$I57)/($H57-$I57))),IF(L57&lt;=$H57,A_Scoring_Model!$C$14,IF(L57&gt;$I57,0,A_Scoring_Model!$C$15+(A_Scoring_Model!$C$14-A_Scoring_Model!$C$15)*($I57-L57)/($I57-$H57))))))</f>
        <v/>
      </c>
      <c r="Q57" s="56" t="str">
        <f aca="false">IF(M57="","",IF($H57=$I57,IF(OR(AND($G57="Higher is better",M57&gt;=$H57),AND($G57="Lower is better",M57&lt;=$H57)),A_Scoring_Model!$C$14,0),IF($G57="Higher is better",IF(M57&gt;=$H57,A_Scoring_Model!$C$14,IF(M57&lt;$I57,0,A_Scoring_Model!$C$15+(A_Scoring_Model!$C$14-A_Scoring_Model!$C$15)*(M57-$I57)/($H57-$I57))),IF(M57&lt;=$H57,A_Scoring_Model!$C$14,IF(M57&gt;$I57,0,A_Scoring_Model!$C$15+(A_Scoring_Model!$C$14-A_Scoring_Model!$C$15)*($I57-M57)/($I57-$H57))))))</f>
        <v/>
      </c>
    </row>
    <row r="58" customFormat="false" ht="15" hidden="false" customHeight="false" outlineLevel="0" collapsed="false">
      <c r="A58" s="51" t="str">
        <f aca="false">C_KPI_Benchmark!A58</f>
        <v>1.c-D6-17</v>
      </c>
      <c r="B58" s="52" t="str">
        <f aca="false">C_KPI_Benchmark!D58</f>
        <v>1.c</v>
      </c>
      <c r="C58" s="51" t="str">
        <f aca="false">C_KPI_Benchmark!E58</f>
        <v>RTM Auto-Generator + Risk Scoring</v>
      </c>
      <c r="D58" s="52" t="str">
        <f aca="false">C_KPI_Benchmark!F58</f>
        <v>D6</v>
      </c>
      <c r="E58" s="51" t="str">
        <f aca="false">C_KPI_Benchmark!J58</f>
        <v>SAST high findings and exposed secrets</v>
      </c>
      <c r="F58" s="52" t="str">
        <f aca="false">C_KPI_Benchmark!K58</f>
        <v>count</v>
      </c>
      <c r="G58" s="51" t="str">
        <f aca="false">C_KPI_Benchmark!L58</f>
        <v>Lower is better</v>
      </c>
      <c r="H58" s="62" t="n">
        <f aca="false">C_KPI_Benchmark!N58</f>
        <v>0</v>
      </c>
      <c r="I58" s="63" t="n">
        <f aca="false">IF(C_KPI_Benchmark!O58&lt;&gt;"",C_KPI_Benchmark!O58,IF(G58="Higher is better",H58*(1-A_Scoring_Model!$C$16),H58*(1+A_Scoring_Model!$C$16)))</f>
        <v>0</v>
      </c>
      <c r="J58" s="64"/>
      <c r="K58" s="64"/>
      <c r="L58" s="64"/>
      <c r="M58" s="64"/>
      <c r="N58" s="56" t="str">
        <f aca="false">IF(J58="","",IF($H58=$I58,IF(OR(AND($G58="Higher is better",J58&gt;=$H58),AND($G58="Lower is better",J58&lt;=$H58)),A_Scoring_Model!$C$14,0),IF($G58="Higher is better",IF(J58&gt;=$H58,A_Scoring_Model!$C$14,IF(J58&lt;$I58,0,A_Scoring_Model!$C$15+(A_Scoring_Model!$C$14-A_Scoring_Model!$C$15)*(J58-$I58)/($H58-$I58))),IF(J58&lt;=$H58,A_Scoring_Model!$C$14,IF(J58&gt;$I58,0,A_Scoring_Model!$C$15+(A_Scoring_Model!$C$14-A_Scoring_Model!$C$15)*($I58-J58)/($I58-$H58))))))</f>
        <v/>
      </c>
      <c r="O58" s="56" t="str">
        <f aca="false">IF(K58="","",IF($H58=$I58,IF(OR(AND($G58="Higher is better",K58&gt;=$H58),AND($G58="Lower is better",K58&lt;=$H58)),A_Scoring_Model!$C$14,0),IF($G58="Higher is better",IF(K58&gt;=$H58,A_Scoring_Model!$C$14,IF(K58&lt;$I58,0,A_Scoring_Model!$C$15+(A_Scoring_Model!$C$14-A_Scoring_Model!$C$15)*(K58-$I58)/($H58-$I58))),IF(K58&lt;=$H58,A_Scoring_Model!$C$14,IF(K58&gt;$I58,0,A_Scoring_Model!$C$15+(A_Scoring_Model!$C$14-A_Scoring_Model!$C$15)*($I58-K58)/($I58-$H58))))))</f>
        <v/>
      </c>
      <c r="P58" s="56" t="str">
        <f aca="false">IF(L58="","",IF($H58=$I58,IF(OR(AND($G58="Higher is better",L58&gt;=$H58),AND($G58="Lower is better",L58&lt;=$H58)),A_Scoring_Model!$C$14,0),IF($G58="Higher is better",IF(L58&gt;=$H58,A_Scoring_Model!$C$14,IF(L58&lt;$I58,0,A_Scoring_Model!$C$15+(A_Scoring_Model!$C$14-A_Scoring_Model!$C$15)*(L58-$I58)/($H58-$I58))),IF(L58&lt;=$H58,A_Scoring_Model!$C$14,IF(L58&gt;$I58,0,A_Scoring_Model!$C$15+(A_Scoring_Model!$C$14-A_Scoring_Model!$C$15)*($I58-L58)/($I58-$H58))))))</f>
        <v/>
      </c>
      <c r="Q58" s="56" t="str">
        <f aca="false">IF(M58="","",IF($H58=$I58,IF(OR(AND($G58="Higher is better",M58&gt;=$H58),AND($G58="Lower is better",M58&lt;=$H58)),A_Scoring_Model!$C$14,0),IF($G58="Higher is better",IF(M58&gt;=$H58,A_Scoring_Model!$C$14,IF(M58&lt;$I58,0,A_Scoring_Model!$C$15+(A_Scoring_Model!$C$14-A_Scoring_Model!$C$15)*(M58-$I58)/($H58-$I58))),IF(M58&lt;=$H58,A_Scoring_Model!$C$14,IF(M58&gt;$I58,0,A_Scoring_Model!$C$15+(A_Scoring_Model!$C$14-A_Scoring_Model!$C$15)*($I58-M58)/($I58-$H58))))))</f>
        <v/>
      </c>
    </row>
    <row r="59" customFormat="false" ht="23.85" hidden="false" customHeight="false" outlineLevel="0" collapsed="false">
      <c r="A59" s="51" t="str">
        <f aca="false">C_KPI_Benchmark!A59</f>
        <v>1.c-D6-18</v>
      </c>
      <c r="B59" s="52" t="str">
        <f aca="false">C_KPI_Benchmark!D59</f>
        <v>1.c</v>
      </c>
      <c r="C59" s="51" t="str">
        <f aca="false">C_KPI_Benchmark!E59</f>
        <v>RTM Auto-Generator + Risk Scoring</v>
      </c>
      <c r="D59" s="52" t="str">
        <f aca="false">C_KPI_Benchmark!F59</f>
        <v>D6</v>
      </c>
      <c r="E59" s="51" t="str">
        <f aca="false">C_KPI_Benchmark!J59</f>
        <v>Documentation pack complete (README, I/O contract, model card, runbook)</v>
      </c>
      <c r="F59" s="52" t="str">
        <f aca="false">C_KPI_Benchmark!K59</f>
        <v>Yes/No</v>
      </c>
      <c r="G59" s="51" t="str">
        <f aca="false">C_KPI_Benchmark!L59</f>
        <v>Higher is better</v>
      </c>
      <c r="H59" s="60" t="n">
        <f aca="false">C_KPI_Benchmark!N59</f>
        <v>1</v>
      </c>
      <c r="I59" s="56" t="n">
        <f aca="false">IF(C_KPI_Benchmark!O59&lt;&gt;"",C_KPI_Benchmark!O59,IF(G59="Higher is better",H59*(1-A_Scoring_Model!$C$16),H59*(1+A_Scoring_Model!$C$16)))</f>
        <v>0.8</v>
      </c>
      <c r="J59" s="61"/>
      <c r="K59" s="61"/>
      <c r="L59" s="61"/>
      <c r="M59" s="61"/>
      <c r="N59" s="56" t="str">
        <f aca="false">IF(J59="","",IF($H59=$I59,IF(OR(AND($G59="Higher is better",J59&gt;=$H59),AND($G59="Lower is better",J59&lt;=$H59)),A_Scoring_Model!$C$14,0),IF($G59="Higher is better",IF(J59&gt;=$H59,A_Scoring_Model!$C$14,IF(J59&lt;$I59,0,A_Scoring_Model!$C$15+(A_Scoring_Model!$C$14-A_Scoring_Model!$C$15)*(J59-$I59)/($H59-$I59))),IF(J59&lt;=$H59,A_Scoring_Model!$C$14,IF(J59&gt;$I59,0,A_Scoring_Model!$C$15+(A_Scoring_Model!$C$14-A_Scoring_Model!$C$15)*($I59-J59)/($I59-$H59))))))</f>
        <v/>
      </c>
      <c r="O59" s="56" t="str">
        <f aca="false">IF(K59="","",IF($H59=$I59,IF(OR(AND($G59="Higher is better",K59&gt;=$H59),AND($G59="Lower is better",K59&lt;=$H59)),A_Scoring_Model!$C$14,0),IF($G59="Higher is better",IF(K59&gt;=$H59,A_Scoring_Model!$C$14,IF(K59&lt;$I59,0,A_Scoring_Model!$C$15+(A_Scoring_Model!$C$14-A_Scoring_Model!$C$15)*(K59-$I59)/($H59-$I59))),IF(K59&lt;=$H59,A_Scoring_Model!$C$14,IF(K59&gt;$I59,0,A_Scoring_Model!$C$15+(A_Scoring_Model!$C$14-A_Scoring_Model!$C$15)*($I59-K59)/($I59-$H59))))))</f>
        <v/>
      </c>
      <c r="P59" s="56" t="str">
        <f aca="false">IF(L59="","",IF($H59=$I59,IF(OR(AND($G59="Higher is better",L59&gt;=$H59),AND($G59="Lower is better",L59&lt;=$H59)),A_Scoring_Model!$C$14,0),IF($G59="Higher is better",IF(L59&gt;=$H59,A_Scoring_Model!$C$14,IF(L59&lt;$I59,0,A_Scoring_Model!$C$15+(A_Scoring_Model!$C$14-A_Scoring_Model!$C$15)*(L59-$I59)/($H59-$I59))),IF(L59&lt;=$H59,A_Scoring_Model!$C$14,IF(L59&gt;$I59,0,A_Scoring_Model!$C$15+(A_Scoring_Model!$C$14-A_Scoring_Model!$C$15)*($I59-L59)/($I59-$H59))))))</f>
        <v/>
      </c>
      <c r="Q59" s="56" t="str">
        <f aca="false">IF(M59="","",IF($H59=$I59,IF(OR(AND($G59="Higher is better",M59&gt;=$H59),AND($G59="Lower is better",M59&lt;=$H59)),A_Scoring_Model!$C$14,0),IF($G59="Higher is better",IF(M59&gt;=$H59,A_Scoring_Model!$C$14,IF(M59&lt;$I59,0,A_Scoring_Model!$C$15+(A_Scoring_Model!$C$14-A_Scoring_Model!$C$15)*(M59-$I59)/($H59-$I59))),IF(M59&lt;=$H59,A_Scoring_Model!$C$14,IF(M59&gt;$I59,0,A_Scoring_Model!$C$15+(A_Scoring_Model!$C$14-A_Scoring_Model!$C$15)*($I59-M59)/($I59-$H59))))))</f>
        <v/>
      </c>
    </row>
    <row r="60" customFormat="false" ht="15" hidden="false" customHeight="false" outlineLevel="0" collapsed="false">
      <c r="A60" s="51" t="str">
        <f aca="false">C_KPI_Benchmark!A60</f>
        <v>1.c-D6-19</v>
      </c>
      <c r="B60" s="52" t="str">
        <f aca="false">C_KPI_Benchmark!D60</f>
        <v>1.c</v>
      </c>
      <c r="C60" s="51" t="str">
        <f aca="false">C_KPI_Benchmark!E60</f>
        <v>RTM Auto-Generator + Risk Scoring</v>
      </c>
      <c r="D60" s="52" t="str">
        <f aca="false">C_KPI_Benchmark!F60</f>
        <v>D6</v>
      </c>
      <c r="E60" s="51" t="str">
        <f aca="false">C_KPI_Benchmark!J60</f>
        <v>Named owner and support SLA</v>
      </c>
      <c r="F60" s="52" t="str">
        <f aca="false">C_KPI_Benchmark!K60</f>
        <v>Yes/No</v>
      </c>
      <c r="G60" s="51" t="str">
        <f aca="false">C_KPI_Benchmark!L60</f>
        <v>Higher is better</v>
      </c>
      <c r="H60" s="60" t="n">
        <f aca="false">C_KPI_Benchmark!N60</f>
        <v>1</v>
      </c>
      <c r="I60" s="56" t="n">
        <f aca="false">IF(C_KPI_Benchmark!O60&lt;&gt;"",C_KPI_Benchmark!O60,IF(G60="Higher is better",H60*(1-A_Scoring_Model!$C$16),H60*(1+A_Scoring_Model!$C$16)))</f>
        <v>0.8</v>
      </c>
      <c r="J60" s="61"/>
      <c r="K60" s="61"/>
      <c r="L60" s="61"/>
      <c r="M60" s="61"/>
      <c r="N60" s="56" t="str">
        <f aca="false">IF(J60="","",IF($H60=$I60,IF(OR(AND($G60="Higher is better",J60&gt;=$H60),AND($G60="Lower is better",J60&lt;=$H60)),A_Scoring_Model!$C$14,0),IF($G60="Higher is better",IF(J60&gt;=$H60,A_Scoring_Model!$C$14,IF(J60&lt;$I60,0,A_Scoring_Model!$C$15+(A_Scoring_Model!$C$14-A_Scoring_Model!$C$15)*(J60-$I60)/($H60-$I60))),IF(J60&lt;=$H60,A_Scoring_Model!$C$14,IF(J60&gt;$I60,0,A_Scoring_Model!$C$15+(A_Scoring_Model!$C$14-A_Scoring_Model!$C$15)*($I60-J60)/($I60-$H60))))))</f>
        <v/>
      </c>
      <c r="O60" s="56" t="str">
        <f aca="false">IF(K60="","",IF($H60=$I60,IF(OR(AND($G60="Higher is better",K60&gt;=$H60),AND($G60="Lower is better",K60&lt;=$H60)),A_Scoring_Model!$C$14,0),IF($G60="Higher is better",IF(K60&gt;=$H60,A_Scoring_Model!$C$14,IF(K60&lt;$I60,0,A_Scoring_Model!$C$15+(A_Scoring_Model!$C$14-A_Scoring_Model!$C$15)*(K60-$I60)/($H60-$I60))),IF(K60&lt;=$H60,A_Scoring_Model!$C$14,IF(K60&gt;$I60,0,A_Scoring_Model!$C$15+(A_Scoring_Model!$C$14-A_Scoring_Model!$C$15)*($I60-K60)/($I60-$H60))))))</f>
        <v/>
      </c>
      <c r="P60" s="56" t="str">
        <f aca="false">IF(L60="","",IF($H60=$I60,IF(OR(AND($G60="Higher is better",L60&gt;=$H60),AND($G60="Lower is better",L60&lt;=$H60)),A_Scoring_Model!$C$14,0),IF($G60="Higher is better",IF(L60&gt;=$H60,A_Scoring_Model!$C$14,IF(L60&lt;$I60,0,A_Scoring_Model!$C$15+(A_Scoring_Model!$C$14-A_Scoring_Model!$C$15)*(L60-$I60)/($H60-$I60))),IF(L60&lt;=$H60,A_Scoring_Model!$C$14,IF(L60&gt;$I60,0,A_Scoring_Model!$C$15+(A_Scoring_Model!$C$14-A_Scoring_Model!$C$15)*($I60-L60)/($I60-$H60))))))</f>
        <v/>
      </c>
      <c r="Q60" s="56" t="str">
        <f aca="false">IF(M60="","",IF($H60=$I60,IF(OR(AND($G60="Higher is better",M60&gt;=$H60),AND($G60="Lower is better",M60&lt;=$H60)),A_Scoring_Model!$C$14,0),IF($G60="Higher is better",IF(M60&gt;=$H60,A_Scoring_Model!$C$14,IF(M60&lt;$I60,0,A_Scoring_Model!$C$15+(A_Scoring_Model!$C$14-A_Scoring_Model!$C$15)*(M60-$I60)/($H60-$I60))),IF(M60&lt;=$H60,A_Scoring_Model!$C$14,IF(M60&gt;$I60,0,A_Scoring_Model!$C$15+(A_Scoring_Model!$C$14-A_Scoring_Model!$C$15)*($I60-M60)/($I60-$H60))))))</f>
        <v/>
      </c>
    </row>
    <row r="61" customFormat="false" ht="15" hidden="false" customHeight="false" outlineLevel="0" collapsed="false">
      <c r="A61" s="51" t="str">
        <f aca="false">C_KPI_Benchmark!A61</f>
        <v>2.a-D1-01</v>
      </c>
      <c r="B61" s="52" t="str">
        <f aca="false">C_KPI_Benchmark!D61</f>
        <v>2.a</v>
      </c>
      <c r="C61" s="51" t="str">
        <f aca="false">C_KPI_Benchmark!E61</f>
        <v>Test Strategy AI Advisor</v>
      </c>
      <c r="D61" s="52" t="str">
        <f aca="false">C_KPI_Benchmark!F61</f>
        <v>D1</v>
      </c>
      <c r="E61" s="51" t="str">
        <f aca="false">C_KPI_Benchmark!J61</f>
        <v>Section completeness vs ISO/IEC/IEEE 29119-3</v>
      </c>
      <c r="F61" s="52" t="str">
        <f aca="false">C_KPI_Benchmark!K61</f>
        <v>%</v>
      </c>
      <c r="G61" s="51" t="str">
        <f aca="false">C_KPI_Benchmark!L61</f>
        <v>Higher is better</v>
      </c>
      <c r="H61" s="53" t="n">
        <f aca="false">C_KPI_Benchmark!N61</f>
        <v>0.95</v>
      </c>
      <c r="I61" s="54" t="n">
        <f aca="false">IF(C_KPI_Benchmark!O61&lt;&gt;"",C_KPI_Benchmark!O61,IF(G61="Higher is better",H61*(1-A_Scoring_Model!$C$16),H61*(1+A_Scoring_Model!$C$16)))</f>
        <v>0.85</v>
      </c>
      <c r="J61" s="55"/>
      <c r="K61" s="55"/>
      <c r="L61" s="55"/>
      <c r="M61" s="55"/>
      <c r="N61" s="56" t="str">
        <f aca="false">IF(J61="","",IF($H61=$I61,IF(OR(AND($G61="Higher is better",J61&gt;=$H61),AND($G61="Lower is better",J61&lt;=$H61)),A_Scoring_Model!$C$14,0),IF($G61="Higher is better",IF(J61&gt;=$H61,A_Scoring_Model!$C$14,IF(J61&lt;$I61,0,A_Scoring_Model!$C$15+(A_Scoring_Model!$C$14-A_Scoring_Model!$C$15)*(J61-$I61)/($H61-$I61))),IF(J61&lt;=$H61,A_Scoring_Model!$C$14,IF(J61&gt;$I61,0,A_Scoring_Model!$C$15+(A_Scoring_Model!$C$14-A_Scoring_Model!$C$15)*($I61-J61)/($I61-$H61))))))</f>
        <v/>
      </c>
      <c r="O61" s="56" t="str">
        <f aca="false">IF(K61="","",IF($H61=$I61,IF(OR(AND($G61="Higher is better",K61&gt;=$H61),AND($G61="Lower is better",K61&lt;=$H61)),A_Scoring_Model!$C$14,0),IF($G61="Higher is better",IF(K61&gt;=$H61,A_Scoring_Model!$C$14,IF(K61&lt;$I61,0,A_Scoring_Model!$C$15+(A_Scoring_Model!$C$14-A_Scoring_Model!$C$15)*(K61-$I61)/($H61-$I61))),IF(K61&lt;=$H61,A_Scoring_Model!$C$14,IF(K61&gt;$I61,0,A_Scoring_Model!$C$15+(A_Scoring_Model!$C$14-A_Scoring_Model!$C$15)*($I61-K61)/($I61-$H61))))))</f>
        <v/>
      </c>
      <c r="P61" s="56" t="str">
        <f aca="false">IF(L61="","",IF($H61=$I61,IF(OR(AND($G61="Higher is better",L61&gt;=$H61),AND($G61="Lower is better",L61&lt;=$H61)),A_Scoring_Model!$C$14,0),IF($G61="Higher is better",IF(L61&gt;=$H61,A_Scoring_Model!$C$14,IF(L61&lt;$I61,0,A_Scoring_Model!$C$15+(A_Scoring_Model!$C$14-A_Scoring_Model!$C$15)*(L61-$I61)/($H61-$I61))),IF(L61&lt;=$H61,A_Scoring_Model!$C$14,IF(L61&gt;$I61,0,A_Scoring_Model!$C$15+(A_Scoring_Model!$C$14-A_Scoring_Model!$C$15)*($I61-L61)/($I61-$H61))))))</f>
        <v/>
      </c>
      <c r="Q61" s="56" t="str">
        <f aca="false">IF(M61="","",IF($H61=$I61,IF(OR(AND($G61="Higher is better",M61&gt;=$H61),AND($G61="Lower is better",M61&lt;=$H61)),A_Scoring_Model!$C$14,0),IF($G61="Higher is better",IF(M61&gt;=$H61,A_Scoring_Model!$C$14,IF(M61&lt;$I61,0,A_Scoring_Model!$C$15+(A_Scoring_Model!$C$14-A_Scoring_Model!$C$15)*(M61-$I61)/($H61-$I61))),IF(M61&lt;=$H61,A_Scoring_Model!$C$14,IF(M61&gt;$I61,0,A_Scoring_Model!$C$15+(A_Scoring_Model!$C$14-A_Scoring_Model!$C$15)*($I61-M61)/($I61-$H61))))))</f>
        <v/>
      </c>
    </row>
    <row r="62" customFormat="false" ht="15" hidden="false" customHeight="false" outlineLevel="0" collapsed="false">
      <c r="A62" s="51" t="str">
        <f aca="false">C_KPI_Benchmark!A62</f>
        <v>2.a-D1-02</v>
      </c>
      <c r="B62" s="52" t="str">
        <f aca="false">C_KPI_Benchmark!D62</f>
        <v>2.a</v>
      </c>
      <c r="C62" s="51" t="str">
        <f aca="false">C_KPI_Benchmark!E62</f>
        <v>Test Strategy AI Advisor</v>
      </c>
      <c r="D62" s="52" t="str">
        <f aca="false">C_KPI_Benchmark!F62</f>
        <v>D1</v>
      </c>
      <c r="E62" s="51" t="str">
        <f aca="false">C_KPI_Benchmark!J62</f>
        <v>SME rubric score</v>
      </c>
      <c r="F62" s="52" t="str">
        <f aca="false">C_KPI_Benchmark!K62</f>
        <v>/5</v>
      </c>
      <c r="G62" s="51" t="str">
        <f aca="false">C_KPI_Benchmark!L62</f>
        <v>Higher is better</v>
      </c>
      <c r="H62" s="65" t="n">
        <f aca="false">C_KPI_Benchmark!N62</f>
        <v>4</v>
      </c>
      <c r="I62" s="66" t="n">
        <f aca="false">IF(C_KPI_Benchmark!O62&lt;&gt;"",C_KPI_Benchmark!O62,IF(G62="Higher is better",H62*(1-A_Scoring_Model!$C$16),H62*(1+A_Scoring_Model!$C$16)))</f>
        <v>3.3</v>
      </c>
      <c r="J62" s="67"/>
      <c r="K62" s="67"/>
      <c r="L62" s="67"/>
      <c r="M62" s="67"/>
      <c r="N62" s="56" t="str">
        <f aca="false">IF(J62="","",IF($H62=$I62,IF(OR(AND($G62="Higher is better",J62&gt;=$H62),AND($G62="Lower is better",J62&lt;=$H62)),A_Scoring_Model!$C$14,0),IF($G62="Higher is better",IF(J62&gt;=$H62,A_Scoring_Model!$C$14,IF(J62&lt;$I62,0,A_Scoring_Model!$C$15+(A_Scoring_Model!$C$14-A_Scoring_Model!$C$15)*(J62-$I62)/($H62-$I62))),IF(J62&lt;=$H62,A_Scoring_Model!$C$14,IF(J62&gt;$I62,0,A_Scoring_Model!$C$15+(A_Scoring_Model!$C$14-A_Scoring_Model!$C$15)*($I62-J62)/($I62-$H62))))))</f>
        <v/>
      </c>
      <c r="O62" s="56" t="str">
        <f aca="false">IF(K62="","",IF($H62=$I62,IF(OR(AND($G62="Higher is better",K62&gt;=$H62),AND($G62="Lower is better",K62&lt;=$H62)),A_Scoring_Model!$C$14,0),IF($G62="Higher is better",IF(K62&gt;=$H62,A_Scoring_Model!$C$14,IF(K62&lt;$I62,0,A_Scoring_Model!$C$15+(A_Scoring_Model!$C$14-A_Scoring_Model!$C$15)*(K62-$I62)/($H62-$I62))),IF(K62&lt;=$H62,A_Scoring_Model!$C$14,IF(K62&gt;$I62,0,A_Scoring_Model!$C$15+(A_Scoring_Model!$C$14-A_Scoring_Model!$C$15)*($I62-K62)/($I62-$H62))))))</f>
        <v/>
      </c>
      <c r="P62" s="56" t="str">
        <f aca="false">IF(L62="","",IF($H62=$I62,IF(OR(AND($G62="Higher is better",L62&gt;=$H62),AND($G62="Lower is better",L62&lt;=$H62)),A_Scoring_Model!$C$14,0),IF($G62="Higher is better",IF(L62&gt;=$H62,A_Scoring_Model!$C$14,IF(L62&lt;$I62,0,A_Scoring_Model!$C$15+(A_Scoring_Model!$C$14-A_Scoring_Model!$C$15)*(L62-$I62)/($H62-$I62))),IF(L62&lt;=$H62,A_Scoring_Model!$C$14,IF(L62&gt;$I62,0,A_Scoring_Model!$C$15+(A_Scoring_Model!$C$14-A_Scoring_Model!$C$15)*($I62-L62)/($I62-$H62))))))</f>
        <v/>
      </c>
      <c r="Q62" s="56" t="str">
        <f aca="false">IF(M62="","",IF($H62=$I62,IF(OR(AND($G62="Higher is better",M62&gt;=$H62),AND($G62="Lower is better",M62&lt;=$H62)),A_Scoring_Model!$C$14,0),IF($G62="Higher is better",IF(M62&gt;=$H62,A_Scoring_Model!$C$14,IF(M62&lt;$I62,0,A_Scoring_Model!$C$15+(A_Scoring_Model!$C$14-A_Scoring_Model!$C$15)*(M62-$I62)/($H62-$I62))),IF(M62&lt;=$H62,A_Scoring_Model!$C$14,IF(M62&gt;$I62,0,A_Scoring_Model!$C$15+(A_Scoring_Model!$C$14-A_Scoring_Model!$C$15)*($I62-M62)/($I62-$H62))))))</f>
        <v/>
      </c>
    </row>
    <row r="63" customFormat="false" ht="15" hidden="false" customHeight="false" outlineLevel="0" collapsed="false">
      <c r="A63" s="51" t="str">
        <f aca="false">C_KPI_Benchmark!A63</f>
        <v>2.a-D1-03</v>
      </c>
      <c r="B63" s="52" t="str">
        <f aca="false">C_KPI_Benchmark!D63</f>
        <v>2.a</v>
      </c>
      <c r="C63" s="51" t="str">
        <f aca="false">C_KPI_Benchmark!E63</f>
        <v>Test Strategy AI Advisor</v>
      </c>
      <c r="D63" s="52" t="str">
        <f aca="false">C_KPI_Benchmark!F63</f>
        <v>D1</v>
      </c>
      <c r="E63" s="51" t="str">
        <f aca="false">C_KPI_Benchmark!J63</f>
        <v>High risks mapped to a strategy element</v>
      </c>
      <c r="F63" s="52" t="str">
        <f aca="false">C_KPI_Benchmark!K63</f>
        <v>%</v>
      </c>
      <c r="G63" s="51" t="str">
        <f aca="false">C_KPI_Benchmark!L63</f>
        <v>Higher is better</v>
      </c>
      <c r="H63" s="53" t="n">
        <f aca="false">C_KPI_Benchmark!N63</f>
        <v>1</v>
      </c>
      <c r="I63" s="54" t="n">
        <f aca="false">IF(C_KPI_Benchmark!O63&lt;&gt;"",C_KPI_Benchmark!O63,IF(G63="Higher is better",H63*(1-A_Scoring_Model!$C$16),H63*(1+A_Scoring_Model!$C$16)))</f>
        <v>0.95</v>
      </c>
      <c r="J63" s="55"/>
      <c r="K63" s="55"/>
      <c r="L63" s="55"/>
      <c r="M63" s="55"/>
      <c r="N63" s="56" t="str">
        <f aca="false">IF(J63="","",IF($H63=$I63,IF(OR(AND($G63="Higher is better",J63&gt;=$H63),AND($G63="Lower is better",J63&lt;=$H63)),A_Scoring_Model!$C$14,0),IF($G63="Higher is better",IF(J63&gt;=$H63,A_Scoring_Model!$C$14,IF(J63&lt;$I63,0,A_Scoring_Model!$C$15+(A_Scoring_Model!$C$14-A_Scoring_Model!$C$15)*(J63-$I63)/($H63-$I63))),IF(J63&lt;=$H63,A_Scoring_Model!$C$14,IF(J63&gt;$I63,0,A_Scoring_Model!$C$15+(A_Scoring_Model!$C$14-A_Scoring_Model!$C$15)*($I63-J63)/($I63-$H63))))))</f>
        <v/>
      </c>
      <c r="O63" s="56" t="str">
        <f aca="false">IF(K63="","",IF($H63=$I63,IF(OR(AND($G63="Higher is better",K63&gt;=$H63),AND($G63="Lower is better",K63&lt;=$H63)),A_Scoring_Model!$C$14,0),IF($G63="Higher is better",IF(K63&gt;=$H63,A_Scoring_Model!$C$14,IF(K63&lt;$I63,0,A_Scoring_Model!$C$15+(A_Scoring_Model!$C$14-A_Scoring_Model!$C$15)*(K63-$I63)/($H63-$I63))),IF(K63&lt;=$H63,A_Scoring_Model!$C$14,IF(K63&gt;$I63,0,A_Scoring_Model!$C$15+(A_Scoring_Model!$C$14-A_Scoring_Model!$C$15)*($I63-K63)/($I63-$H63))))))</f>
        <v/>
      </c>
      <c r="P63" s="56" t="str">
        <f aca="false">IF(L63="","",IF($H63=$I63,IF(OR(AND($G63="Higher is better",L63&gt;=$H63),AND($G63="Lower is better",L63&lt;=$H63)),A_Scoring_Model!$C$14,0),IF($G63="Higher is better",IF(L63&gt;=$H63,A_Scoring_Model!$C$14,IF(L63&lt;$I63,0,A_Scoring_Model!$C$15+(A_Scoring_Model!$C$14-A_Scoring_Model!$C$15)*(L63-$I63)/($H63-$I63))),IF(L63&lt;=$H63,A_Scoring_Model!$C$14,IF(L63&gt;$I63,0,A_Scoring_Model!$C$15+(A_Scoring_Model!$C$14-A_Scoring_Model!$C$15)*($I63-L63)/($I63-$H63))))))</f>
        <v/>
      </c>
      <c r="Q63" s="56" t="str">
        <f aca="false">IF(M63="","",IF($H63=$I63,IF(OR(AND($G63="Higher is better",M63&gt;=$H63),AND($G63="Lower is better",M63&lt;=$H63)),A_Scoring_Model!$C$14,0),IF($G63="Higher is better",IF(M63&gt;=$H63,A_Scoring_Model!$C$14,IF(M63&lt;$I63,0,A_Scoring_Model!$C$15+(A_Scoring_Model!$C$14-A_Scoring_Model!$C$15)*(M63-$I63)/($H63-$I63))),IF(M63&lt;=$H63,A_Scoring_Model!$C$14,IF(M63&gt;$I63,0,A_Scoring_Model!$C$15+(A_Scoring_Model!$C$14-A_Scoring_Model!$C$15)*($I63-M63)/($I63-$H63))))))</f>
        <v/>
      </c>
    </row>
    <row r="64" customFormat="false" ht="15" hidden="false" customHeight="false" outlineLevel="0" collapsed="false">
      <c r="A64" s="51" t="str">
        <f aca="false">C_KPI_Benchmark!A64</f>
        <v>2.a-D2-04</v>
      </c>
      <c r="B64" s="52" t="str">
        <f aca="false">C_KPI_Benchmark!D64</f>
        <v>2.a</v>
      </c>
      <c r="C64" s="51" t="str">
        <f aca="false">C_KPI_Benchmark!E64</f>
        <v>Test Strategy AI Advisor</v>
      </c>
      <c r="D64" s="52" t="str">
        <f aca="false">C_KPI_Benchmark!F64</f>
        <v>D2</v>
      </c>
      <c r="E64" s="51" t="str">
        <f aca="false">C_KPI_Benchmark!J64</f>
        <v>Template library parameterised by product line</v>
      </c>
      <c r="F64" s="52" t="str">
        <f aca="false">C_KPI_Benchmark!K64</f>
        <v>Yes/No</v>
      </c>
      <c r="G64" s="51" t="str">
        <f aca="false">C_KPI_Benchmark!L64</f>
        <v>Higher is better</v>
      </c>
      <c r="H64" s="60" t="n">
        <f aca="false">C_KPI_Benchmark!N64</f>
        <v>1</v>
      </c>
      <c r="I64" s="56" t="n">
        <f aca="false">IF(C_KPI_Benchmark!O64&lt;&gt;"",C_KPI_Benchmark!O64,IF(G64="Higher is better",H64*(1-A_Scoring_Model!$C$16),H64*(1+A_Scoring_Model!$C$16)))</f>
        <v>0.8</v>
      </c>
      <c r="J64" s="61"/>
      <c r="K64" s="61"/>
      <c r="L64" s="61"/>
      <c r="M64" s="61"/>
      <c r="N64" s="56" t="str">
        <f aca="false">IF(J64="","",IF($H64=$I64,IF(OR(AND($G64="Higher is better",J64&gt;=$H64),AND($G64="Lower is better",J64&lt;=$H64)),A_Scoring_Model!$C$14,0),IF($G64="Higher is better",IF(J64&gt;=$H64,A_Scoring_Model!$C$14,IF(J64&lt;$I64,0,A_Scoring_Model!$C$15+(A_Scoring_Model!$C$14-A_Scoring_Model!$C$15)*(J64-$I64)/($H64-$I64))),IF(J64&lt;=$H64,A_Scoring_Model!$C$14,IF(J64&gt;$I64,0,A_Scoring_Model!$C$15+(A_Scoring_Model!$C$14-A_Scoring_Model!$C$15)*($I64-J64)/($I64-$H64))))))</f>
        <v/>
      </c>
      <c r="O64" s="56" t="str">
        <f aca="false">IF(K64="","",IF($H64=$I64,IF(OR(AND($G64="Higher is better",K64&gt;=$H64),AND($G64="Lower is better",K64&lt;=$H64)),A_Scoring_Model!$C$14,0),IF($G64="Higher is better",IF(K64&gt;=$H64,A_Scoring_Model!$C$14,IF(K64&lt;$I64,0,A_Scoring_Model!$C$15+(A_Scoring_Model!$C$14-A_Scoring_Model!$C$15)*(K64-$I64)/($H64-$I64))),IF(K64&lt;=$H64,A_Scoring_Model!$C$14,IF(K64&gt;$I64,0,A_Scoring_Model!$C$15+(A_Scoring_Model!$C$14-A_Scoring_Model!$C$15)*($I64-K64)/($I64-$H64))))))</f>
        <v/>
      </c>
      <c r="P64" s="56" t="str">
        <f aca="false">IF(L64="","",IF($H64=$I64,IF(OR(AND($G64="Higher is better",L64&gt;=$H64),AND($G64="Lower is better",L64&lt;=$H64)),A_Scoring_Model!$C$14,0),IF($G64="Higher is better",IF(L64&gt;=$H64,A_Scoring_Model!$C$14,IF(L64&lt;$I64,0,A_Scoring_Model!$C$15+(A_Scoring_Model!$C$14-A_Scoring_Model!$C$15)*(L64-$I64)/($H64-$I64))),IF(L64&lt;=$H64,A_Scoring_Model!$C$14,IF(L64&gt;$I64,0,A_Scoring_Model!$C$15+(A_Scoring_Model!$C$14-A_Scoring_Model!$C$15)*($I64-L64)/($I64-$H64))))))</f>
        <v/>
      </c>
      <c r="Q64" s="56" t="str">
        <f aca="false">IF(M64="","",IF($H64=$I64,IF(OR(AND($G64="Higher is better",M64&gt;=$H64),AND($G64="Lower is better",M64&lt;=$H64)),A_Scoring_Model!$C$14,0),IF($G64="Higher is better",IF(M64&gt;=$H64,A_Scoring_Model!$C$14,IF(M64&lt;$I64,0,A_Scoring_Model!$C$15+(A_Scoring_Model!$C$14-A_Scoring_Model!$C$15)*(M64-$I64)/($H64-$I64))),IF(M64&lt;=$H64,A_Scoring_Model!$C$14,IF(M64&gt;$I64,0,A_Scoring_Model!$C$15+(A_Scoring_Model!$C$14-A_Scoring_Model!$C$15)*($I64-M64)/($I64-$H64))))))</f>
        <v/>
      </c>
    </row>
    <row r="65" customFormat="false" ht="23.85" hidden="false" customHeight="false" outlineLevel="0" collapsed="false">
      <c r="A65" s="51" t="str">
        <f aca="false">C_KPI_Benchmark!A65</f>
        <v>2.a-D2-05</v>
      </c>
      <c r="B65" s="52" t="str">
        <f aca="false">C_KPI_Benchmark!D65</f>
        <v>2.a</v>
      </c>
      <c r="C65" s="51" t="str">
        <f aca="false">C_KPI_Benchmark!E65</f>
        <v>Test Strategy AI Advisor</v>
      </c>
      <c r="D65" s="52" t="str">
        <f aca="false">C_KPI_Benchmark!F65</f>
        <v>D2</v>
      </c>
      <c r="E65" s="51" t="str">
        <f aca="false">C_KPI_Benchmark!J65</f>
        <v>Product lines supported with ≤10% efficacy drop (NVMe SSD, UFS, eMMC/uSD, PSSD)</v>
      </c>
      <c r="F65" s="52" t="str">
        <f aca="false">C_KPI_Benchmark!K65</f>
        <v>count</v>
      </c>
      <c r="G65" s="51" t="str">
        <f aca="false">C_KPI_Benchmark!L65</f>
        <v>Higher is better</v>
      </c>
      <c r="H65" s="62" t="n">
        <f aca="false">C_KPI_Benchmark!N65</f>
        <v>3</v>
      </c>
      <c r="I65" s="63" t="n">
        <f aca="false">IF(C_KPI_Benchmark!O65&lt;&gt;"",C_KPI_Benchmark!O65,IF(G65="Higher is better",H65*(1-A_Scoring_Model!$C$16),H65*(1+A_Scoring_Model!$C$16)))</f>
        <v>2</v>
      </c>
      <c r="J65" s="64"/>
      <c r="K65" s="64"/>
      <c r="L65" s="64"/>
      <c r="M65" s="64"/>
      <c r="N65" s="56" t="str">
        <f aca="false">IF(J65="","",IF($H65=$I65,IF(OR(AND($G65="Higher is better",J65&gt;=$H65),AND($G65="Lower is better",J65&lt;=$H65)),A_Scoring_Model!$C$14,0),IF($G65="Higher is better",IF(J65&gt;=$H65,A_Scoring_Model!$C$14,IF(J65&lt;$I65,0,A_Scoring_Model!$C$15+(A_Scoring_Model!$C$14-A_Scoring_Model!$C$15)*(J65-$I65)/($H65-$I65))),IF(J65&lt;=$H65,A_Scoring_Model!$C$14,IF(J65&gt;$I65,0,A_Scoring_Model!$C$15+(A_Scoring_Model!$C$14-A_Scoring_Model!$C$15)*($I65-J65)/($I65-$H65))))))</f>
        <v/>
      </c>
      <c r="O65" s="56" t="str">
        <f aca="false">IF(K65="","",IF($H65=$I65,IF(OR(AND($G65="Higher is better",K65&gt;=$H65),AND($G65="Lower is better",K65&lt;=$H65)),A_Scoring_Model!$C$14,0),IF($G65="Higher is better",IF(K65&gt;=$H65,A_Scoring_Model!$C$14,IF(K65&lt;$I65,0,A_Scoring_Model!$C$15+(A_Scoring_Model!$C$14-A_Scoring_Model!$C$15)*(K65-$I65)/($H65-$I65))),IF(K65&lt;=$H65,A_Scoring_Model!$C$14,IF(K65&gt;$I65,0,A_Scoring_Model!$C$15+(A_Scoring_Model!$C$14-A_Scoring_Model!$C$15)*($I65-K65)/($I65-$H65))))))</f>
        <v/>
      </c>
      <c r="P65" s="56" t="str">
        <f aca="false">IF(L65="","",IF($H65=$I65,IF(OR(AND($G65="Higher is better",L65&gt;=$H65),AND($G65="Lower is better",L65&lt;=$H65)),A_Scoring_Model!$C$14,0),IF($G65="Higher is better",IF(L65&gt;=$H65,A_Scoring_Model!$C$14,IF(L65&lt;$I65,0,A_Scoring_Model!$C$15+(A_Scoring_Model!$C$14-A_Scoring_Model!$C$15)*(L65-$I65)/($H65-$I65))),IF(L65&lt;=$H65,A_Scoring_Model!$C$14,IF(L65&gt;$I65,0,A_Scoring_Model!$C$15+(A_Scoring_Model!$C$14-A_Scoring_Model!$C$15)*($I65-L65)/($I65-$H65))))))</f>
        <v/>
      </c>
      <c r="Q65" s="56" t="str">
        <f aca="false">IF(M65="","",IF($H65=$I65,IF(OR(AND($G65="Higher is better",M65&gt;=$H65),AND($G65="Lower is better",M65&lt;=$H65)),A_Scoring_Model!$C$14,0),IF($G65="Higher is better",IF(M65&gt;=$H65,A_Scoring_Model!$C$14,IF(M65&lt;$I65,0,A_Scoring_Model!$C$15+(A_Scoring_Model!$C$14-A_Scoring_Model!$C$15)*(M65-$I65)/($H65-$I65))),IF(M65&lt;=$H65,A_Scoring_Model!$C$14,IF(M65&gt;$I65,0,A_Scoring_Model!$C$15+(A_Scoring_Model!$C$14-A_Scoring_Model!$C$15)*($I65-M65)/($I65-$H65))))))</f>
        <v/>
      </c>
    </row>
    <row r="66" customFormat="false" ht="15" hidden="false" customHeight="false" outlineLevel="0" collapsed="false">
      <c r="A66" s="51" t="str">
        <f aca="false">C_KPI_Benchmark!A66</f>
        <v>2.a-D2-06</v>
      </c>
      <c r="B66" s="52" t="str">
        <f aca="false">C_KPI_Benchmark!D66</f>
        <v>2.a</v>
      </c>
      <c r="C66" s="51" t="str">
        <f aca="false">C_KPI_Benchmark!E66</f>
        <v>Test Strategy AI Advisor</v>
      </c>
      <c r="D66" s="52" t="str">
        <f aca="false">C_KPI_Benchmark!F66</f>
        <v>D2</v>
      </c>
      <c r="E66" s="51" t="str">
        <f aca="false">C_KPI_Benchmark!J66</f>
        <v>Uses Zion shared services instead of re-implementing them</v>
      </c>
      <c r="F66" s="52" t="str">
        <f aca="false">C_KPI_Benchmark!K66</f>
        <v>Yes/No</v>
      </c>
      <c r="G66" s="51" t="str">
        <f aca="false">C_KPI_Benchmark!L66</f>
        <v>Higher is better</v>
      </c>
      <c r="H66" s="60" t="n">
        <f aca="false">C_KPI_Benchmark!N66</f>
        <v>1</v>
      </c>
      <c r="I66" s="56" t="n">
        <f aca="false">IF(C_KPI_Benchmark!O66&lt;&gt;"",C_KPI_Benchmark!O66,IF(G66="Higher is better",H66*(1-A_Scoring_Model!$C$16),H66*(1+A_Scoring_Model!$C$16)))</f>
        <v>0.8</v>
      </c>
      <c r="J66" s="61"/>
      <c r="K66" s="61"/>
      <c r="L66" s="61"/>
      <c r="M66" s="61"/>
      <c r="N66" s="56" t="str">
        <f aca="false">IF(J66="","",IF($H66=$I66,IF(OR(AND($G66="Higher is better",J66&gt;=$H66),AND($G66="Lower is better",J66&lt;=$H66)),A_Scoring_Model!$C$14,0),IF($G66="Higher is better",IF(J66&gt;=$H66,A_Scoring_Model!$C$14,IF(J66&lt;$I66,0,A_Scoring_Model!$C$15+(A_Scoring_Model!$C$14-A_Scoring_Model!$C$15)*(J66-$I66)/($H66-$I66))),IF(J66&lt;=$H66,A_Scoring_Model!$C$14,IF(J66&gt;$I66,0,A_Scoring_Model!$C$15+(A_Scoring_Model!$C$14-A_Scoring_Model!$C$15)*($I66-J66)/($I66-$H66))))))</f>
        <v/>
      </c>
      <c r="O66" s="56" t="str">
        <f aca="false">IF(K66="","",IF($H66=$I66,IF(OR(AND($G66="Higher is better",K66&gt;=$H66),AND($G66="Lower is better",K66&lt;=$H66)),A_Scoring_Model!$C$14,0),IF($G66="Higher is better",IF(K66&gt;=$H66,A_Scoring_Model!$C$14,IF(K66&lt;$I66,0,A_Scoring_Model!$C$15+(A_Scoring_Model!$C$14-A_Scoring_Model!$C$15)*(K66-$I66)/($H66-$I66))),IF(K66&lt;=$H66,A_Scoring_Model!$C$14,IF(K66&gt;$I66,0,A_Scoring_Model!$C$15+(A_Scoring_Model!$C$14-A_Scoring_Model!$C$15)*($I66-K66)/($I66-$H66))))))</f>
        <v/>
      </c>
      <c r="P66" s="56" t="str">
        <f aca="false">IF(L66="","",IF($H66=$I66,IF(OR(AND($G66="Higher is better",L66&gt;=$H66),AND($G66="Lower is better",L66&lt;=$H66)),A_Scoring_Model!$C$14,0),IF($G66="Higher is better",IF(L66&gt;=$H66,A_Scoring_Model!$C$14,IF(L66&lt;$I66,0,A_Scoring_Model!$C$15+(A_Scoring_Model!$C$14-A_Scoring_Model!$C$15)*(L66-$I66)/($H66-$I66))),IF(L66&lt;=$H66,A_Scoring_Model!$C$14,IF(L66&gt;$I66,0,A_Scoring_Model!$C$15+(A_Scoring_Model!$C$14-A_Scoring_Model!$C$15)*($I66-L66)/($I66-$H66))))))</f>
        <v/>
      </c>
      <c r="Q66" s="56" t="str">
        <f aca="false">IF(M66="","",IF($H66=$I66,IF(OR(AND($G66="Higher is better",M66&gt;=$H66),AND($G66="Lower is better",M66&lt;=$H66)),A_Scoring_Model!$C$14,0),IF($G66="Higher is better",IF(M66&gt;=$H66,A_Scoring_Model!$C$14,IF(M66&lt;$I66,0,A_Scoring_Model!$C$15+(A_Scoring_Model!$C$14-A_Scoring_Model!$C$15)*(M66-$I66)/($H66-$I66))),IF(M66&lt;=$H66,A_Scoring_Model!$C$14,IF(M66&gt;$I66,0,A_Scoring_Model!$C$15+(A_Scoring_Model!$C$14-A_Scoring_Model!$C$15)*($I66-M66)/($I66-$H66))))))</f>
        <v/>
      </c>
    </row>
    <row r="67" customFormat="false" ht="15" hidden="false" customHeight="false" outlineLevel="0" collapsed="false">
      <c r="A67" s="51" t="str">
        <f aca="false">C_KPI_Benchmark!A67</f>
        <v>2.a-D3-07</v>
      </c>
      <c r="B67" s="52" t="str">
        <f aca="false">C_KPI_Benchmark!D67</f>
        <v>2.a</v>
      </c>
      <c r="C67" s="51" t="str">
        <f aca="false">C_KPI_Benchmark!E67</f>
        <v>Test Strategy AI Advisor</v>
      </c>
      <c r="D67" s="52" t="str">
        <f aca="false">C_KPI_Benchmark!F67</f>
        <v>D3</v>
      </c>
      <c r="E67" s="51" t="str">
        <f aca="false">C_KPI_Benchmark!J67</f>
        <v>Draft generation time</v>
      </c>
      <c r="F67" s="52" t="str">
        <f aca="false">C_KPI_Benchmark!K67</f>
        <v>min</v>
      </c>
      <c r="G67" s="51" t="str">
        <f aca="false">C_KPI_Benchmark!L67</f>
        <v>Lower is better</v>
      </c>
      <c r="H67" s="62" t="n">
        <f aca="false">C_KPI_Benchmark!N67</f>
        <v>3</v>
      </c>
      <c r="I67" s="63" t="n">
        <f aca="false">IF(C_KPI_Benchmark!O67&lt;&gt;"",C_KPI_Benchmark!O67,IF(G67="Higher is better",H67*(1-A_Scoring_Model!$C$16),H67*(1+A_Scoring_Model!$C$16)))</f>
        <v>3.6</v>
      </c>
      <c r="J67" s="64"/>
      <c r="K67" s="64"/>
      <c r="L67" s="64"/>
      <c r="M67" s="64"/>
      <c r="N67" s="56" t="str">
        <f aca="false">IF(J67="","",IF($H67=$I67,IF(OR(AND($G67="Higher is better",J67&gt;=$H67),AND($G67="Lower is better",J67&lt;=$H67)),A_Scoring_Model!$C$14,0),IF($G67="Higher is better",IF(J67&gt;=$H67,A_Scoring_Model!$C$14,IF(J67&lt;$I67,0,A_Scoring_Model!$C$15+(A_Scoring_Model!$C$14-A_Scoring_Model!$C$15)*(J67-$I67)/($H67-$I67))),IF(J67&lt;=$H67,A_Scoring_Model!$C$14,IF(J67&gt;$I67,0,A_Scoring_Model!$C$15+(A_Scoring_Model!$C$14-A_Scoring_Model!$C$15)*($I67-J67)/($I67-$H67))))))</f>
        <v/>
      </c>
      <c r="O67" s="56" t="str">
        <f aca="false">IF(K67="","",IF($H67=$I67,IF(OR(AND($G67="Higher is better",K67&gt;=$H67),AND($G67="Lower is better",K67&lt;=$H67)),A_Scoring_Model!$C$14,0),IF($G67="Higher is better",IF(K67&gt;=$H67,A_Scoring_Model!$C$14,IF(K67&lt;$I67,0,A_Scoring_Model!$C$15+(A_Scoring_Model!$C$14-A_Scoring_Model!$C$15)*(K67-$I67)/($H67-$I67))),IF(K67&lt;=$H67,A_Scoring_Model!$C$14,IF(K67&gt;$I67,0,A_Scoring_Model!$C$15+(A_Scoring_Model!$C$14-A_Scoring_Model!$C$15)*($I67-K67)/($I67-$H67))))))</f>
        <v/>
      </c>
      <c r="P67" s="56" t="str">
        <f aca="false">IF(L67="","",IF($H67=$I67,IF(OR(AND($G67="Higher is better",L67&gt;=$H67),AND($G67="Lower is better",L67&lt;=$H67)),A_Scoring_Model!$C$14,0),IF($G67="Higher is better",IF(L67&gt;=$H67,A_Scoring_Model!$C$14,IF(L67&lt;$I67,0,A_Scoring_Model!$C$15+(A_Scoring_Model!$C$14-A_Scoring_Model!$C$15)*(L67-$I67)/($H67-$I67))),IF(L67&lt;=$H67,A_Scoring_Model!$C$14,IF(L67&gt;$I67,0,A_Scoring_Model!$C$15+(A_Scoring_Model!$C$14-A_Scoring_Model!$C$15)*($I67-L67)/($I67-$H67))))))</f>
        <v/>
      </c>
      <c r="Q67" s="56" t="str">
        <f aca="false">IF(M67="","",IF($H67=$I67,IF(OR(AND($G67="Higher is better",M67&gt;=$H67),AND($G67="Lower is better",M67&lt;=$H67)),A_Scoring_Model!$C$14,0),IF($G67="Higher is better",IF(M67&gt;=$H67,A_Scoring_Model!$C$14,IF(M67&lt;$I67,0,A_Scoring_Model!$C$15+(A_Scoring_Model!$C$14-A_Scoring_Model!$C$15)*(M67-$I67)/($H67-$I67))),IF(M67&lt;=$H67,A_Scoring_Model!$C$14,IF(M67&gt;$I67,0,A_Scoring_Model!$C$15+(A_Scoring_Model!$C$14-A_Scoring_Model!$C$15)*($I67-M67)/($I67-$H67))))))</f>
        <v/>
      </c>
    </row>
    <row r="68" customFormat="false" ht="15" hidden="false" customHeight="false" outlineLevel="0" collapsed="false">
      <c r="A68" s="51" t="str">
        <f aca="false">C_KPI_Benchmark!A68</f>
        <v>2.a-D3-08</v>
      </c>
      <c r="B68" s="52" t="str">
        <f aca="false">C_KPI_Benchmark!D68</f>
        <v>2.a</v>
      </c>
      <c r="C68" s="51" t="str">
        <f aca="false">C_KPI_Benchmark!E68</f>
        <v>Test Strategy AI Advisor</v>
      </c>
      <c r="D68" s="52" t="str">
        <f aca="false">C_KPI_Benchmark!F68</f>
        <v>D3</v>
      </c>
      <c r="E68" s="51" t="str">
        <f aca="false">C_KPI_Benchmark!J68</f>
        <v>Concurrent plans supported</v>
      </c>
      <c r="F68" s="52" t="str">
        <f aca="false">C_KPI_Benchmark!K68</f>
        <v>count</v>
      </c>
      <c r="G68" s="51" t="str">
        <f aca="false">C_KPI_Benchmark!L68</f>
        <v>Higher is better</v>
      </c>
      <c r="H68" s="62" t="n">
        <f aca="false">C_KPI_Benchmark!N68</f>
        <v>50</v>
      </c>
      <c r="I68" s="63" t="n">
        <f aca="false">IF(C_KPI_Benchmark!O68&lt;&gt;"",C_KPI_Benchmark!O68,IF(G68="Higher is better",H68*(1-A_Scoring_Model!$C$16),H68*(1+A_Scoring_Model!$C$16)))</f>
        <v>40</v>
      </c>
      <c r="J68" s="64"/>
      <c r="K68" s="64"/>
      <c r="L68" s="64"/>
      <c r="M68" s="64"/>
      <c r="N68" s="56" t="str">
        <f aca="false">IF(J68="","",IF($H68=$I68,IF(OR(AND($G68="Higher is better",J68&gt;=$H68),AND($G68="Lower is better",J68&lt;=$H68)),A_Scoring_Model!$C$14,0),IF($G68="Higher is better",IF(J68&gt;=$H68,A_Scoring_Model!$C$14,IF(J68&lt;$I68,0,A_Scoring_Model!$C$15+(A_Scoring_Model!$C$14-A_Scoring_Model!$C$15)*(J68-$I68)/($H68-$I68))),IF(J68&lt;=$H68,A_Scoring_Model!$C$14,IF(J68&gt;$I68,0,A_Scoring_Model!$C$15+(A_Scoring_Model!$C$14-A_Scoring_Model!$C$15)*($I68-J68)/($I68-$H68))))))</f>
        <v/>
      </c>
      <c r="O68" s="56" t="str">
        <f aca="false">IF(K68="","",IF($H68=$I68,IF(OR(AND($G68="Higher is better",K68&gt;=$H68),AND($G68="Lower is better",K68&lt;=$H68)),A_Scoring_Model!$C$14,0),IF($G68="Higher is better",IF(K68&gt;=$H68,A_Scoring_Model!$C$14,IF(K68&lt;$I68,0,A_Scoring_Model!$C$15+(A_Scoring_Model!$C$14-A_Scoring_Model!$C$15)*(K68-$I68)/($H68-$I68))),IF(K68&lt;=$H68,A_Scoring_Model!$C$14,IF(K68&gt;$I68,0,A_Scoring_Model!$C$15+(A_Scoring_Model!$C$14-A_Scoring_Model!$C$15)*($I68-K68)/($I68-$H68))))))</f>
        <v/>
      </c>
      <c r="P68" s="56" t="str">
        <f aca="false">IF(L68="","",IF($H68=$I68,IF(OR(AND($G68="Higher is better",L68&gt;=$H68),AND($G68="Lower is better",L68&lt;=$H68)),A_Scoring_Model!$C$14,0),IF($G68="Higher is better",IF(L68&gt;=$H68,A_Scoring_Model!$C$14,IF(L68&lt;$I68,0,A_Scoring_Model!$C$15+(A_Scoring_Model!$C$14-A_Scoring_Model!$C$15)*(L68-$I68)/($H68-$I68))),IF(L68&lt;=$H68,A_Scoring_Model!$C$14,IF(L68&gt;$I68,0,A_Scoring_Model!$C$15+(A_Scoring_Model!$C$14-A_Scoring_Model!$C$15)*($I68-L68)/($I68-$H68))))))</f>
        <v/>
      </c>
      <c r="Q68" s="56" t="str">
        <f aca="false">IF(M68="","",IF($H68=$I68,IF(OR(AND($G68="Higher is better",M68&gt;=$H68),AND($G68="Lower is better",M68&lt;=$H68)),A_Scoring_Model!$C$14,0),IF($G68="Higher is better",IF(M68&gt;=$H68,A_Scoring_Model!$C$14,IF(M68&lt;$I68,0,A_Scoring_Model!$C$15+(A_Scoring_Model!$C$14-A_Scoring_Model!$C$15)*(M68-$I68)/($H68-$I68))),IF(M68&lt;=$H68,A_Scoring_Model!$C$14,IF(M68&gt;$I68,0,A_Scoring_Model!$C$15+(A_Scoring_Model!$C$14-A_Scoring_Model!$C$15)*($I68-M68)/($I68-$H68))))))</f>
        <v/>
      </c>
    </row>
    <row r="69" customFormat="false" ht="15" hidden="false" customHeight="false" outlineLevel="0" collapsed="false">
      <c r="A69" s="51" t="str">
        <f aca="false">C_KPI_Benchmark!A69</f>
        <v>2.a-D3-09</v>
      </c>
      <c r="B69" s="52" t="str">
        <f aca="false">C_KPI_Benchmark!D69</f>
        <v>2.a</v>
      </c>
      <c r="C69" s="51" t="str">
        <f aca="false">C_KPI_Benchmark!E69</f>
        <v>Test Strategy AI Advisor</v>
      </c>
      <c r="D69" s="52" t="str">
        <f aca="false">C_KPI_Benchmark!F69</f>
        <v>D3</v>
      </c>
      <c r="E69" s="51" t="str">
        <f aca="false">C_KPI_Benchmark!J69</f>
        <v>Latency degradation at 10× load</v>
      </c>
      <c r="F69" s="52" t="str">
        <f aca="false">C_KPI_Benchmark!K69</f>
        <v>%</v>
      </c>
      <c r="G69" s="51" t="str">
        <f aca="false">C_KPI_Benchmark!L69</f>
        <v>Lower is better</v>
      </c>
      <c r="H69" s="53" t="n">
        <f aca="false">C_KPI_Benchmark!N69</f>
        <v>0.2</v>
      </c>
      <c r="I69" s="54" t="n">
        <f aca="false">IF(C_KPI_Benchmark!O69&lt;&gt;"",C_KPI_Benchmark!O69,IF(G69="Higher is better",H69*(1-A_Scoring_Model!$C$16),H69*(1+A_Scoring_Model!$C$16)))</f>
        <v>0.4</v>
      </c>
      <c r="J69" s="55"/>
      <c r="K69" s="55"/>
      <c r="L69" s="55"/>
      <c r="M69" s="55"/>
      <c r="N69" s="56" t="str">
        <f aca="false">IF(J69="","",IF($H69=$I69,IF(OR(AND($G69="Higher is better",J69&gt;=$H69),AND($G69="Lower is better",J69&lt;=$H69)),A_Scoring_Model!$C$14,0),IF($G69="Higher is better",IF(J69&gt;=$H69,A_Scoring_Model!$C$14,IF(J69&lt;$I69,0,A_Scoring_Model!$C$15+(A_Scoring_Model!$C$14-A_Scoring_Model!$C$15)*(J69-$I69)/($H69-$I69))),IF(J69&lt;=$H69,A_Scoring_Model!$C$14,IF(J69&gt;$I69,0,A_Scoring_Model!$C$15+(A_Scoring_Model!$C$14-A_Scoring_Model!$C$15)*($I69-J69)/($I69-$H69))))))</f>
        <v/>
      </c>
      <c r="O69" s="56" t="str">
        <f aca="false">IF(K69="","",IF($H69=$I69,IF(OR(AND($G69="Higher is better",K69&gt;=$H69),AND($G69="Lower is better",K69&lt;=$H69)),A_Scoring_Model!$C$14,0),IF($G69="Higher is better",IF(K69&gt;=$H69,A_Scoring_Model!$C$14,IF(K69&lt;$I69,0,A_Scoring_Model!$C$15+(A_Scoring_Model!$C$14-A_Scoring_Model!$C$15)*(K69-$I69)/($H69-$I69))),IF(K69&lt;=$H69,A_Scoring_Model!$C$14,IF(K69&gt;$I69,0,A_Scoring_Model!$C$15+(A_Scoring_Model!$C$14-A_Scoring_Model!$C$15)*($I69-K69)/($I69-$H69))))))</f>
        <v/>
      </c>
      <c r="P69" s="56" t="str">
        <f aca="false">IF(L69="","",IF($H69=$I69,IF(OR(AND($G69="Higher is better",L69&gt;=$H69),AND($G69="Lower is better",L69&lt;=$H69)),A_Scoring_Model!$C$14,0),IF($G69="Higher is better",IF(L69&gt;=$H69,A_Scoring_Model!$C$14,IF(L69&lt;$I69,0,A_Scoring_Model!$C$15+(A_Scoring_Model!$C$14-A_Scoring_Model!$C$15)*(L69-$I69)/($H69-$I69))),IF(L69&lt;=$H69,A_Scoring_Model!$C$14,IF(L69&gt;$I69,0,A_Scoring_Model!$C$15+(A_Scoring_Model!$C$14-A_Scoring_Model!$C$15)*($I69-L69)/($I69-$H69))))))</f>
        <v/>
      </c>
      <c r="Q69" s="56" t="str">
        <f aca="false">IF(M69="","",IF($H69=$I69,IF(OR(AND($G69="Higher is better",M69&gt;=$H69),AND($G69="Lower is better",M69&lt;=$H69)),A_Scoring_Model!$C$14,0),IF($G69="Higher is better",IF(M69&gt;=$H69,A_Scoring_Model!$C$14,IF(M69&lt;$I69,0,A_Scoring_Model!$C$15+(A_Scoring_Model!$C$14-A_Scoring_Model!$C$15)*(M69-$I69)/($H69-$I69))),IF(M69&lt;=$H69,A_Scoring_Model!$C$14,IF(M69&gt;$I69,0,A_Scoring_Model!$C$15+(A_Scoring_Model!$C$14-A_Scoring_Model!$C$15)*($I69-M69)/($I69-$H69))))))</f>
        <v/>
      </c>
    </row>
    <row r="70" customFormat="false" ht="15" hidden="false" customHeight="false" outlineLevel="0" collapsed="false">
      <c r="A70" s="51" t="str">
        <f aca="false">C_KPI_Benchmark!A70</f>
        <v>2.a-D4-10</v>
      </c>
      <c r="B70" s="52" t="str">
        <f aca="false">C_KPI_Benchmark!D70</f>
        <v>2.a</v>
      </c>
      <c r="C70" s="51" t="str">
        <f aca="false">C_KPI_Benchmark!E70</f>
        <v>Test Strategy AI Advisor</v>
      </c>
      <c r="D70" s="52" t="str">
        <f aca="false">C_KPI_Benchmark!F70</f>
        <v>D4</v>
      </c>
      <c r="E70" s="51" t="str">
        <f aca="false">C_KPI_Benchmark!J70</f>
        <v>Recommendations citing a template / KB source</v>
      </c>
      <c r="F70" s="52" t="str">
        <f aca="false">C_KPI_Benchmark!K70</f>
        <v>%</v>
      </c>
      <c r="G70" s="51" t="str">
        <f aca="false">C_KPI_Benchmark!L70</f>
        <v>Higher is better</v>
      </c>
      <c r="H70" s="53" t="n">
        <f aca="false">C_KPI_Benchmark!N70</f>
        <v>0.9</v>
      </c>
      <c r="I70" s="54" t="n">
        <f aca="false">IF(C_KPI_Benchmark!O70&lt;&gt;"",C_KPI_Benchmark!O70,IF(G70="Higher is better",H70*(1-A_Scoring_Model!$C$16),H70*(1+A_Scoring_Model!$C$16)))</f>
        <v>0.72</v>
      </c>
      <c r="J70" s="55"/>
      <c r="K70" s="55"/>
      <c r="L70" s="55"/>
      <c r="M70" s="55"/>
      <c r="N70" s="56" t="str">
        <f aca="false">IF(J70="","",IF($H70=$I70,IF(OR(AND($G70="Higher is better",J70&gt;=$H70),AND($G70="Lower is better",J70&lt;=$H70)),A_Scoring_Model!$C$14,0),IF($G70="Higher is better",IF(J70&gt;=$H70,A_Scoring_Model!$C$14,IF(J70&lt;$I70,0,A_Scoring_Model!$C$15+(A_Scoring_Model!$C$14-A_Scoring_Model!$C$15)*(J70-$I70)/($H70-$I70))),IF(J70&lt;=$H70,A_Scoring_Model!$C$14,IF(J70&gt;$I70,0,A_Scoring_Model!$C$15+(A_Scoring_Model!$C$14-A_Scoring_Model!$C$15)*($I70-J70)/($I70-$H70))))))</f>
        <v/>
      </c>
      <c r="O70" s="56" t="str">
        <f aca="false">IF(K70="","",IF($H70=$I70,IF(OR(AND($G70="Higher is better",K70&gt;=$H70),AND($G70="Lower is better",K70&lt;=$H70)),A_Scoring_Model!$C$14,0),IF($G70="Higher is better",IF(K70&gt;=$H70,A_Scoring_Model!$C$14,IF(K70&lt;$I70,0,A_Scoring_Model!$C$15+(A_Scoring_Model!$C$14-A_Scoring_Model!$C$15)*(K70-$I70)/($H70-$I70))),IF(K70&lt;=$H70,A_Scoring_Model!$C$14,IF(K70&gt;$I70,0,A_Scoring_Model!$C$15+(A_Scoring_Model!$C$14-A_Scoring_Model!$C$15)*($I70-K70)/($I70-$H70))))))</f>
        <v/>
      </c>
      <c r="P70" s="56" t="str">
        <f aca="false">IF(L70="","",IF($H70=$I70,IF(OR(AND($G70="Higher is better",L70&gt;=$H70),AND($G70="Lower is better",L70&lt;=$H70)),A_Scoring_Model!$C$14,0),IF($G70="Higher is better",IF(L70&gt;=$H70,A_Scoring_Model!$C$14,IF(L70&lt;$I70,0,A_Scoring_Model!$C$15+(A_Scoring_Model!$C$14-A_Scoring_Model!$C$15)*(L70-$I70)/($H70-$I70))),IF(L70&lt;=$H70,A_Scoring_Model!$C$14,IF(L70&gt;$I70,0,A_Scoring_Model!$C$15+(A_Scoring_Model!$C$14-A_Scoring_Model!$C$15)*($I70-L70)/($I70-$H70))))))</f>
        <v/>
      </c>
      <c r="Q70" s="56" t="str">
        <f aca="false">IF(M70="","",IF($H70=$I70,IF(OR(AND($G70="Higher is better",M70&gt;=$H70),AND($G70="Lower is better",M70&lt;=$H70)),A_Scoring_Model!$C$14,0),IF($G70="Higher is better",IF(M70&gt;=$H70,A_Scoring_Model!$C$14,IF(M70&lt;$I70,0,A_Scoring_Model!$C$15+(A_Scoring_Model!$C$14-A_Scoring_Model!$C$15)*(M70-$I70)/($H70-$I70))),IF(M70&lt;=$H70,A_Scoring_Model!$C$14,IF(M70&gt;$I70,0,A_Scoring_Model!$C$15+(A_Scoring_Model!$C$14-A_Scoring_Model!$C$15)*($I70-M70)/($I70-$H70))))))</f>
        <v/>
      </c>
    </row>
    <row r="71" customFormat="false" ht="15" hidden="false" customHeight="false" outlineLevel="0" collapsed="false">
      <c r="A71" s="51" t="str">
        <f aca="false">C_KPI_Benchmark!A71</f>
        <v>2.a-D4-11</v>
      </c>
      <c r="B71" s="52" t="str">
        <f aca="false">C_KPI_Benchmark!D71</f>
        <v>2.a</v>
      </c>
      <c r="C71" s="51" t="str">
        <f aca="false">C_KPI_Benchmark!E71</f>
        <v>Test Strategy AI Advisor</v>
      </c>
      <c r="D71" s="52" t="str">
        <f aca="false">C_KPI_Benchmark!F71</f>
        <v>D4</v>
      </c>
      <c r="E71" s="51" t="str">
        <f aca="false">C_KPI_Benchmark!J71</f>
        <v>Service availability</v>
      </c>
      <c r="F71" s="52" t="str">
        <f aca="false">C_KPI_Benchmark!K71</f>
        <v>%</v>
      </c>
      <c r="G71" s="51" t="str">
        <f aca="false">C_KPI_Benchmark!L71</f>
        <v>Higher is better</v>
      </c>
      <c r="H71" s="53" t="n">
        <f aca="false">C_KPI_Benchmark!N71</f>
        <v>0.995</v>
      </c>
      <c r="I71" s="54" t="n">
        <f aca="false">IF(C_KPI_Benchmark!O71&lt;&gt;"",C_KPI_Benchmark!O71,IF(G71="Higher is better",H71*(1-A_Scoring_Model!$C$16),H71*(1+A_Scoring_Model!$C$16)))</f>
        <v>0.99</v>
      </c>
      <c r="J71" s="55"/>
      <c r="K71" s="55"/>
      <c r="L71" s="55"/>
      <c r="M71" s="55"/>
      <c r="N71" s="56" t="str">
        <f aca="false">IF(J71="","",IF($H71=$I71,IF(OR(AND($G71="Higher is better",J71&gt;=$H71),AND($G71="Lower is better",J71&lt;=$H71)),A_Scoring_Model!$C$14,0),IF($G71="Higher is better",IF(J71&gt;=$H71,A_Scoring_Model!$C$14,IF(J71&lt;$I71,0,A_Scoring_Model!$C$15+(A_Scoring_Model!$C$14-A_Scoring_Model!$C$15)*(J71-$I71)/($H71-$I71))),IF(J71&lt;=$H71,A_Scoring_Model!$C$14,IF(J71&gt;$I71,0,A_Scoring_Model!$C$15+(A_Scoring_Model!$C$14-A_Scoring_Model!$C$15)*($I71-J71)/($I71-$H71))))))</f>
        <v/>
      </c>
      <c r="O71" s="56" t="str">
        <f aca="false">IF(K71="","",IF($H71=$I71,IF(OR(AND($G71="Higher is better",K71&gt;=$H71),AND($G71="Lower is better",K71&lt;=$H71)),A_Scoring_Model!$C$14,0),IF($G71="Higher is better",IF(K71&gt;=$H71,A_Scoring_Model!$C$14,IF(K71&lt;$I71,0,A_Scoring_Model!$C$15+(A_Scoring_Model!$C$14-A_Scoring_Model!$C$15)*(K71-$I71)/($H71-$I71))),IF(K71&lt;=$H71,A_Scoring_Model!$C$14,IF(K71&gt;$I71,0,A_Scoring_Model!$C$15+(A_Scoring_Model!$C$14-A_Scoring_Model!$C$15)*($I71-K71)/($I71-$H71))))))</f>
        <v/>
      </c>
      <c r="P71" s="56" t="str">
        <f aca="false">IF(L71="","",IF($H71=$I71,IF(OR(AND($G71="Higher is better",L71&gt;=$H71),AND($G71="Lower is better",L71&lt;=$H71)),A_Scoring_Model!$C$14,0),IF($G71="Higher is better",IF(L71&gt;=$H71,A_Scoring_Model!$C$14,IF(L71&lt;$I71,0,A_Scoring_Model!$C$15+(A_Scoring_Model!$C$14-A_Scoring_Model!$C$15)*(L71-$I71)/($H71-$I71))),IF(L71&lt;=$H71,A_Scoring_Model!$C$14,IF(L71&gt;$I71,0,A_Scoring_Model!$C$15+(A_Scoring_Model!$C$14-A_Scoring_Model!$C$15)*($I71-L71)/($I71-$H71))))))</f>
        <v/>
      </c>
      <c r="Q71" s="56" t="str">
        <f aca="false">IF(M71="","",IF($H71=$I71,IF(OR(AND($G71="Higher is better",M71&gt;=$H71),AND($G71="Lower is better",M71&lt;=$H71)),A_Scoring_Model!$C$14,0),IF($G71="Higher is better",IF(M71&gt;=$H71,A_Scoring_Model!$C$14,IF(M71&lt;$I71,0,A_Scoring_Model!$C$15+(A_Scoring_Model!$C$14-A_Scoring_Model!$C$15)*(M71-$I71)/($H71-$I71))),IF(M71&lt;=$H71,A_Scoring_Model!$C$14,IF(M71&gt;$I71,0,A_Scoring_Model!$C$15+(A_Scoring_Model!$C$14-A_Scoring_Model!$C$15)*($I71-M71)/($I71-$H71))))))</f>
        <v/>
      </c>
    </row>
    <row r="72" customFormat="false" ht="15" hidden="false" customHeight="false" outlineLevel="0" collapsed="false">
      <c r="A72" s="51" t="str">
        <f aca="false">C_KPI_Benchmark!A72</f>
        <v>2.a-D5-12</v>
      </c>
      <c r="B72" s="52" t="str">
        <f aca="false">C_KPI_Benchmark!D72</f>
        <v>2.a</v>
      </c>
      <c r="C72" s="51" t="str">
        <f aca="false">C_KPI_Benchmark!E72</f>
        <v>Test Strategy AI Advisor</v>
      </c>
      <c r="D72" s="52" t="str">
        <f aca="false">C_KPI_Benchmark!F72</f>
        <v>D5</v>
      </c>
      <c r="E72" s="51" t="str">
        <f aca="false">C_KPI_Benchmark!J72</f>
        <v>Strategy authoring time reduction</v>
      </c>
      <c r="F72" s="52" t="str">
        <f aca="false">C_KPI_Benchmark!K72</f>
        <v>%</v>
      </c>
      <c r="G72" s="51" t="str">
        <f aca="false">C_KPI_Benchmark!L72</f>
        <v>Higher is better</v>
      </c>
      <c r="H72" s="53" t="n">
        <f aca="false">C_KPI_Benchmark!N72</f>
        <v>0.5</v>
      </c>
      <c r="I72" s="54" t="n">
        <f aca="false">IF(C_KPI_Benchmark!O72&lt;&gt;"",C_KPI_Benchmark!O72,IF(G72="Higher is better",H72*(1-A_Scoring_Model!$C$16),H72*(1+A_Scoring_Model!$C$16)))</f>
        <v>0.4</v>
      </c>
      <c r="J72" s="55"/>
      <c r="K72" s="55"/>
      <c r="L72" s="55"/>
      <c r="M72" s="55"/>
      <c r="N72" s="56" t="str">
        <f aca="false">IF(J72="","",IF($H72=$I72,IF(OR(AND($G72="Higher is better",J72&gt;=$H72),AND($G72="Lower is better",J72&lt;=$H72)),A_Scoring_Model!$C$14,0),IF($G72="Higher is better",IF(J72&gt;=$H72,A_Scoring_Model!$C$14,IF(J72&lt;$I72,0,A_Scoring_Model!$C$15+(A_Scoring_Model!$C$14-A_Scoring_Model!$C$15)*(J72-$I72)/($H72-$I72))),IF(J72&lt;=$H72,A_Scoring_Model!$C$14,IF(J72&gt;$I72,0,A_Scoring_Model!$C$15+(A_Scoring_Model!$C$14-A_Scoring_Model!$C$15)*($I72-J72)/($I72-$H72))))))</f>
        <v/>
      </c>
      <c r="O72" s="56" t="str">
        <f aca="false">IF(K72="","",IF($H72=$I72,IF(OR(AND($G72="Higher is better",K72&gt;=$H72),AND($G72="Lower is better",K72&lt;=$H72)),A_Scoring_Model!$C$14,0),IF($G72="Higher is better",IF(K72&gt;=$H72,A_Scoring_Model!$C$14,IF(K72&lt;$I72,0,A_Scoring_Model!$C$15+(A_Scoring_Model!$C$14-A_Scoring_Model!$C$15)*(K72-$I72)/($H72-$I72))),IF(K72&lt;=$H72,A_Scoring_Model!$C$14,IF(K72&gt;$I72,0,A_Scoring_Model!$C$15+(A_Scoring_Model!$C$14-A_Scoring_Model!$C$15)*($I72-K72)/($I72-$H72))))))</f>
        <v/>
      </c>
      <c r="P72" s="56" t="str">
        <f aca="false">IF(L72="","",IF($H72=$I72,IF(OR(AND($G72="Higher is better",L72&gt;=$H72),AND($G72="Lower is better",L72&lt;=$H72)),A_Scoring_Model!$C$14,0),IF($G72="Higher is better",IF(L72&gt;=$H72,A_Scoring_Model!$C$14,IF(L72&lt;$I72,0,A_Scoring_Model!$C$15+(A_Scoring_Model!$C$14-A_Scoring_Model!$C$15)*(L72-$I72)/($H72-$I72))),IF(L72&lt;=$H72,A_Scoring_Model!$C$14,IF(L72&gt;$I72,0,A_Scoring_Model!$C$15+(A_Scoring_Model!$C$14-A_Scoring_Model!$C$15)*($I72-L72)/($I72-$H72))))))</f>
        <v/>
      </c>
      <c r="Q72" s="56" t="str">
        <f aca="false">IF(M72="","",IF($H72=$I72,IF(OR(AND($G72="Higher is better",M72&gt;=$H72),AND($G72="Lower is better",M72&lt;=$H72)),A_Scoring_Model!$C$14,0),IF($G72="Higher is better",IF(M72&gt;=$H72,A_Scoring_Model!$C$14,IF(M72&lt;$I72,0,A_Scoring_Model!$C$15+(A_Scoring_Model!$C$14-A_Scoring_Model!$C$15)*(M72-$I72)/($H72-$I72))),IF(M72&lt;=$H72,A_Scoring_Model!$C$14,IF(M72&gt;$I72,0,A_Scoring_Model!$C$15+(A_Scoring_Model!$C$14-A_Scoring_Model!$C$15)*($I72-M72)/($I72-$H72))))))</f>
        <v/>
      </c>
    </row>
    <row r="73" customFormat="false" ht="15" hidden="false" customHeight="false" outlineLevel="0" collapsed="false">
      <c r="A73" s="51" t="str">
        <f aca="false">C_KPI_Benchmark!A73</f>
        <v>2.a-D6-13</v>
      </c>
      <c r="B73" s="52" t="str">
        <f aca="false">C_KPI_Benchmark!D73</f>
        <v>2.a</v>
      </c>
      <c r="C73" s="51" t="str">
        <f aca="false">C_KPI_Benchmark!E73</f>
        <v>Test Strategy AI Advisor</v>
      </c>
      <c r="D73" s="52" t="str">
        <f aca="false">C_KPI_Benchmark!F73</f>
        <v>D6</v>
      </c>
      <c r="E73" s="51" t="str">
        <f aca="false">C_KPI_Benchmark!J73</f>
        <v>Solution code test coverage</v>
      </c>
      <c r="F73" s="52" t="str">
        <f aca="false">C_KPI_Benchmark!K73</f>
        <v>%</v>
      </c>
      <c r="G73" s="51" t="str">
        <f aca="false">C_KPI_Benchmark!L73</f>
        <v>Higher is better</v>
      </c>
      <c r="H73" s="53" t="n">
        <f aca="false">C_KPI_Benchmark!N73</f>
        <v>0.8</v>
      </c>
      <c r="I73" s="54" t="n">
        <f aca="false">IF(C_KPI_Benchmark!O73&lt;&gt;"",C_KPI_Benchmark!O73,IF(G73="Higher is better",H73*(1-A_Scoring_Model!$C$16),H73*(1+A_Scoring_Model!$C$16)))</f>
        <v>0.6</v>
      </c>
      <c r="J73" s="55"/>
      <c r="K73" s="55"/>
      <c r="L73" s="55"/>
      <c r="M73" s="55"/>
      <c r="N73" s="56" t="str">
        <f aca="false">IF(J73="","",IF($H73=$I73,IF(OR(AND($G73="Higher is better",J73&gt;=$H73),AND($G73="Lower is better",J73&lt;=$H73)),A_Scoring_Model!$C$14,0),IF($G73="Higher is better",IF(J73&gt;=$H73,A_Scoring_Model!$C$14,IF(J73&lt;$I73,0,A_Scoring_Model!$C$15+(A_Scoring_Model!$C$14-A_Scoring_Model!$C$15)*(J73-$I73)/($H73-$I73))),IF(J73&lt;=$H73,A_Scoring_Model!$C$14,IF(J73&gt;$I73,0,A_Scoring_Model!$C$15+(A_Scoring_Model!$C$14-A_Scoring_Model!$C$15)*($I73-J73)/($I73-$H73))))))</f>
        <v/>
      </c>
      <c r="O73" s="56" t="str">
        <f aca="false">IF(K73="","",IF($H73=$I73,IF(OR(AND($G73="Higher is better",K73&gt;=$H73),AND($G73="Lower is better",K73&lt;=$H73)),A_Scoring_Model!$C$14,0),IF($G73="Higher is better",IF(K73&gt;=$H73,A_Scoring_Model!$C$14,IF(K73&lt;$I73,0,A_Scoring_Model!$C$15+(A_Scoring_Model!$C$14-A_Scoring_Model!$C$15)*(K73-$I73)/($H73-$I73))),IF(K73&lt;=$H73,A_Scoring_Model!$C$14,IF(K73&gt;$I73,0,A_Scoring_Model!$C$15+(A_Scoring_Model!$C$14-A_Scoring_Model!$C$15)*($I73-K73)/($I73-$H73))))))</f>
        <v/>
      </c>
      <c r="P73" s="56" t="str">
        <f aca="false">IF(L73="","",IF($H73=$I73,IF(OR(AND($G73="Higher is better",L73&gt;=$H73),AND($G73="Lower is better",L73&lt;=$H73)),A_Scoring_Model!$C$14,0),IF($G73="Higher is better",IF(L73&gt;=$H73,A_Scoring_Model!$C$14,IF(L73&lt;$I73,0,A_Scoring_Model!$C$15+(A_Scoring_Model!$C$14-A_Scoring_Model!$C$15)*(L73-$I73)/($H73-$I73))),IF(L73&lt;=$H73,A_Scoring_Model!$C$14,IF(L73&gt;$I73,0,A_Scoring_Model!$C$15+(A_Scoring_Model!$C$14-A_Scoring_Model!$C$15)*($I73-L73)/($I73-$H73))))))</f>
        <v/>
      </c>
      <c r="Q73" s="56" t="str">
        <f aca="false">IF(M73="","",IF($H73=$I73,IF(OR(AND($G73="Higher is better",M73&gt;=$H73),AND($G73="Lower is better",M73&lt;=$H73)),A_Scoring_Model!$C$14,0),IF($G73="Higher is better",IF(M73&gt;=$H73,A_Scoring_Model!$C$14,IF(M73&lt;$I73,0,A_Scoring_Model!$C$15+(A_Scoring_Model!$C$14-A_Scoring_Model!$C$15)*(M73-$I73)/($H73-$I73))),IF(M73&lt;=$H73,A_Scoring_Model!$C$14,IF(M73&gt;$I73,0,A_Scoring_Model!$C$15+(A_Scoring_Model!$C$14-A_Scoring_Model!$C$15)*($I73-M73)/($I73-$H73))))))</f>
        <v/>
      </c>
    </row>
    <row r="74" customFormat="false" ht="15" hidden="false" customHeight="false" outlineLevel="0" collapsed="false">
      <c r="A74" s="51" t="str">
        <f aca="false">C_KPI_Benchmark!A74</f>
        <v>2.a-D6-14</v>
      </c>
      <c r="B74" s="52" t="str">
        <f aca="false">C_KPI_Benchmark!D74</f>
        <v>2.a</v>
      </c>
      <c r="C74" s="51" t="str">
        <f aca="false">C_KPI_Benchmark!E74</f>
        <v>Test Strategy AI Advisor</v>
      </c>
      <c r="D74" s="52" t="str">
        <f aca="false">C_KPI_Benchmark!F74</f>
        <v>D6</v>
      </c>
      <c r="E74" s="51" t="str">
        <f aca="false">C_KPI_Benchmark!J74</f>
        <v>Review Shield critical findings</v>
      </c>
      <c r="F74" s="52" t="str">
        <f aca="false">C_KPI_Benchmark!K74</f>
        <v>count</v>
      </c>
      <c r="G74" s="51" t="str">
        <f aca="false">C_KPI_Benchmark!L74</f>
        <v>Lower is better</v>
      </c>
      <c r="H74" s="62" t="n">
        <f aca="false">C_KPI_Benchmark!N74</f>
        <v>0</v>
      </c>
      <c r="I74" s="63" t="n">
        <f aca="false">IF(C_KPI_Benchmark!O74&lt;&gt;"",C_KPI_Benchmark!O74,IF(G74="Higher is better",H74*(1-A_Scoring_Model!$C$16),H74*(1+A_Scoring_Model!$C$16)))</f>
        <v>0</v>
      </c>
      <c r="J74" s="64"/>
      <c r="K74" s="64"/>
      <c r="L74" s="64"/>
      <c r="M74" s="64"/>
      <c r="N74" s="56" t="str">
        <f aca="false">IF(J74="","",IF($H74=$I74,IF(OR(AND($G74="Higher is better",J74&gt;=$H74),AND($G74="Lower is better",J74&lt;=$H74)),A_Scoring_Model!$C$14,0),IF($G74="Higher is better",IF(J74&gt;=$H74,A_Scoring_Model!$C$14,IF(J74&lt;$I74,0,A_Scoring_Model!$C$15+(A_Scoring_Model!$C$14-A_Scoring_Model!$C$15)*(J74-$I74)/($H74-$I74))),IF(J74&lt;=$H74,A_Scoring_Model!$C$14,IF(J74&gt;$I74,0,A_Scoring_Model!$C$15+(A_Scoring_Model!$C$14-A_Scoring_Model!$C$15)*($I74-J74)/($I74-$H74))))))</f>
        <v/>
      </c>
      <c r="O74" s="56" t="str">
        <f aca="false">IF(K74="","",IF($H74=$I74,IF(OR(AND($G74="Higher is better",K74&gt;=$H74),AND($G74="Lower is better",K74&lt;=$H74)),A_Scoring_Model!$C$14,0),IF($G74="Higher is better",IF(K74&gt;=$H74,A_Scoring_Model!$C$14,IF(K74&lt;$I74,0,A_Scoring_Model!$C$15+(A_Scoring_Model!$C$14-A_Scoring_Model!$C$15)*(K74-$I74)/($H74-$I74))),IF(K74&lt;=$H74,A_Scoring_Model!$C$14,IF(K74&gt;$I74,0,A_Scoring_Model!$C$15+(A_Scoring_Model!$C$14-A_Scoring_Model!$C$15)*($I74-K74)/($I74-$H74))))))</f>
        <v/>
      </c>
      <c r="P74" s="56" t="str">
        <f aca="false">IF(L74="","",IF($H74=$I74,IF(OR(AND($G74="Higher is better",L74&gt;=$H74),AND($G74="Lower is better",L74&lt;=$H74)),A_Scoring_Model!$C$14,0),IF($G74="Higher is better",IF(L74&gt;=$H74,A_Scoring_Model!$C$14,IF(L74&lt;$I74,0,A_Scoring_Model!$C$15+(A_Scoring_Model!$C$14-A_Scoring_Model!$C$15)*(L74-$I74)/($H74-$I74))),IF(L74&lt;=$H74,A_Scoring_Model!$C$14,IF(L74&gt;$I74,0,A_Scoring_Model!$C$15+(A_Scoring_Model!$C$14-A_Scoring_Model!$C$15)*($I74-L74)/($I74-$H74))))))</f>
        <v/>
      </c>
      <c r="Q74" s="56" t="str">
        <f aca="false">IF(M74="","",IF($H74=$I74,IF(OR(AND($G74="Higher is better",M74&gt;=$H74),AND($G74="Lower is better",M74&lt;=$H74)),A_Scoring_Model!$C$14,0),IF($G74="Higher is better",IF(M74&gt;=$H74,A_Scoring_Model!$C$14,IF(M74&lt;$I74,0,A_Scoring_Model!$C$15+(A_Scoring_Model!$C$14-A_Scoring_Model!$C$15)*(M74-$I74)/($H74-$I74))),IF(M74&lt;=$H74,A_Scoring_Model!$C$14,IF(M74&gt;$I74,0,A_Scoring_Model!$C$15+(A_Scoring_Model!$C$14-A_Scoring_Model!$C$15)*($I74-M74)/($I74-$H74))))))</f>
        <v/>
      </c>
    </row>
    <row r="75" customFormat="false" ht="15" hidden="false" customHeight="false" outlineLevel="0" collapsed="false">
      <c r="A75" s="51" t="str">
        <f aca="false">C_KPI_Benchmark!A75</f>
        <v>2.a-D6-15</v>
      </c>
      <c r="B75" s="52" t="str">
        <f aca="false">C_KPI_Benchmark!D75</f>
        <v>2.a</v>
      </c>
      <c r="C75" s="51" t="str">
        <f aca="false">C_KPI_Benchmark!E75</f>
        <v>Test Strategy AI Advisor</v>
      </c>
      <c r="D75" s="52" t="str">
        <f aca="false">C_KPI_Benchmark!F75</f>
        <v>D6</v>
      </c>
      <c r="E75" s="51" t="str">
        <f aca="false">C_KPI_Benchmark!J75</f>
        <v>SAST high findings and exposed secrets</v>
      </c>
      <c r="F75" s="52" t="str">
        <f aca="false">C_KPI_Benchmark!K75</f>
        <v>count</v>
      </c>
      <c r="G75" s="51" t="str">
        <f aca="false">C_KPI_Benchmark!L75</f>
        <v>Lower is better</v>
      </c>
      <c r="H75" s="62" t="n">
        <f aca="false">C_KPI_Benchmark!N75</f>
        <v>0</v>
      </c>
      <c r="I75" s="63" t="n">
        <f aca="false">IF(C_KPI_Benchmark!O75&lt;&gt;"",C_KPI_Benchmark!O75,IF(G75="Higher is better",H75*(1-A_Scoring_Model!$C$16),H75*(1+A_Scoring_Model!$C$16)))</f>
        <v>0</v>
      </c>
      <c r="J75" s="64"/>
      <c r="K75" s="64"/>
      <c r="L75" s="64"/>
      <c r="M75" s="64"/>
      <c r="N75" s="56" t="str">
        <f aca="false">IF(J75="","",IF($H75=$I75,IF(OR(AND($G75="Higher is better",J75&gt;=$H75),AND($G75="Lower is better",J75&lt;=$H75)),A_Scoring_Model!$C$14,0),IF($G75="Higher is better",IF(J75&gt;=$H75,A_Scoring_Model!$C$14,IF(J75&lt;$I75,0,A_Scoring_Model!$C$15+(A_Scoring_Model!$C$14-A_Scoring_Model!$C$15)*(J75-$I75)/($H75-$I75))),IF(J75&lt;=$H75,A_Scoring_Model!$C$14,IF(J75&gt;$I75,0,A_Scoring_Model!$C$15+(A_Scoring_Model!$C$14-A_Scoring_Model!$C$15)*($I75-J75)/($I75-$H75))))))</f>
        <v/>
      </c>
      <c r="O75" s="56" t="str">
        <f aca="false">IF(K75="","",IF($H75=$I75,IF(OR(AND($G75="Higher is better",K75&gt;=$H75),AND($G75="Lower is better",K75&lt;=$H75)),A_Scoring_Model!$C$14,0),IF($G75="Higher is better",IF(K75&gt;=$H75,A_Scoring_Model!$C$14,IF(K75&lt;$I75,0,A_Scoring_Model!$C$15+(A_Scoring_Model!$C$14-A_Scoring_Model!$C$15)*(K75-$I75)/($H75-$I75))),IF(K75&lt;=$H75,A_Scoring_Model!$C$14,IF(K75&gt;$I75,0,A_Scoring_Model!$C$15+(A_Scoring_Model!$C$14-A_Scoring_Model!$C$15)*($I75-K75)/($I75-$H75))))))</f>
        <v/>
      </c>
      <c r="P75" s="56" t="str">
        <f aca="false">IF(L75="","",IF($H75=$I75,IF(OR(AND($G75="Higher is better",L75&gt;=$H75),AND($G75="Lower is better",L75&lt;=$H75)),A_Scoring_Model!$C$14,0),IF($G75="Higher is better",IF(L75&gt;=$H75,A_Scoring_Model!$C$14,IF(L75&lt;$I75,0,A_Scoring_Model!$C$15+(A_Scoring_Model!$C$14-A_Scoring_Model!$C$15)*(L75-$I75)/($H75-$I75))),IF(L75&lt;=$H75,A_Scoring_Model!$C$14,IF(L75&gt;$I75,0,A_Scoring_Model!$C$15+(A_Scoring_Model!$C$14-A_Scoring_Model!$C$15)*($I75-L75)/($I75-$H75))))))</f>
        <v/>
      </c>
      <c r="Q75" s="56" t="str">
        <f aca="false">IF(M75="","",IF($H75=$I75,IF(OR(AND($G75="Higher is better",M75&gt;=$H75),AND($G75="Lower is better",M75&lt;=$H75)),A_Scoring_Model!$C$14,0),IF($G75="Higher is better",IF(M75&gt;=$H75,A_Scoring_Model!$C$14,IF(M75&lt;$I75,0,A_Scoring_Model!$C$15+(A_Scoring_Model!$C$14-A_Scoring_Model!$C$15)*(M75-$I75)/($H75-$I75))),IF(M75&lt;=$H75,A_Scoring_Model!$C$14,IF(M75&gt;$I75,0,A_Scoring_Model!$C$15+(A_Scoring_Model!$C$14-A_Scoring_Model!$C$15)*($I75-M75)/($I75-$H75))))))</f>
        <v/>
      </c>
    </row>
    <row r="76" customFormat="false" ht="23.85" hidden="false" customHeight="false" outlineLevel="0" collapsed="false">
      <c r="A76" s="51" t="str">
        <f aca="false">C_KPI_Benchmark!A76</f>
        <v>2.a-D6-16</v>
      </c>
      <c r="B76" s="52" t="str">
        <f aca="false">C_KPI_Benchmark!D76</f>
        <v>2.a</v>
      </c>
      <c r="C76" s="51" t="str">
        <f aca="false">C_KPI_Benchmark!E76</f>
        <v>Test Strategy AI Advisor</v>
      </c>
      <c r="D76" s="52" t="str">
        <f aca="false">C_KPI_Benchmark!F76</f>
        <v>D6</v>
      </c>
      <c r="E76" s="51" t="str">
        <f aca="false">C_KPI_Benchmark!J76</f>
        <v>Documentation pack complete (README, I/O contract, model card, runbook)</v>
      </c>
      <c r="F76" s="52" t="str">
        <f aca="false">C_KPI_Benchmark!K76</f>
        <v>Yes/No</v>
      </c>
      <c r="G76" s="51" t="str">
        <f aca="false">C_KPI_Benchmark!L76</f>
        <v>Higher is better</v>
      </c>
      <c r="H76" s="60" t="n">
        <f aca="false">C_KPI_Benchmark!N76</f>
        <v>1</v>
      </c>
      <c r="I76" s="56" t="n">
        <f aca="false">IF(C_KPI_Benchmark!O76&lt;&gt;"",C_KPI_Benchmark!O76,IF(G76="Higher is better",H76*(1-A_Scoring_Model!$C$16),H76*(1+A_Scoring_Model!$C$16)))</f>
        <v>0.8</v>
      </c>
      <c r="J76" s="61"/>
      <c r="K76" s="61"/>
      <c r="L76" s="61"/>
      <c r="M76" s="61"/>
      <c r="N76" s="56" t="str">
        <f aca="false">IF(J76="","",IF($H76=$I76,IF(OR(AND($G76="Higher is better",J76&gt;=$H76),AND($G76="Lower is better",J76&lt;=$H76)),A_Scoring_Model!$C$14,0),IF($G76="Higher is better",IF(J76&gt;=$H76,A_Scoring_Model!$C$14,IF(J76&lt;$I76,0,A_Scoring_Model!$C$15+(A_Scoring_Model!$C$14-A_Scoring_Model!$C$15)*(J76-$I76)/($H76-$I76))),IF(J76&lt;=$H76,A_Scoring_Model!$C$14,IF(J76&gt;$I76,0,A_Scoring_Model!$C$15+(A_Scoring_Model!$C$14-A_Scoring_Model!$C$15)*($I76-J76)/($I76-$H76))))))</f>
        <v/>
      </c>
      <c r="O76" s="56" t="str">
        <f aca="false">IF(K76="","",IF($H76=$I76,IF(OR(AND($G76="Higher is better",K76&gt;=$H76),AND($G76="Lower is better",K76&lt;=$H76)),A_Scoring_Model!$C$14,0),IF($G76="Higher is better",IF(K76&gt;=$H76,A_Scoring_Model!$C$14,IF(K76&lt;$I76,0,A_Scoring_Model!$C$15+(A_Scoring_Model!$C$14-A_Scoring_Model!$C$15)*(K76-$I76)/($H76-$I76))),IF(K76&lt;=$H76,A_Scoring_Model!$C$14,IF(K76&gt;$I76,0,A_Scoring_Model!$C$15+(A_Scoring_Model!$C$14-A_Scoring_Model!$C$15)*($I76-K76)/($I76-$H76))))))</f>
        <v/>
      </c>
      <c r="P76" s="56" t="str">
        <f aca="false">IF(L76="","",IF($H76=$I76,IF(OR(AND($G76="Higher is better",L76&gt;=$H76),AND($G76="Lower is better",L76&lt;=$H76)),A_Scoring_Model!$C$14,0),IF($G76="Higher is better",IF(L76&gt;=$H76,A_Scoring_Model!$C$14,IF(L76&lt;$I76,0,A_Scoring_Model!$C$15+(A_Scoring_Model!$C$14-A_Scoring_Model!$C$15)*(L76-$I76)/($H76-$I76))),IF(L76&lt;=$H76,A_Scoring_Model!$C$14,IF(L76&gt;$I76,0,A_Scoring_Model!$C$15+(A_Scoring_Model!$C$14-A_Scoring_Model!$C$15)*($I76-L76)/($I76-$H76))))))</f>
        <v/>
      </c>
      <c r="Q76" s="56" t="str">
        <f aca="false">IF(M76="","",IF($H76=$I76,IF(OR(AND($G76="Higher is better",M76&gt;=$H76),AND($G76="Lower is better",M76&lt;=$H76)),A_Scoring_Model!$C$14,0),IF($G76="Higher is better",IF(M76&gt;=$H76,A_Scoring_Model!$C$14,IF(M76&lt;$I76,0,A_Scoring_Model!$C$15+(A_Scoring_Model!$C$14-A_Scoring_Model!$C$15)*(M76-$I76)/($H76-$I76))),IF(M76&lt;=$H76,A_Scoring_Model!$C$14,IF(M76&gt;$I76,0,A_Scoring_Model!$C$15+(A_Scoring_Model!$C$14-A_Scoring_Model!$C$15)*($I76-M76)/($I76-$H76))))))</f>
        <v/>
      </c>
    </row>
    <row r="77" customFormat="false" ht="15" hidden="false" customHeight="false" outlineLevel="0" collapsed="false">
      <c r="A77" s="51" t="str">
        <f aca="false">C_KPI_Benchmark!A77</f>
        <v>2.a-D6-17</v>
      </c>
      <c r="B77" s="52" t="str">
        <f aca="false">C_KPI_Benchmark!D77</f>
        <v>2.a</v>
      </c>
      <c r="C77" s="51" t="str">
        <f aca="false">C_KPI_Benchmark!E77</f>
        <v>Test Strategy AI Advisor</v>
      </c>
      <c r="D77" s="52" t="str">
        <f aca="false">C_KPI_Benchmark!F77</f>
        <v>D6</v>
      </c>
      <c r="E77" s="51" t="str">
        <f aca="false">C_KPI_Benchmark!J77</f>
        <v>Named owner and support SLA</v>
      </c>
      <c r="F77" s="52" t="str">
        <f aca="false">C_KPI_Benchmark!K77</f>
        <v>Yes/No</v>
      </c>
      <c r="G77" s="51" t="str">
        <f aca="false">C_KPI_Benchmark!L77</f>
        <v>Higher is better</v>
      </c>
      <c r="H77" s="60" t="n">
        <f aca="false">C_KPI_Benchmark!N77</f>
        <v>1</v>
      </c>
      <c r="I77" s="56" t="n">
        <f aca="false">IF(C_KPI_Benchmark!O77&lt;&gt;"",C_KPI_Benchmark!O77,IF(G77="Higher is better",H77*(1-A_Scoring_Model!$C$16),H77*(1+A_Scoring_Model!$C$16)))</f>
        <v>0.8</v>
      </c>
      <c r="J77" s="61"/>
      <c r="K77" s="61"/>
      <c r="L77" s="61"/>
      <c r="M77" s="61"/>
      <c r="N77" s="56" t="str">
        <f aca="false">IF(J77="","",IF($H77=$I77,IF(OR(AND($G77="Higher is better",J77&gt;=$H77),AND($G77="Lower is better",J77&lt;=$H77)),A_Scoring_Model!$C$14,0),IF($G77="Higher is better",IF(J77&gt;=$H77,A_Scoring_Model!$C$14,IF(J77&lt;$I77,0,A_Scoring_Model!$C$15+(A_Scoring_Model!$C$14-A_Scoring_Model!$C$15)*(J77-$I77)/($H77-$I77))),IF(J77&lt;=$H77,A_Scoring_Model!$C$14,IF(J77&gt;$I77,0,A_Scoring_Model!$C$15+(A_Scoring_Model!$C$14-A_Scoring_Model!$C$15)*($I77-J77)/($I77-$H77))))))</f>
        <v/>
      </c>
      <c r="O77" s="56" t="str">
        <f aca="false">IF(K77="","",IF($H77=$I77,IF(OR(AND($G77="Higher is better",K77&gt;=$H77),AND($G77="Lower is better",K77&lt;=$H77)),A_Scoring_Model!$C$14,0),IF($G77="Higher is better",IF(K77&gt;=$H77,A_Scoring_Model!$C$14,IF(K77&lt;$I77,0,A_Scoring_Model!$C$15+(A_Scoring_Model!$C$14-A_Scoring_Model!$C$15)*(K77-$I77)/($H77-$I77))),IF(K77&lt;=$H77,A_Scoring_Model!$C$14,IF(K77&gt;$I77,0,A_Scoring_Model!$C$15+(A_Scoring_Model!$C$14-A_Scoring_Model!$C$15)*($I77-K77)/($I77-$H77))))))</f>
        <v/>
      </c>
      <c r="P77" s="56" t="str">
        <f aca="false">IF(L77="","",IF($H77=$I77,IF(OR(AND($G77="Higher is better",L77&gt;=$H77),AND($G77="Lower is better",L77&lt;=$H77)),A_Scoring_Model!$C$14,0),IF($G77="Higher is better",IF(L77&gt;=$H77,A_Scoring_Model!$C$14,IF(L77&lt;$I77,0,A_Scoring_Model!$C$15+(A_Scoring_Model!$C$14-A_Scoring_Model!$C$15)*(L77-$I77)/($H77-$I77))),IF(L77&lt;=$H77,A_Scoring_Model!$C$14,IF(L77&gt;$I77,0,A_Scoring_Model!$C$15+(A_Scoring_Model!$C$14-A_Scoring_Model!$C$15)*($I77-L77)/($I77-$H77))))))</f>
        <v/>
      </c>
      <c r="Q77" s="56" t="str">
        <f aca="false">IF(M77="","",IF($H77=$I77,IF(OR(AND($G77="Higher is better",M77&gt;=$H77),AND($G77="Lower is better",M77&lt;=$H77)),A_Scoring_Model!$C$14,0),IF($G77="Higher is better",IF(M77&gt;=$H77,A_Scoring_Model!$C$14,IF(M77&lt;$I77,0,A_Scoring_Model!$C$15+(A_Scoring_Model!$C$14-A_Scoring_Model!$C$15)*(M77-$I77)/($H77-$I77))),IF(M77&lt;=$H77,A_Scoring_Model!$C$14,IF(M77&gt;$I77,0,A_Scoring_Model!$C$15+(A_Scoring_Model!$C$14-A_Scoring_Model!$C$15)*($I77-M77)/($I77-$H77))))))</f>
        <v/>
      </c>
    </row>
    <row r="78" customFormat="false" ht="15" hidden="false" customHeight="false" outlineLevel="0" collapsed="false">
      <c r="A78" s="51" t="str">
        <f aca="false">C_KPI_Benchmark!A78</f>
        <v>2.b-D1-01</v>
      </c>
      <c r="B78" s="52" t="str">
        <f aca="false">C_KPI_Benchmark!D78</f>
        <v>2.b</v>
      </c>
      <c r="C78" s="51" t="str">
        <f aca="false">C_KPI_Benchmark!E78</f>
        <v>Effort Estimator ML Model</v>
      </c>
      <c r="D78" s="52" t="str">
        <f aca="false">C_KPI_Benchmark!F78</f>
        <v>D1</v>
      </c>
      <c r="E78" s="51" t="str">
        <f aca="false">C_KPI_Benchmark!J78</f>
        <v>MMRE (mean magnitude of relative error)</v>
      </c>
      <c r="F78" s="52" t="str">
        <f aca="false">C_KPI_Benchmark!K78</f>
        <v>%</v>
      </c>
      <c r="G78" s="51" t="str">
        <f aca="false">C_KPI_Benchmark!L78</f>
        <v>Lower is better</v>
      </c>
      <c r="H78" s="53" t="n">
        <f aca="false">C_KPI_Benchmark!N78</f>
        <v>0.2</v>
      </c>
      <c r="I78" s="54" t="n">
        <f aca="false">IF(C_KPI_Benchmark!O78&lt;&gt;"",C_KPI_Benchmark!O78,IF(G78="Higher is better",H78*(1-A_Scoring_Model!$C$16),H78*(1+A_Scoring_Model!$C$16)))</f>
        <v>0.3</v>
      </c>
      <c r="J78" s="55"/>
      <c r="K78" s="55"/>
      <c r="L78" s="55"/>
      <c r="M78" s="55"/>
      <c r="N78" s="56" t="str">
        <f aca="false">IF(J78="","",IF($H78=$I78,IF(OR(AND($G78="Higher is better",J78&gt;=$H78),AND($G78="Lower is better",J78&lt;=$H78)),A_Scoring_Model!$C$14,0),IF($G78="Higher is better",IF(J78&gt;=$H78,A_Scoring_Model!$C$14,IF(J78&lt;$I78,0,A_Scoring_Model!$C$15+(A_Scoring_Model!$C$14-A_Scoring_Model!$C$15)*(J78-$I78)/($H78-$I78))),IF(J78&lt;=$H78,A_Scoring_Model!$C$14,IF(J78&gt;$I78,0,A_Scoring_Model!$C$15+(A_Scoring_Model!$C$14-A_Scoring_Model!$C$15)*($I78-J78)/($I78-$H78))))))</f>
        <v/>
      </c>
      <c r="O78" s="56" t="str">
        <f aca="false">IF(K78="","",IF($H78=$I78,IF(OR(AND($G78="Higher is better",K78&gt;=$H78),AND($G78="Lower is better",K78&lt;=$H78)),A_Scoring_Model!$C$14,0),IF($G78="Higher is better",IF(K78&gt;=$H78,A_Scoring_Model!$C$14,IF(K78&lt;$I78,0,A_Scoring_Model!$C$15+(A_Scoring_Model!$C$14-A_Scoring_Model!$C$15)*(K78-$I78)/($H78-$I78))),IF(K78&lt;=$H78,A_Scoring_Model!$C$14,IF(K78&gt;$I78,0,A_Scoring_Model!$C$15+(A_Scoring_Model!$C$14-A_Scoring_Model!$C$15)*($I78-K78)/($I78-$H78))))))</f>
        <v/>
      </c>
      <c r="P78" s="56" t="str">
        <f aca="false">IF(L78="","",IF($H78=$I78,IF(OR(AND($G78="Higher is better",L78&gt;=$H78),AND($G78="Lower is better",L78&lt;=$H78)),A_Scoring_Model!$C$14,0),IF($G78="Higher is better",IF(L78&gt;=$H78,A_Scoring_Model!$C$14,IF(L78&lt;$I78,0,A_Scoring_Model!$C$15+(A_Scoring_Model!$C$14-A_Scoring_Model!$C$15)*(L78-$I78)/($H78-$I78))),IF(L78&lt;=$H78,A_Scoring_Model!$C$14,IF(L78&gt;$I78,0,A_Scoring_Model!$C$15+(A_Scoring_Model!$C$14-A_Scoring_Model!$C$15)*($I78-L78)/($I78-$H78))))))</f>
        <v/>
      </c>
      <c r="Q78" s="56" t="str">
        <f aca="false">IF(M78="","",IF($H78=$I78,IF(OR(AND($G78="Higher is better",M78&gt;=$H78),AND($G78="Lower is better",M78&lt;=$H78)),A_Scoring_Model!$C$14,0),IF($G78="Higher is better",IF(M78&gt;=$H78,A_Scoring_Model!$C$14,IF(M78&lt;$I78,0,A_Scoring_Model!$C$15+(A_Scoring_Model!$C$14-A_Scoring_Model!$C$15)*(M78-$I78)/($H78-$I78))),IF(M78&lt;=$H78,A_Scoring_Model!$C$14,IF(M78&gt;$I78,0,A_Scoring_Model!$C$15+(A_Scoring_Model!$C$14-A_Scoring_Model!$C$15)*($I78-M78)/($I78-$H78))))))</f>
        <v/>
      </c>
    </row>
    <row r="79" customFormat="false" ht="15" hidden="false" customHeight="false" outlineLevel="0" collapsed="false">
      <c r="A79" s="51" t="str">
        <f aca="false">C_KPI_Benchmark!A79</f>
        <v>2.b-D1-02</v>
      </c>
      <c r="B79" s="52" t="str">
        <f aca="false">C_KPI_Benchmark!D79</f>
        <v>2.b</v>
      </c>
      <c r="C79" s="51" t="str">
        <f aca="false">C_KPI_Benchmark!E79</f>
        <v>Effort Estimator ML Model</v>
      </c>
      <c r="D79" s="52" t="str">
        <f aca="false">C_KPI_Benchmark!F79</f>
        <v>D1</v>
      </c>
      <c r="E79" s="51" t="str">
        <f aca="false">C_KPI_Benchmark!J79</f>
        <v>PRED(25)</v>
      </c>
      <c r="F79" s="52" t="str">
        <f aca="false">C_KPI_Benchmark!K79</f>
        <v>%</v>
      </c>
      <c r="G79" s="51" t="str">
        <f aca="false">C_KPI_Benchmark!L79</f>
        <v>Higher is better</v>
      </c>
      <c r="H79" s="53" t="n">
        <f aca="false">C_KPI_Benchmark!N79</f>
        <v>0.75</v>
      </c>
      <c r="I79" s="54" t="n">
        <f aca="false">IF(C_KPI_Benchmark!O79&lt;&gt;"",C_KPI_Benchmark!O79,IF(G79="Higher is better",H79*(1-A_Scoring_Model!$C$16),H79*(1+A_Scoring_Model!$C$16)))</f>
        <v>0.6</v>
      </c>
      <c r="J79" s="55"/>
      <c r="K79" s="55"/>
      <c r="L79" s="55"/>
      <c r="M79" s="55"/>
      <c r="N79" s="56" t="str">
        <f aca="false">IF(J79="","",IF($H79=$I79,IF(OR(AND($G79="Higher is better",J79&gt;=$H79),AND($G79="Lower is better",J79&lt;=$H79)),A_Scoring_Model!$C$14,0),IF($G79="Higher is better",IF(J79&gt;=$H79,A_Scoring_Model!$C$14,IF(J79&lt;$I79,0,A_Scoring_Model!$C$15+(A_Scoring_Model!$C$14-A_Scoring_Model!$C$15)*(J79-$I79)/($H79-$I79))),IF(J79&lt;=$H79,A_Scoring_Model!$C$14,IF(J79&gt;$I79,0,A_Scoring_Model!$C$15+(A_Scoring_Model!$C$14-A_Scoring_Model!$C$15)*($I79-J79)/($I79-$H79))))))</f>
        <v/>
      </c>
      <c r="O79" s="56" t="str">
        <f aca="false">IF(K79="","",IF($H79=$I79,IF(OR(AND($G79="Higher is better",K79&gt;=$H79),AND($G79="Lower is better",K79&lt;=$H79)),A_Scoring_Model!$C$14,0),IF($G79="Higher is better",IF(K79&gt;=$H79,A_Scoring_Model!$C$14,IF(K79&lt;$I79,0,A_Scoring_Model!$C$15+(A_Scoring_Model!$C$14-A_Scoring_Model!$C$15)*(K79-$I79)/($H79-$I79))),IF(K79&lt;=$H79,A_Scoring_Model!$C$14,IF(K79&gt;$I79,0,A_Scoring_Model!$C$15+(A_Scoring_Model!$C$14-A_Scoring_Model!$C$15)*($I79-K79)/($I79-$H79))))))</f>
        <v/>
      </c>
      <c r="P79" s="56" t="str">
        <f aca="false">IF(L79="","",IF($H79=$I79,IF(OR(AND($G79="Higher is better",L79&gt;=$H79),AND($G79="Lower is better",L79&lt;=$H79)),A_Scoring_Model!$C$14,0),IF($G79="Higher is better",IF(L79&gt;=$H79,A_Scoring_Model!$C$14,IF(L79&lt;$I79,0,A_Scoring_Model!$C$15+(A_Scoring_Model!$C$14-A_Scoring_Model!$C$15)*(L79-$I79)/($H79-$I79))),IF(L79&lt;=$H79,A_Scoring_Model!$C$14,IF(L79&gt;$I79,0,A_Scoring_Model!$C$15+(A_Scoring_Model!$C$14-A_Scoring_Model!$C$15)*($I79-L79)/($I79-$H79))))))</f>
        <v/>
      </c>
      <c r="Q79" s="56" t="str">
        <f aca="false">IF(M79="","",IF($H79=$I79,IF(OR(AND($G79="Higher is better",M79&gt;=$H79),AND($G79="Lower is better",M79&lt;=$H79)),A_Scoring_Model!$C$14,0),IF($G79="Higher is better",IF(M79&gt;=$H79,A_Scoring_Model!$C$14,IF(M79&lt;$I79,0,A_Scoring_Model!$C$15+(A_Scoring_Model!$C$14-A_Scoring_Model!$C$15)*(M79-$I79)/($H79-$I79))),IF(M79&lt;=$H79,A_Scoring_Model!$C$14,IF(M79&gt;$I79,0,A_Scoring_Model!$C$15+(A_Scoring_Model!$C$14-A_Scoring_Model!$C$15)*($I79-M79)/($I79-$H79))))))</f>
        <v/>
      </c>
    </row>
    <row r="80" customFormat="false" ht="15" hidden="false" customHeight="false" outlineLevel="0" collapsed="false">
      <c r="A80" s="51" t="str">
        <f aca="false">C_KPI_Benchmark!A80</f>
        <v>2.b-D1-03</v>
      </c>
      <c r="B80" s="52" t="str">
        <f aca="false">C_KPI_Benchmark!D80</f>
        <v>2.b</v>
      </c>
      <c r="C80" s="51" t="str">
        <f aca="false">C_KPI_Benchmark!E80</f>
        <v>Effort Estimator ML Model</v>
      </c>
      <c r="D80" s="52" t="str">
        <f aca="false">C_KPI_Benchmark!F80</f>
        <v>D1</v>
      </c>
      <c r="E80" s="51" t="str">
        <f aca="false">C_KPI_Benchmark!J80</f>
        <v>P10–P90 interval coverage</v>
      </c>
      <c r="F80" s="52" t="str">
        <f aca="false">C_KPI_Benchmark!K80</f>
        <v>%</v>
      </c>
      <c r="G80" s="51" t="str">
        <f aca="false">C_KPI_Benchmark!L80</f>
        <v>Higher is better</v>
      </c>
      <c r="H80" s="53" t="n">
        <f aca="false">C_KPI_Benchmark!N80</f>
        <v>0.8</v>
      </c>
      <c r="I80" s="54" t="n">
        <f aca="false">IF(C_KPI_Benchmark!O80&lt;&gt;"",C_KPI_Benchmark!O80,IF(G80="Higher is better",H80*(1-A_Scoring_Model!$C$16),H80*(1+A_Scoring_Model!$C$16)))</f>
        <v>0.7</v>
      </c>
      <c r="J80" s="55"/>
      <c r="K80" s="55"/>
      <c r="L80" s="55"/>
      <c r="M80" s="55"/>
      <c r="N80" s="56" t="str">
        <f aca="false">IF(J80="","",IF($H80=$I80,IF(OR(AND($G80="Higher is better",J80&gt;=$H80),AND($G80="Lower is better",J80&lt;=$H80)),A_Scoring_Model!$C$14,0),IF($G80="Higher is better",IF(J80&gt;=$H80,A_Scoring_Model!$C$14,IF(J80&lt;$I80,0,A_Scoring_Model!$C$15+(A_Scoring_Model!$C$14-A_Scoring_Model!$C$15)*(J80-$I80)/($H80-$I80))),IF(J80&lt;=$H80,A_Scoring_Model!$C$14,IF(J80&gt;$I80,0,A_Scoring_Model!$C$15+(A_Scoring_Model!$C$14-A_Scoring_Model!$C$15)*($I80-J80)/($I80-$H80))))))</f>
        <v/>
      </c>
      <c r="O80" s="56" t="str">
        <f aca="false">IF(K80="","",IF($H80=$I80,IF(OR(AND($G80="Higher is better",K80&gt;=$H80),AND($G80="Lower is better",K80&lt;=$H80)),A_Scoring_Model!$C$14,0),IF($G80="Higher is better",IF(K80&gt;=$H80,A_Scoring_Model!$C$14,IF(K80&lt;$I80,0,A_Scoring_Model!$C$15+(A_Scoring_Model!$C$14-A_Scoring_Model!$C$15)*(K80-$I80)/($H80-$I80))),IF(K80&lt;=$H80,A_Scoring_Model!$C$14,IF(K80&gt;$I80,0,A_Scoring_Model!$C$15+(A_Scoring_Model!$C$14-A_Scoring_Model!$C$15)*($I80-K80)/($I80-$H80))))))</f>
        <v/>
      </c>
      <c r="P80" s="56" t="str">
        <f aca="false">IF(L80="","",IF($H80=$I80,IF(OR(AND($G80="Higher is better",L80&gt;=$H80),AND($G80="Lower is better",L80&lt;=$H80)),A_Scoring_Model!$C$14,0),IF($G80="Higher is better",IF(L80&gt;=$H80,A_Scoring_Model!$C$14,IF(L80&lt;$I80,0,A_Scoring_Model!$C$15+(A_Scoring_Model!$C$14-A_Scoring_Model!$C$15)*(L80-$I80)/($H80-$I80))),IF(L80&lt;=$H80,A_Scoring_Model!$C$14,IF(L80&gt;$I80,0,A_Scoring_Model!$C$15+(A_Scoring_Model!$C$14-A_Scoring_Model!$C$15)*($I80-L80)/($I80-$H80))))))</f>
        <v/>
      </c>
      <c r="Q80" s="56" t="str">
        <f aca="false">IF(M80="","",IF($H80=$I80,IF(OR(AND($G80="Higher is better",M80&gt;=$H80),AND($G80="Lower is better",M80&lt;=$H80)),A_Scoring_Model!$C$14,0),IF($G80="Higher is better",IF(M80&gt;=$H80,A_Scoring_Model!$C$14,IF(M80&lt;$I80,0,A_Scoring_Model!$C$15+(A_Scoring_Model!$C$14-A_Scoring_Model!$C$15)*(M80-$I80)/($H80-$I80))),IF(M80&lt;=$H80,A_Scoring_Model!$C$14,IF(M80&gt;$I80,0,A_Scoring_Model!$C$15+(A_Scoring_Model!$C$14-A_Scoring_Model!$C$15)*($I80-M80)/($I80-$H80))))))</f>
        <v/>
      </c>
    </row>
    <row r="81" customFormat="false" ht="15" hidden="false" customHeight="false" outlineLevel="0" collapsed="false">
      <c r="A81" s="51" t="str">
        <f aca="false">C_KPI_Benchmark!A81</f>
        <v>2.b-D2-04</v>
      </c>
      <c r="B81" s="52" t="str">
        <f aca="false">C_KPI_Benchmark!D81</f>
        <v>2.b</v>
      </c>
      <c r="C81" s="51" t="str">
        <f aca="false">C_KPI_Benchmark!E81</f>
        <v>Effort Estimator ML Model</v>
      </c>
      <c r="D81" s="52" t="str">
        <f aca="false">C_KPI_Benchmark!F81</f>
        <v>D2</v>
      </c>
      <c r="E81" s="51" t="str">
        <f aca="false">C_KPI_Benchmark!J81</f>
        <v>Common feature schema; per-group calibration layer only</v>
      </c>
      <c r="F81" s="52" t="str">
        <f aca="false">C_KPI_Benchmark!K81</f>
        <v>Yes/No</v>
      </c>
      <c r="G81" s="51" t="str">
        <f aca="false">C_KPI_Benchmark!L81</f>
        <v>Higher is better</v>
      </c>
      <c r="H81" s="60" t="n">
        <f aca="false">C_KPI_Benchmark!N81</f>
        <v>1</v>
      </c>
      <c r="I81" s="56" t="n">
        <f aca="false">IF(C_KPI_Benchmark!O81&lt;&gt;"",C_KPI_Benchmark!O81,IF(G81="Higher is better",H81*(1-A_Scoring_Model!$C$16),H81*(1+A_Scoring_Model!$C$16)))</f>
        <v>0.8</v>
      </c>
      <c r="J81" s="61"/>
      <c r="K81" s="61"/>
      <c r="L81" s="61"/>
      <c r="M81" s="61"/>
      <c r="N81" s="56" t="str">
        <f aca="false">IF(J81="","",IF($H81=$I81,IF(OR(AND($G81="Higher is better",J81&gt;=$H81),AND($G81="Lower is better",J81&lt;=$H81)),A_Scoring_Model!$C$14,0),IF($G81="Higher is better",IF(J81&gt;=$H81,A_Scoring_Model!$C$14,IF(J81&lt;$I81,0,A_Scoring_Model!$C$15+(A_Scoring_Model!$C$14-A_Scoring_Model!$C$15)*(J81-$I81)/($H81-$I81))),IF(J81&lt;=$H81,A_Scoring_Model!$C$14,IF(J81&gt;$I81,0,A_Scoring_Model!$C$15+(A_Scoring_Model!$C$14-A_Scoring_Model!$C$15)*($I81-J81)/($I81-$H81))))))</f>
        <v/>
      </c>
      <c r="O81" s="56" t="str">
        <f aca="false">IF(K81="","",IF($H81=$I81,IF(OR(AND($G81="Higher is better",K81&gt;=$H81),AND($G81="Lower is better",K81&lt;=$H81)),A_Scoring_Model!$C$14,0),IF($G81="Higher is better",IF(K81&gt;=$H81,A_Scoring_Model!$C$14,IF(K81&lt;$I81,0,A_Scoring_Model!$C$15+(A_Scoring_Model!$C$14-A_Scoring_Model!$C$15)*(K81-$I81)/($H81-$I81))),IF(K81&lt;=$H81,A_Scoring_Model!$C$14,IF(K81&gt;$I81,0,A_Scoring_Model!$C$15+(A_Scoring_Model!$C$14-A_Scoring_Model!$C$15)*($I81-K81)/($I81-$H81))))))</f>
        <v/>
      </c>
      <c r="P81" s="56" t="str">
        <f aca="false">IF(L81="","",IF($H81=$I81,IF(OR(AND($G81="Higher is better",L81&gt;=$H81),AND($G81="Lower is better",L81&lt;=$H81)),A_Scoring_Model!$C$14,0),IF($G81="Higher is better",IF(L81&gt;=$H81,A_Scoring_Model!$C$14,IF(L81&lt;$I81,0,A_Scoring_Model!$C$15+(A_Scoring_Model!$C$14-A_Scoring_Model!$C$15)*(L81-$I81)/($H81-$I81))),IF(L81&lt;=$H81,A_Scoring_Model!$C$14,IF(L81&gt;$I81,0,A_Scoring_Model!$C$15+(A_Scoring_Model!$C$14-A_Scoring_Model!$C$15)*($I81-L81)/($I81-$H81))))))</f>
        <v/>
      </c>
      <c r="Q81" s="56" t="str">
        <f aca="false">IF(M81="","",IF($H81=$I81,IF(OR(AND($G81="Higher is better",M81&gt;=$H81),AND($G81="Lower is better",M81&lt;=$H81)),A_Scoring_Model!$C$14,0),IF($G81="Higher is better",IF(M81&gt;=$H81,A_Scoring_Model!$C$14,IF(M81&lt;$I81,0,A_Scoring_Model!$C$15+(A_Scoring_Model!$C$14-A_Scoring_Model!$C$15)*(M81-$I81)/($H81-$I81))),IF(M81&lt;=$H81,A_Scoring_Model!$C$14,IF(M81&gt;$I81,0,A_Scoring_Model!$C$15+(A_Scoring_Model!$C$14-A_Scoring_Model!$C$15)*($I81-M81)/($I81-$H81))))))</f>
        <v/>
      </c>
    </row>
    <row r="82" customFormat="false" ht="23.85" hidden="false" customHeight="false" outlineLevel="0" collapsed="false">
      <c r="A82" s="51" t="str">
        <f aca="false">C_KPI_Benchmark!A82</f>
        <v>2.b-D2-05</v>
      </c>
      <c r="B82" s="52" t="str">
        <f aca="false">C_KPI_Benchmark!D82</f>
        <v>2.b</v>
      </c>
      <c r="C82" s="51" t="str">
        <f aca="false">C_KPI_Benchmark!E82</f>
        <v>Effort Estimator ML Model</v>
      </c>
      <c r="D82" s="52" t="str">
        <f aca="false">C_KPI_Benchmark!F82</f>
        <v>D2</v>
      </c>
      <c r="E82" s="51" t="str">
        <f aca="false">C_KPI_Benchmark!J82</f>
        <v>Product lines supported with ≤10% efficacy drop (NVMe SSD, UFS, eMMC/uSD, PSSD)</v>
      </c>
      <c r="F82" s="52" t="str">
        <f aca="false">C_KPI_Benchmark!K82</f>
        <v>count</v>
      </c>
      <c r="G82" s="51" t="str">
        <f aca="false">C_KPI_Benchmark!L82</f>
        <v>Higher is better</v>
      </c>
      <c r="H82" s="62" t="n">
        <f aca="false">C_KPI_Benchmark!N82</f>
        <v>3</v>
      </c>
      <c r="I82" s="63" t="n">
        <f aca="false">IF(C_KPI_Benchmark!O82&lt;&gt;"",C_KPI_Benchmark!O82,IF(G82="Higher is better",H82*(1-A_Scoring_Model!$C$16),H82*(1+A_Scoring_Model!$C$16)))</f>
        <v>2</v>
      </c>
      <c r="J82" s="64"/>
      <c r="K82" s="64"/>
      <c r="L82" s="64"/>
      <c r="M82" s="64"/>
      <c r="N82" s="56" t="str">
        <f aca="false">IF(J82="","",IF($H82=$I82,IF(OR(AND($G82="Higher is better",J82&gt;=$H82),AND($G82="Lower is better",J82&lt;=$H82)),A_Scoring_Model!$C$14,0),IF($G82="Higher is better",IF(J82&gt;=$H82,A_Scoring_Model!$C$14,IF(J82&lt;$I82,0,A_Scoring_Model!$C$15+(A_Scoring_Model!$C$14-A_Scoring_Model!$C$15)*(J82-$I82)/($H82-$I82))),IF(J82&lt;=$H82,A_Scoring_Model!$C$14,IF(J82&gt;$I82,0,A_Scoring_Model!$C$15+(A_Scoring_Model!$C$14-A_Scoring_Model!$C$15)*($I82-J82)/($I82-$H82))))))</f>
        <v/>
      </c>
      <c r="O82" s="56" t="str">
        <f aca="false">IF(K82="","",IF($H82=$I82,IF(OR(AND($G82="Higher is better",K82&gt;=$H82),AND($G82="Lower is better",K82&lt;=$H82)),A_Scoring_Model!$C$14,0),IF($G82="Higher is better",IF(K82&gt;=$H82,A_Scoring_Model!$C$14,IF(K82&lt;$I82,0,A_Scoring_Model!$C$15+(A_Scoring_Model!$C$14-A_Scoring_Model!$C$15)*(K82-$I82)/($H82-$I82))),IF(K82&lt;=$H82,A_Scoring_Model!$C$14,IF(K82&gt;$I82,0,A_Scoring_Model!$C$15+(A_Scoring_Model!$C$14-A_Scoring_Model!$C$15)*($I82-K82)/($I82-$H82))))))</f>
        <v/>
      </c>
      <c r="P82" s="56" t="str">
        <f aca="false">IF(L82="","",IF($H82=$I82,IF(OR(AND($G82="Higher is better",L82&gt;=$H82),AND($G82="Lower is better",L82&lt;=$H82)),A_Scoring_Model!$C$14,0),IF($G82="Higher is better",IF(L82&gt;=$H82,A_Scoring_Model!$C$14,IF(L82&lt;$I82,0,A_Scoring_Model!$C$15+(A_Scoring_Model!$C$14-A_Scoring_Model!$C$15)*(L82-$I82)/($H82-$I82))),IF(L82&lt;=$H82,A_Scoring_Model!$C$14,IF(L82&gt;$I82,0,A_Scoring_Model!$C$15+(A_Scoring_Model!$C$14-A_Scoring_Model!$C$15)*($I82-L82)/($I82-$H82))))))</f>
        <v/>
      </c>
      <c r="Q82" s="56" t="str">
        <f aca="false">IF(M82="","",IF($H82=$I82,IF(OR(AND($G82="Higher is better",M82&gt;=$H82),AND($G82="Lower is better",M82&lt;=$H82)),A_Scoring_Model!$C$14,0),IF($G82="Higher is better",IF(M82&gt;=$H82,A_Scoring_Model!$C$14,IF(M82&lt;$I82,0,A_Scoring_Model!$C$15+(A_Scoring_Model!$C$14-A_Scoring_Model!$C$15)*(M82-$I82)/($H82-$I82))),IF(M82&lt;=$H82,A_Scoring_Model!$C$14,IF(M82&gt;$I82,0,A_Scoring_Model!$C$15+(A_Scoring_Model!$C$14-A_Scoring_Model!$C$15)*($I82-M82)/($I82-$H82))))))</f>
        <v/>
      </c>
    </row>
    <row r="83" customFormat="false" ht="15" hidden="false" customHeight="false" outlineLevel="0" collapsed="false">
      <c r="A83" s="51" t="str">
        <f aca="false">C_KPI_Benchmark!A83</f>
        <v>2.b-D2-06</v>
      </c>
      <c r="B83" s="52" t="str">
        <f aca="false">C_KPI_Benchmark!D83</f>
        <v>2.b</v>
      </c>
      <c r="C83" s="51" t="str">
        <f aca="false">C_KPI_Benchmark!E83</f>
        <v>Effort Estimator ML Model</v>
      </c>
      <c r="D83" s="52" t="str">
        <f aca="false">C_KPI_Benchmark!F83</f>
        <v>D2</v>
      </c>
      <c r="E83" s="51" t="str">
        <f aca="false">C_KPI_Benchmark!J83</f>
        <v>Uses Zion shared services instead of re-implementing them</v>
      </c>
      <c r="F83" s="52" t="str">
        <f aca="false">C_KPI_Benchmark!K83</f>
        <v>Yes/No</v>
      </c>
      <c r="G83" s="51" t="str">
        <f aca="false">C_KPI_Benchmark!L83</f>
        <v>Higher is better</v>
      </c>
      <c r="H83" s="60" t="n">
        <f aca="false">C_KPI_Benchmark!N83</f>
        <v>1</v>
      </c>
      <c r="I83" s="56" t="n">
        <f aca="false">IF(C_KPI_Benchmark!O83&lt;&gt;"",C_KPI_Benchmark!O83,IF(G83="Higher is better",H83*(1-A_Scoring_Model!$C$16),H83*(1+A_Scoring_Model!$C$16)))</f>
        <v>0.8</v>
      </c>
      <c r="J83" s="61"/>
      <c r="K83" s="61"/>
      <c r="L83" s="61"/>
      <c r="M83" s="61"/>
      <c r="N83" s="56" t="str">
        <f aca="false">IF(J83="","",IF($H83=$I83,IF(OR(AND($G83="Higher is better",J83&gt;=$H83),AND($G83="Lower is better",J83&lt;=$H83)),A_Scoring_Model!$C$14,0),IF($G83="Higher is better",IF(J83&gt;=$H83,A_Scoring_Model!$C$14,IF(J83&lt;$I83,0,A_Scoring_Model!$C$15+(A_Scoring_Model!$C$14-A_Scoring_Model!$C$15)*(J83-$I83)/($H83-$I83))),IF(J83&lt;=$H83,A_Scoring_Model!$C$14,IF(J83&gt;$I83,0,A_Scoring_Model!$C$15+(A_Scoring_Model!$C$14-A_Scoring_Model!$C$15)*($I83-J83)/($I83-$H83))))))</f>
        <v/>
      </c>
      <c r="O83" s="56" t="str">
        <f aca="false">IF(K83="","",IF($H83=$I83,IF(OR(AND($G83="Higher is better",K83&gt;=$H83),AND($G83="Lower is better",K83&lt;=$H83)),A_Scoring_Model!$C$14,0),IF($G83="Higher is better",IF(K83&gt;=$H83,A_Scoring_Model!$C$14,IF(K83&lt;$I83,0,A_Scoring_Model!$C$15+(A_Scoring_Model!$C$14-A_Scoring_Model!$C$15)*(K83-$I83)/($H83-$I83))),IF(K83&lt;=$H83,A_Scoring_Model!$C$14,IF(K83&gt;$I83,0,A_Scoring_Model!$C$15+(A_Scoring_Model!$C$14-A_Scoring_Model!$C$15)*($I83-K83)/($I83-$H83))))))</f>
        <v/>
      </c>
      <c r="P83" s="56" t="str">
        <f aca="false">IF(L83="","",IF($H83=$I83,IF(OR(AND($G83="Higher is better",L83&gt;=$H83),AND($G83="Lower is better",L83&lt;=$H83)),A_Scoring_Model!$C$14,0),IF($G83="Higher is better",IF(L83&gt;=$H83,A_Scoring_Model!$C$14,IF(L83&lt;$I83,0,A_Scoring_Model!$C$15+(A_Scoring_Model!$C$14-A_Scoring_Model!$C$15)*(L83-$I83)/($H83-$I83))),IF(L83&lt;=$H83,A_Scoring_Model!$C$14,IF(L83&gt;$I83,0,A_Scoring_Model!$C$15+(A_Scoring_Model!$C$14-A_Scoring_Model!$C$15)*($I83-L83)/($I83-$H83))))))</f>
        <v/>
      </c>
      <c r="Q83" s="56" t="str">
        <f aca="false">IF(M83="","",IF($H83=$I83,IF(OR(AND($G83="Higher is better",M83&gt;=$H83),AND($G83="Lower is better",M83&lt;=$H83)),A_Scoring_Model!$C$14,0),IF($G83="Higher is better",IF(M83&gt;=$H83,A_Scoring_Model!$C$14,IF(M83&lt;$I83,0,A_Scoring_Model!$C$15+(A_Scoring_Model!$C$14-A_Scoring_Model!$C$15)*(M83-$I83)/($H83-$I83))),IF(M83&lt;=$H83,A_Scoring_Model!$C$14,IF(M83&gt;$I83,0,A_Scoring_Model!$C$15+(A_Scoring_Model!$C$14-A_Scoring_Model!$C$15)*($I83-M83)/($I83-$H83))))))</f>
        <v/>
      </c>
    </row>
    <row r="84" customFormat="false" ht="15" hidden="false" customHeight="false" outlineLevel="0" collapsed="false">
      <c r="A84" s="51" t="str">
        <f aca="false">C_KPI_Benchmark!A84</f>
        <v>2.b-D3-07</v>
      </c>
      <c r="B84" s="52" t="str">
        <f aca="false">C_KPI_Benchmark!D84</f>
        <v>2.b</v>
      </c>
      <c r="C84" s="51" t="str">
        <f aca="false">C_KPI_Benchmark!E84</f>
        <v>Effort Estimator ML Model</v>
      </c>
      <c r="D84" s="52" t="str">
        <f aca="false">C_KPI_Benchmark!F84</f>
        <v>D3</v>
      </c>
      <c r="E84" s="51" t="str">
        <f aca="false">C_KPI_Benchmark!J84</f>
        <v>Inference latency</v>
      </c>
      <c r="F84" s="52" t="str">
        <f aca="false">C_KPI_Benchmark!K84</f>
        <v>ms</v>
      </c>
      <c r="G84" s="51" t="str">
        <f aca="false">C_KPI_Benchmark!L84</f>
        <v>Lower is better</v>
      </c>
      <c r="H84" s="62" t="n">
        <f aca="false">C_KPI_Benchmark!N84</f>
        <v>200</v>
      </c>
      <c r="I84" s="63" t="n">
        <f aca="false">IF(C_KPI_Benchmark!O84&lt;&gt;"",C_KPI_Benchmark!O84,IF(G84="Higher is better",H84*(1-A_Scoring_Model!$C$16),H84*(1+A_Scoring_Model!$C$16)))</f>
        <v>240</v>
      </c>
      <c r="J84" s="64"/>
      <c r="K84" s="64"/>
      <c r="L84" s="64"/>
      <c r="M84" s="64"/>
      <c r="N84" s="56" t="str">
        <f aca="false">IF(J84="","",IF($H84=$I84,IF(OR(AND($G84="Higher is better",J84&gt;=$H84),AND($G84="Lower is better",J84&lt;=$H84)),A_Scoring_Model!$C$14,0),IF($G84="Higher is better",IF(J84&gt;=$H84,A_Scoring_Model!$C$14,IF(J84&lt;$I84,0,A_Scoring_Model!$C$15+(A_Scoring_Model!$C$14-A_Scoring_Model!$C$15)*(J84-$I84)/($H84-$I84))),IF(J84&lt;=$H84,A_Scoring_Model!$C$14,IF(J84&gt;$I84,0,A_Scoring_Model!$C$15+(A_Scoring_Model!$C$14-A_Scoring_Model!$C$15)*($I84-J84)/($I84-$H84))))))</f>
        <v/>
      </c>
      <c r="O84" s="56" t="str">
        <f aca="false">IF(K84="","",IF($H84=$I84,IF(OR(AND($G84="Higher is better",K84&gt;=$H84),AND($G84="Lower is better",K84&lt;=$H84)),A_Scoring_Model!$C$14,0),IF($G84="Higher is better",IF(K84&gt;=$H84,A_Scoring_Model!$C$14,IF(K84&lt;$I84,0,A_Scoring_Model!$C$15+(A_Scoring_Model!$C$14-A_Scoring_Model!$C$15)*(K84-$I84)/($H84-$I84))),IF(K84&lt;=$H84,A_Scoring_Model!$C$14,IF(K84&gt;$I84,0,A_Scoring_Model!$C$15+(A_Scoring_Model!$C$14-A_Scoring_Model!$C$15)*($I84-K84)/($I84-$H84))))))</f>
        <v/>
      </c>
      <c r="P84" s="56" t="str">
        <f aca="false">IF(L84="","",IF($H84=$I84,IF(OR(AND($G84="Higher is better",L84&gt;=$H84),AND($G84="Lower is better",L84&lt;=$H84)),A_Scoring_Model!$C$14,0),IF($G84="Higher is better",IF(L84&gt;=$H84,A_Scoring_Model!$C$14,IF(L84&lt;$I84,0,A_Scoring_Model!$C$15+(A_Scoring_Model!$C$14-A_Scoring_Model!$C$15)*(L84-$I84)/($H84-$I84))),IF(L84&lt;=$H84,A_Scoring_Model!$C$14,IF(L84&gt;$I84,0,A_Scoring_Model!$C$15+(A_Scoring_Model!$C$14-A_Scoring_Model!$C$15)*($I84-L84)/($I84-$H84))))))</f>
        <v/>
      </c>
      <c r="Q84" s="56" t="str">
        <f aca="false">IF(M84="","",IF($H84=$I84,IF(OR(AND($G84="Higher is better",M84&gt;=$H84),AND($G84="Lower is better",M84&lt;=$H84)),A_Scoring_Model!$C$14,0),IF($G84="Higher is better",IF(M84&gt;=$H84,A_Scoring_Model!$C$14,IF(M84&lt;$I84,0,A_Scoring_Model!$C$15+(A_Scoring_Model!$C$14-A_Scoring_Model!$C$15)*(M84-$I84)/($H84-$I84))),IF(M84&lt;=$H84,A_Scoring_Model!$C$14,IF(M84&gt;$I84,0,A_Scoring_Model!$C$15+(A_Scoring_Model!$C$14-A_Scoring_Model!$C$15)*($I84-M84)/($I84-$H84))))))</f>
        <v/>
      </c>
    </row>
    <row r="85" customFormat="false" ht="15" hidden="false" customHeight="false" outlineLevel="0" collapsed="false">
      <c r="A85" s="51" t="str">
        <f aca="false">C_KPI_Benchmark!A85</f>
        <v>2.b-D3-08</v>
      </c>
      <c r="B85" s="52" t="str">
        <f aca="false">C_KPI_Benchmark!D85</f>
        <v>2.b</v>
      </c>
      <c r="C85" s="51" t="str">
        <f aca="false">C_KPI_Benchmark!E85</f>
        <v>Effort Estimator ML Model</v>
      </c>
      <c r="D85" s="52" t="str">
        <f aca="false">C_KPI_Benchmark!F85</f>
        <v>D3</v>
      </c>
      <c r="E85" s="51" t="str">
        <f aca="false">C_KPI_Benchmark!J85</f>
        <v>Retrain time on 5k projects</v>
      </c>
      <c r="F85" s="52" t="str">
        <f aca="false">C_KPI_Benchmark!K85</f>
        <v>hr</v>
      </c>
      <c r="G85" s="51" t="str">
        <f aca="false">C_KPI_Benchmark!L85</f>
        <v>Lower is better</v>
      </c>
      <c r="H85" s="62" t="n">
        <f aca="false">C_KPI_Benchmark!N85</f>
        <v>1</v>
      </c>
      <c r="I85" s="63" t="n">
        <f aca="false">IF(C_KPI_Benchmark!O85&lt;&gt;"",C_KPI_Benchmark!O85,IF(G85="Higher is better",H85*(1-A_Scoring_Model!$C$16),H85*(1+A_Scoring_Model!$C$16)))</f>
        <v>1.2</v>
      </c>
      <c r="J85" s="64"/>
      <c r="K85" s="64"/>
      <c r="L85" s="64"/>
      <c r="M85" s="64"/>
      <c r="N85" s="56" t="str">
        <f aca="false">IF(J85="","",IF($H85=$I85,IF(OR(AND($G85="Higher is better",J85&gt;=$H85),AND($G85="Lower is better",J85&lt;=$H85)),A_Scoring_Model!$C$14,0),IF($G85="Higher is better",IF(J85&gt;=$H85,A_Scoring_Model!$C$14,IF(J85&lt;$I85,0,A_Scoring_Model!$C$15+(A_Scoring_Model!$C$14-A_Scoring_Model!$C$15)*(J85-$I85)/($H85-$I85))),IF(J85&lt;=$H85,A_Scoring_Model!$C$14,IF(J85&gt;$I85,0,A_Scoring_Model!$C$15+(A_Scoring_Model!$C$14-A_Scoring_Model!$C$15)*($I85-J85)/($I85-$H85))))))</f>
        <v/>
      </c>
      <c r="O85" s="56" t="str">
        <f aca="false">IF(K85="","",IF($H85=$I85,IF(OR(AND($G85="Higher is better",K85&gt;=$H85),AND($G85="Lower is better",K85&lt;=$H85)),A_Scoring_Model!$C$14,0),IF($G85="Higher is better",IF(K85&gt;=$H85,A_Scoring_Model!$C$14,IF(K85&lt;$I85,0,A_Scoring_Model!$C$15+(A_Scoring_Model!$C$14-A_Scoring_Model!$C$15)*(K85-$I85)/($H85-$I85))),IF(K85&lt;=$H85,A_Scoring_Model!$C$14,IF(K85&gt;$I85,0,A_Scoring_Model!$C$15+(A_Scoring_Model!$C$14-A_Scoring_Model!$C$15)*($I85-K85)/($I85-$H85))))))</f>
        <v/>
      </c>
      <c r="P85" s="56" t="str">
        <f aca="false">IF(L85="","",IF($H85=$I85,IF(OR(AND($G85="Higher is better",L85&gt;=$H85),AND($G85="Lower is better",L85&lt;=$H85)),A_Scoring_Model!$C$14,0),IF($G85="Higher is better",IF(L85&gt;=$H85,A_Scoring_Model!$C$14,IF(L85&lt;$I85,0,A_Scoring_Model!$C$15+(A_Scoring_Model!$C$14-A_Scoring_Model!$C$15)*(L85-$I85)/($H85-$I85))),IF(L85&lt;=$H85,A_Scoring_Model!$C$14,IF(L85&gt;$I85,0,A_Scoring_Model!$C$15+(A_Scoring_Model!$C$14-A_Scoring_Model!$C$15)*($I85-L85)/($I85-$H85))))))</f>
        <v/>
      </c>
      <c r="Q85" s="56" t="str">
        <f aca="false">IF(M85="","",IF($H85=$I85,IF(OR(AND($G85="Higher is better",M85&gt;=$H85),AND($G85="Lower is better",M85&lt;=$H85)),A_Scoring_Model!$C$14,0),IF($G85="Higher is better",IF(M85&gt;=$H85,A_Scoring_Model!$C$14,IF(M85&lt;$I85,0,A_Scoring_Model!$C$15+(A_Scoring_Model!$C$14-A_Scoring_Model!$C$15)*(M85-$I85)/($H85-$I85))),IF(M85&lt;=$H85,A_Scoring_Model!$C$14,IF(M85&gt;$I85,0,A_Scoring_Model!$C$15+(A_Scoring_Model!$C$14-A_Scoring_Model!$C$15)*($I85-M85)/($I85-$H85))))))</f>
        <v/>
      </c>
    </row>
    <row r="86" customFormat="false" ht="15" hidden="false" customHeight="false" outlineLevel="0" collapsed="false">
      <c r="A86" s="51" t="str">
        <f aca="false">C_KPI_Benchmark!A86</f>
        <v>2.b-D3-09</v>
      </c>
      <c r="B86" s="52" t="str">
        <f aca="false">C_KPI_Benchmark!D86</f>
        <v>2.b</v>
      </c>
      <c r="C86" s="51" t="str">
        <f aca="false">C_KPI_Benchmark!E86</f>
        <v>Effort Estimator ML Model</v>
      </c>
      <c r="D86" s="52" t="str">
        <f aca="false">C_KPI_Benchmark!F86</f>
        <v>D3</v>
      </c>
      <c r="E86" s="51" t="str">
        <f aca="false">C_KPI_Benchmark!J86</f>
        <v>Latency degradation at 10× load</v>
      </c>
      <c r="F86" s="52" t="str">
        <f aca="false">C_KPI_Benchmark!K86</f>
        <v>%</v>
      </c>
      <c r="G86" s="51" t="str">
        <f aca="false">C_KPI_Benchmark!L86</f>
        <v>Lower is better</v>
      </c>
      <c r="H86" s="53" t="n">
        <f aca="false">C_KPI_Benchmark!N86</f>
        <v>0.2</v>
      </c>
      <c r="I86" s="54" t="n">
        <f aca="false">IF(C_KPI_Benchmark!O86&lt;&gt;"",C_KPI_Benchmark!O86,IF(G86="Higher is better",H86*(1-A_Scoring_Model!$C$16),H86*(1+A_Scoring_Model!$C$16)))</f>
        <v>0.4</v>
      </c>
      <c r="J86" s="55"/>
      <c r="K86" s="55"/>
      <c r="L86" s="55"/>
      <c r="M86" s="55"/>
      <c r="N86" s="56" t="str">
        <f aca="false">IF(J86="","",IF($H86=$I86,IF(OR(AND($G86="Higher is better",J86&gt;=$H86),AND($G86="Lower is better",J86&lt;=$H86)),A_Scoring_Model!$C$14,0),IF($G86="Higher is better",IF(J86&gt;=$H86,A_Scoring_Model!$C$14,IF(J86&lt;$I86,0,A_Scoring_Model!$C$15+(A_Scoring_Model!$C$14-A_Scoring_Model!$C$15)*(J86-$I86)/($H86-$I86))),IF(J86&lt;=$H86,A_Scoring_Model!$C$14,IF(J86&gt;$I86,0,A_Scoring_Model!$C$15+(A_Scoring_Model!$C$14-A_Scoring_Model!$C$15)*($I86-J86)/($I86-$H86))))))</f>
        <v/>
      </c>
      <c r="O86" s="56" t="str">
        <f aca="false">IF(K86="","",IF($H86=$I86,IF(OR(AND($G86="Higher is better",K86&gt;=$H86),AND($G86="Lower is better",K86&lt;=$H86)),A_Scoring_Model!$C$14,0),IF($G86="Higher is better",IF(K86&gt;=$H86,A_Scoring_Model!$C$14,IF(K86&lt;$I86,0,A_Scoring_Model!$C$15+(A_Scoring_Model!$C$14-A_Scoring_Model!$C$15)*(K86-$I86)/($H86-$I86))),IF(K86&lt;=$H86,A_Scoring_Model!$C$14,IF(K86&gt;$I86,0,A_Scoring_Model!$C$15+(A_Scoring_Model!$C$14-A_Scoring_Model!$C$15)*($I86-K86)/($I86-$H86))))))</f>
        <v/>
      </c>
      <c r="P86" s="56" t="str">
        <f aca="false">IF(L86="","",IF($H86=$I86,IF(OR(AND($G86="Higher is better",L86&gt;=$H86),AND($G86="Lower is better",L86&lt;=$H86)),A_Scoring_Model!$C$14,0),IF($G86="Higher is better",IF(L86&gt;=$H86,A_Scoring_Model!$C$14,IF(L86&lt;$I86,0,A_Scoring_Model!$C$15+(A_Scoring_Model!$C$14-A_Scoring_Model!$C$15)*(L86-$I86)/($H86-$I86))),IF(L86&lt;=$H86,A_Scoring_Model!$C$14,IF(L86&gt;$I86,0,A_Scoring_Model!$C$15+(A_Scoring_Model!$C$14-A_Scoring_Model!$C$15)*($I86-L86)/($I86-$H86))))))</f>
        <v/>
      </c>
      <c r="Q86" s="56" t="str">
        <f aca="false">IF(M86="","",IF($H86=$I86,IF(OR(AND($G86="Higher is better",M86&gt;=$H86),AND($G86="Lower is better",M86&lt;=$H86)),A_Scoring_Model!$C$14,0),IF($G86="Higher is better",IF(M86&gt;=$H86,A_Scoring_Model!$C$14,IF(M86&lt;$I86,0,A_Scoring_Model!$C$15+(A_Scoring_Model!$C$14-A_Scoring_Model!$C$15)*(M86-$I86)/($H86-$I86))),IF(M86&lt;=$H86,A_Scoring_Model!$C$14,IF(M86&gt;$I86,0,A_Scoring_Model!$C$15+(A_Scoring_Model!$C$14-A_Scoring_Model!$C$15)*($I86-M86)/($I86-$H86))))))</f>
        <v/>
      </c>
    </row>
    <row r="87" customFormat="false" ht="15" hidden="false" customHeight="false" outlineLevel="0" collapsed="false">
      <c r="A87" s="51" t="str">
        <f aca="false">C_KPI_Benchmark!A87</f>
        <v>2.b-D4-10</v>
      </c>
      <c r="B87" s="52" t="str">
        <f aca="false">C_KPI_Benchmark!D87</f>
        <v>2.b</v>
      </c>
      <c r="C87" s="51" t="str">
        <f aca="false">C_KPI_Benchmark!E87</f>
        <v>Effort Estimator ML Model</v>
      </c>
      <c r="D87" s="52" t="str">
        <f aca="false">C_KPI_Benchmark!F87</f>
        <v>D4</v>
      </c>
      <c r="E87" s="51" t="str">
        <f aca="false">C_KPI_Benchmark!J87</f>
        <v>Drift PSI</v>
      </c>
      <c r="F87" s="52" t="str">
        <f aca="false">C_KPI_Benchmark!K87</f>
        <v>PSI</v>
      </c>
      <c r="G87" s="51" t="str">
        <f aca="false">C_KPI_Benchmark!L87</f>
        <v>Lower is better</v>
      </c>
      <c r="H87" s="57" t="n">
        <f aca="false">C_KPI_Benchmark!N87</f>
        <v>0.2</v>
      </c>
      <c r="I87" s="58" t="n">
        <f aca="false">IF(C_KPI_Benchmark!O87&lt;&gt;"",C_KPI_Benchmark!O87,IF(G87="Higher is better",H87*(1-A_Scoring_Model!$C$16),H87*(1+A_Scoring_Model!$C$16)))</f>
        <v>0.24</v>
      </c>
      <c r="J87" s="59"/>
      <c r="K87" s="59"/>
      <c r="L87" s="59"/>
      <c r="M87" s="59"/>
      <c r="N87" s="56" t="str">
        <f aca="false">IF(J87="","",IF($H87=$I87,IF(OR(AND($G87="Higher is better",J87&gt;=$H87),AND($G87="Lower is better",J87&lt;=$H87)),A_Scoring_Model!$C$14,0),IF($G87="Higher is better",IF(J87&gt;=$H87,A_Scoring_Model!$C$14,IF(J87&lt;$I87,0,A_Scoring_Model!$C$15+(A_Scoring_Model!$C$14-A_Scoring_Model!$C$15)*(J87-$I87)/($H87-$I87))),IF(J87&lt;=$H87,A_Scoring_Model!$C$14,IF(J87&gt;$I87,0,A_Scoring_Model!$C$15+(A_Scoring_Model!$C$14-A_Scoring_Model!$C$15)*($I87-J87)/($I87-$H87))))))</f>
        <v/>
      </c>
      <c r="O87" s="56" t="str">
        <f aca="false">IF(K87="","",IF($H87=$I87,IF(OR(AND($G87="Higher is better",K87&gt;=$H87),AND($G87="Lower is better",K87&lt;=$H87)),A_Scoring_Model!$C$14,0),IF($G87="Higher is better",IF(K87&gt;=$H87,A_Scoring_Model!$C$14,IF(K87&lt;$I87,0,A_Scoring_Model!$C$15+(A_Scoring_Model!$C$14-A_Scoring_Model!$C$15)*(K87-$I87)/($H87-$I87))),IF(K87&lt;=$H87,A_Scoring_Model!$C$14,IF(K87&gt;$I87,0,A_Scoring_Model!$C$15+(A_Scoring_Model!$C$14-A_Scoring_Model!$C$15)*($I87-K87)/($I87-$H87))))))</f>
        <v/>
      </c>
      <c r="P87" s="56" t="str">
        <f aca="false">IF(L87="","",IF($H87=$I87,IF(OR(AND($G87="Higher is better",L87&gt;=$H87),AND($G87="Lower is better",L87&lt;=$H87)),A_Scoring_Model!$C$14,0),IF($G87="Higher is better",IF(L87&gt;=$H87,A_Scoring_Model!$C$14,IF(L87&lt;$I87,0,A_Scoring_Model!$C$15+(A_Scoring_Model!$C$14-A_Scoring_Model!$C$15)*(L87-$I87)/($H87-$I87))),IF(L87&lt;=$H87,A_Scoring_Model!$C$14,IF(L87&gt;$I87,0,A_Scoring_Model!$C$15+(A_Scoring_Model!$C$14-A_Scoring_Model!$C$15)*($I87-L87)/($I87-$H87))))))</f>
        <v/>
      </c>
      <c r="Q87" s="56" t="str">
        <f aca="false">IF(M87="","",IF($H87=$I87,IF(OR(AND($G87="Higher is better",M87&gt;=$H87),AND($G87="Lower is better",M87&lt;=$H87)),A_Scoring_Model!$C$14,0),IF($G87="Higher is better",IF(M87&gt;=$H87,A_Scoring_Model!$C$14,IF(M87&lt;$I87,0,A_Scoring_Model!$C$15+(A_Scoring_Model!$C$14-A_Scoring_Model!$C$15)*(M87-$I87)/($H87-$I87))),IF(M87&lt;=$H87,A_Scoring_Model!$C$14,IF(M87&gt;$I87,0,A_Scoring_Model!$C$15+(A_Scoring_Model!$C$14-A_Scoring_Model!$C$15)*($I87-M87)/($I87-$H87))))))</f>
        <v/>
      </c>
    </row>
    <row r="88" customFormat="false" ht="15" hidden="false" customHeight="false" outlineLevel="0" collapsed="false">
      <c r="A88" s="51" t="str">
        <f aca="false">C_KPI_Benchmark!A88</f>
        <v>2.b-D4-11</v>
      </c>
      <c r="B88" s="52" t="str">
        <f aca="false">C_KPI_Benchmark!D88</f>
        <v>2.b</v>
      </c>
      <c r="C88" s="51" t="str">
        <f aca="false">C_KPI_Benchmark!E88</f>
        <v>Effort Estimator ML Model</v>
      </c>
      <c r="D88" s="52" t="str">
        <f aca="false">C_KPI_Benchmark!F88</f>
        <v>D4</v>
      </c>
      <c r="E88" s="51" t="str">
        <f aca="false">C_KPI_Benchmark!J88</f>
        <v>Estimates with top-5 SHAP drivers</v>
      </c>
      <c r="F88" s="52" t="str">
        <f aca="false">C_KPI_Benchmark!K88</f>
        <v>%</v>
      </c>
      <c r="G88" s="51" t="str">
        <f aca="false">C_KPI_Benchmark!L88</f>
        <v>Higher is better</v>
      </c>
      <c r="H88" s="53" t="n">
        <f aca="false">C_KPI_Benchmark!N88</f>
        <v>1</v>
      </c>
      <c r="I88" s="54" t="n">
        <f aca="false">IF(C_KPI_Benchmark!O88&lt;&gt;"",C_KPI_Benchmark!O88,IF(G88="Higher is better",H88*(1-A_Scoring_Model!$C$16),H88*(1+A_Scoring_Model!$C$16)))</f>
        <v>0.8</v>
      </c>
      <c r="J88" s="55"/>
      <c r="K88" s="55"/>
      <c r="L88" s="55"/>
      <c r="M88" s="55"/>
      <c r="N88" s="56" t="str">
        <f aca="false">IF(J88="","",IF($H88=$I88,IF(OR(AND($G88="Higher is better",J88&gt;=$H88),AND($G88="Lower is better",J88&lt;=$H88)),A_Scoring_Model!$C$14,0),IF($G88="Higher is better",IF(J88&gt;=$H88,A_Scoring_Model!$C$14,IF(J88&lt;$I88,0,A_Scoring_Model!$C$15+(A_Scoring_Model!$C$14-A_Scoring_Model!$C$15)*(J88-$I88)/($H88-$I88))),IF(J88&lt;=$H88,A_Scoring_Model!$C$14,IF(J88&gt;$I88,0,A_Scoring_Model!$C$15+(A_Scoring_Model!$C$14-A_Scoring_Model!$C$15)*($I88-J88)/($I88-$H88))))))</f>
        <v/>
      </c>
      <c r="O88" s="56" t="str">
        <f aca="false">IF(K88="","",IF($H88=$I88,IF(OR(AND($G88="Higher is better",K88&gt;=$H88),AND($G88="Lower is better",K88&lt;=$H88)),A_Scoring_Model!$C$14,0),IF($G88="Higher is better",IF(K88&gt;=$H88,A_Scoring_Model!$C$14,IF(K88&lt;$I88,0,A_Scoring_Model!$C$15+(A_Scoring_Model!$C$14-A_Scoring_Model!$C$15)*(K88-$I88)/($H88-$I88))),IF(K88&lt;=$H88,A_Scoring_Model!$C$14,IF(K88&gt;$I88,0,A_Scoring_Model!$C$15+(A_Scoring_Model!$C$14-A_Scoring_Model!$C$15)*($I88-K88)/($I88-$H88))))))</f>
        <v/>
      </c>
      <c r="P88" s="56" t="str">
        <f aca="false">IF(L88="","",IF($H88=$I88,IF(OR(AND($G88="Higher is better",L88&gt;=$H88),AND($G88="Lower is better",L88&lt;=$H88)),A_Scoring_Model!$C$14,0),IF($G88="Higher is better",IF(L88&gt;=$H88,A_Scoring_Model!$C$14,IF(L88&lt;$I88,0,A_Scoring_Model!$C$15+(A_Scoring_Model!$C$14-A_Scoring_Model!$C$15)*(L88-$I88)/($H88-$I88))),IF(L88&lt;=$H88,A_Scoring_Model!$C$14,IF(L88&gt;$I88,0,A_Scoring_Model!$C$15+(A_Scoring_Model!$C$14-A_Scoring_Model!$C$15)*($I88-L88)/($I88-$H88))))))</f>
        <v/>
      </c>
      <c r="Q88" s="56" t="str">
        <f aca="false">IF(M88="","",IF($H88=$I88,IF(OR(AND($G88="Higher is better",M88&gt;=$H88),AND($G88="Lower is better",M88&lt;=$H88)),A_Scoring_Model!$C$14,0),IF($G88="Higher is better",IF(M88&gt;=$H88,A_Scoring_Model!$C$14,IF(M88&lt;$I88,0,A_Scoring_Model!$C$15+(A_Scoring_Model!$C$14-A_Scoring_Model!$C$15)*(M88-$I88)/($H88-$I88))),IF(M88&lt;=$H88,A_Scoring_Model!$C$14,IF(M88&gt;$I88,0,A_Scoring_Model!$C$15+(A_Scoring_Model!$C$14-A_Scoring_Model!$C$15)*($I88-M88)/($I88-$H88))))))</f>
        <v/>
      </c>
    </row>
    <row r="89" customFormat="false" ht="15" hidden="false" customHeight="false" outlineLevel="0" collapsed="false">
      <c r="A89" s="51" t="str">
        <f aca="false">C_KPI_Benchmark!A89</f>
        <v>2.b-D4-12</v>
      </c>
      <c r="B89" s="52" t="str">
        <f aca="false">C_KPI_Benchmark!D89</f>
        <v>2.b</v>
      </c>
      <c r="C89" s="51" t="str">
        <f aca="false">C_KPI_Benchmark!E89</f>
        <v>Effort Estimator ML Model</v>
      </c>
      <c r="D89" s="52" t="str">
        <f aca="false">C_KPI_Benchmark!F89</f>
        <v>D4</v>
      </c>
      <c r="E89" s="51" t="str">
        <f aca="false">C_KPI_Benchmark!J89</f>
        <v>Service availability</v>
      </c>
      <c r="F89" s="52" t="str">
        <f aca="false">C_KPI_Benchmark!K89</f>
        <v>%</v>
      </c>
      <c r="G89" s="51" t="str">
        <f aca="false">C_KPI_Benchmark!L89</f>
        <v>Higher is better</v>
      </c>
      <c r="H89" s="53" t="n">
        <f aca="false">C_KPI_Benchmark!N89</f>
        <v>0.995</v>
      </c>
      <c r="I89" s="54" t="n">
        <f aca="false">IF(C_KPI_Benchmark!O89&lt;&gt;"",C_KPI_Benchmark!O89,IF(G89="Higher is better",H89*(1-A_Scoring_Model!$C$16),H89*(1+A_Scoring_Model!$C$16)))</f>
        <v>0.99</v>
      </c>
      <c r="J89" s="55"/>
      <c r="K89" s="55"/>
      <c r="L89" s="55"/>
      <c r="M89" s="55"/>
      <c r="N89" s="56" t="str">
        <f aca="false">IF(J89="","",IF($H89=$I89,IF(OR(AND($G89="Higher is better",J89&gt;=$H89),AND($G89="Lower is better",J89&lt;=$H89)),A_Scoring_Model!$C$14,0),IF($G89="Higher is better",IF(J89&gt;=$H89,A_Scoring_Model!$C$14,IF(J89&lt;$I89,0,A_Scoring_Model!$C$15+(A_Scoring_Model!$C$14-A_Scoring_Model!$C$15)*(J89-$I89)/($H89-$I89))),IF(J89&lt;=$H89,A_Scoring_Model!$C$14,IF(J89&gt;$I89,0,A_Scoring_Model!$C$15+(A_Scoring_Model!$C$14-A_Scoring_Model!$C$15)*($I89-J89)/($I89-$H89))))))</f>
        <v/>
      </c>
      <c r="O89" s="56" t="str">
        <f aca="false">IF(K89="","",IF($H89=$I89,IF(OR(AND($G89="Higher is better",K89&gt;=$H89),AND($G89="Lower is better",K89&lt;=$H89)),A_Scoring_Model!$C$14,0),IF($G89="Higher is better",IF(K89&gt;=$H89,A_Scoring_Model!$C$14,IF(K89&lt;$I89,0,A_Scoring_Model!$C$15+(A_Scoring_Model!$C$14-A_Scoring_Model!$C$15)*(K89-$I89)/($H89-$I89))),IF(K89&lt;=$H89,A_Scoring_Model!$C$14,IF(K89&gt;$I89,0,A_Scoring_Model!$C$15+(A_Scoring_Model!$C$14-A_Scoring_Model!$C$15)*($I89-K89)/($I89-$H89))))))</f>
        <v/>
      </c>
      <c r="P89" s="56" t="str">
        <f aca="false">IF(L89="","",IF($H89=$I89,IF(OR(AND($G89="Higher is better",L89&gt;=$H89),AND($G89="Lower is better",L89&lt;=$H89)),A_Scoring_Model!$C$14,0),IF($G89="Higher is better",IF(L89&gt;=$H89,A_Scoring_Model!$C$14,IF(L89&lt;$I89,0,A_Scoring_Model!$C$15+(A_Scoring_Model!$C$14-A_Scoring_Model!$C$15)*(L89-$I89)/($H89-$I89))),IF(L89&lt;=$H89,A_Scoring_Model!$C$14,IF(L89&gt;$I89,0,A_Scoring_Model!$C$15+(A_Scoring_Model!$C$14-A_Scoring_Model!$C$15)*($I89-L89)/($I89-$H89))))))</f>
        <v/>
      </c>
      <c r="Q89" s="56" t="str">
        <f aca="false">IF(M89="","",IF($H89=$I89,IF(OR(AND($G89="Higher is better",M89&gt;=$H89),AND($G89="Lower is better",M89&lt;=$H89)),A_Scoring_Model!$C$14,0),IF($G89="Higher is better",IF(M89&gt;=$H89,A_Scoring_Model!$C$14,IF(M89&lt;$I89,0,A_Scoring_Model!$C$15+(A_Scoring_Model!$C$14-A_Scoring_Model!$C$15)*(M89-$I89)/($H89-$I89))),IF(M89&lt;=$H89,A_Scoring_Model!$C$14,IF(M89&gt;$I89,0,A_Scoring_Model!$C$15+(A_Scoring_Model!$C$14-A_Scoring_Model!$C$15)*($I89-M89)/($I89-$H89))))))</f>
        <v/>
      </c>
    </row>
    <row r="90" customFormat="false" ht="15" hidden="false" customHeight="false" outlineLevel="0" collapsed="false">
      <c r="A90" s="51" t="str">
        <f aca="false">C_KPI_Benchmark!A90</f>
        <v>2.b-D5-13</v>
      </c>
      <c r="B90" s="52" t="str">
        <f aca="false">C_KPI_Benchmark!D90</f>
        <v>2.b</v>
      </c>
      <c r="C90" s="51" t="str">
        <f aca="false">C_KPI_Benchmark!E90</f>
        <v>Effort Estimator ML Model</v>
      </c>
      <c r="D90" s="52" t="str">
        <f aca="false">C_KPI_Benchmark!F90</f>
        <v>D5</v>
      </c>
      <c r="E90" s="51" t="str">
        <f aca="false">C_KPI_Benchmark!J90</f>
        <v>Estimate-vs-actual variance reduction vs expert baseline</v>
      </c>
      <c r="F90" s="52" t="str">
        <f aca="false">C_KPI_Benchmark!K90</f>
        <v>%</v>
      </c>
      <c r="G90" s="51" t="str">
        <f aca="false">C_KPI_Benchmark!L90</f>
        <v>Higher is better</v>
      </c>
      <c r="H90" s="53" t="n">
        <f aca="false">C_KPI_Benchmark!N90</f>
        <v>0.3</v>
      </c>
      <c r="I90" s="54" t="n">
        <f aca="false">IF(C_KPI_Benchmark!O90&lt;&gt;"",C_KPI_Benchmark!O90,IF(G90="Higher is better",H90*(1-A_Scoring_Model!$C$16),H90*(1+A_Scoring_Model!$C$16)))</f>
        <v>0.24</v>
      </c>
      <c r="J90" s="55"/>
      <c r="K90" s="55"/>
      <c r="L90" s="55"/>
      <c r="M90" s="55"/>
      <c r="N90" s="56" t="str">
        <f aca="false">IF(J90="","",IF($H90=$I90,IF(OR(AND($G90="Higher is better",J90&gt;=$H90),AND($G90="Lower is better",J90&lt;=$H90)),A_Scoring_Model!$C$14,0),IF($G90="Higher is better",IF(J90&gt;=$H90,A_Scoring_Model!$C$14,IF(J90&lt;$I90,0,A_Scoring_Model!$C$15+(A_Scoring_Model!$C$14-A_Scoring_Model!$C$15)*(J90-$I90)/($H90-$I90))),IF(J90&lt;=$H90,A_Scoring_Model!$C$14,IF(J90&gt;$I90,0,A_Scoring_Model!$C$15+(A_Scoring_Model!$C$14-A_Scoring_Model!$C$15)*($I90-J90)/($I90-$H90))))))</f>
        <v/>
      </c>
      <c r="O90" s="56" t="str">
        <f aca="false">IF(K90="","",IF($H90=$I90,IF(OR(AND($G90="Higher is better",K90&gt;=$H90),AND($G90="Lower is better",K90&lt;=$H90)),A_Scoring_Model!$C$14,0),IF($G90="Higher is better",IF(K90&gt;=$H90,A_Scoring_Model!$C$14,IF(K90&lt;$I90,0,A_Scoring_Model!$C$15+(A_Scoring_Model!$C$14-A_Scoring_Model!$C$15)*(K90-$I90)/($H90-$I90))),IF(K90&lt;=$H90,A_Scoring_Model!$C$14,IF(K90&gt;$I90,0,A_Scoring_Model!$C$15+(A_Scoring_Model!$C$14-A_Scoring_Model!$C$15)*($I90-K90)/($I90-$H90))))))</f>
        <v/>
      </c>
      <c r="P90" s="56" t="str">
        <f aca="false">IF(L90="","",IF($H90=$I90,IF(OR(AND($G90="Higher is better",L90&gt;=$H90),AND($G90="Lower is better",L90&lt;=$H90)),A_Scoring_Model!$C$14,0),IF($G90="Higher is better",IF(L90&gt;=$H90,A_Scoring_Model!$C$14,IF(L90&lt;$I90,0,A_Scoring_Model!$C$15+(A_Scoring_Model!$C$14-A_Scoring_Model!$C$15)*(L90-$I90)/($H90-$I90))),IF(L90&lt;=$H90,A_Scoring_Model!$C$14,IF(L90&gt;$I90,0,A_Scoring_Model!$C$15+(A_Scoring_Model!$C$14-A_Scoring_Model!$C$15)*($I90-L90)/($I90-$H90))))))</f>
        <v/>
      </c>
      <c r="Q90" s="56" t="str">
        <f aca="false">IF(M90="","",IF($H90=$I90,IF(OR(AND($G90="Higher is better",M90&gt;=$H90),AND($G90="Lower is better",M90&lt;=$H90)),A_Scoring_Model!$C$14,0),IF($G90="Higher is better",IF(M90&gt;=$H90,A_Scoring_Model!$C$14,IF(M90&lt;$I90,0,A_Scoring_Model!$C$15+(A_Scoring_Model!$C$14-A_Scoring_Model!$C$15)*(M90-$I90)/($H90-$I90))),IF(M90&lt;=$H90,A_Scoring_Model!$C$14,IF(M90&gt;$I90,0,A_Scoring_Model!$C$15+(A_Scoring_Model!$C$14-A_Scoring_Model!$C$15)*($I90-M90)/($I90-$H90))))))</f>
        <v/>
      </c>
    </row>
    <row r="91" customFormat="false" ht="15" hidden="false" customHeight="false" outlineLevel="0" collapsed="false">
      <c r="A91" s="51" t="str">
        <f aca="false">C_KPI_Benchmark!A91</f>
        <v>2.b-D6-14</v>
      </c>
      <c r="B91" s="52" t="str">
        <f aca="false">C_KPI_Benchmark!D91</f>
        <v>2.b</v>
      </c>
      <c r="C91" s="51" t="str">
        <f aca="false">C_KPI_Benchmark!E91</f>
        <v>Effort Estimator ML Model</v>
      </c>
      <c r="D91" s="52" t="str">
        <f aca="false">C_KPI_Benchmark!F91</f>
        <v>D6</v>
      </c>
      <c r="E91" s="51" t="str">
        <f aca="false">C_KPI_Benchmark!J91</f>
        <v>Solution code test coverage</v>
      </c>
      <c r="F91" s="52" t="str">
        <f aca="false">C_KPI_Benchmark!K91</f>
        <v>%</v>
      </c>
      <c r="G91" s="51" t="str">
        <f aca="false">C_KPI_Benchmark!L91</f>
        <v>Higher is better</v>
      </c>
      <c r="H91" s="53" t="n">
        <f aca="false">C_KPI_Benchmark!N91</f>
        <v>0.8</v>
      </c>
      <c r="I91" s="54" t="n">
        <f aca="false">IF(C_KPI_Benchmark!O91&lt;&gt;"",C_KPI_Benchmark!O91,IF(G91="Higher is better",H91*(1-A_Scoring_Model!$C$16),H91*(1+A_Scoring_Model!$C$16)))</f>
        <v>0.6</v>
      </c>
      <c r="J91" s="55"/>
      <c r="K91" s="55"/>
      <c r="L91" s="55"/>
      <c r="M91" s="55"/>
      <c r="N91" s="56" t="str">
        <f aca="false">IF(J91="","",IF($H91=$I91,IF(OR(AND($G91="Higher is better",J91&gt;=$H91),AND($G91="Lower is better",J91&lt;=$H91)),A_Scoring_Model!$C$14,0),IF($G91="Higher is better",IF(J91&gt;=$H91,A_Scoring_Model!$C$14,IF(J91&lt;$I91,0,A_Scoring_Model!$C$15+(A_Scoring_Model!$C$14-A_Scoring_Model!$C$15)*(J91-$I91)/($H91-$I91))),IF(J91&lt;=$H91,A_Scoring_Model!$C$14,IF(J91&gt;$I91,0,A_Scoring_Model!$C$15+(A_Scoring_Model!$C$14-A_Scoring_Model!$C$15)*($I91-J91)/($I91-$H91))))))</f>
        <v/>
      </c>
      <c r="O91" s="56" t="str">
        <f aca="false">IF(K91="","",IF($H91=$I91,IF(OR(AND($G91="Higher is better",K91&gt;=$H91),AND($G91="Lower is better",K91&lt;=$H91)),A_Scoring_Model!$C$14,0),IF($G91="Higher is better",IF(K91&gt;=$H91,A_Scoring_Model!$C$14,IF(K91&lt;$I91,0,A_Scoring_Model!$C$15+(A_Scoring_Model!$C$14-A_Scoring_Model!$C$15)*(K91-$I91)/($H91-$I91))),IF(K91&lt;=$H91,A_Scoring_Model!$C$14,IF(K91&gt;$I91,0,A_Scoring_Model!$C$15+(A_Scoring_Model!$C$14-A_Scoring_Model!$C$15)*($I91-K91)/($I91-$H91))))))</f>
        <v/>
      </c>
      <c r="P91" s="56" t="str">
        <f aca="false">IF(L91="","",IF($H91=$I91,IF(OR(AND($G91="Higher is better",L91&gt;=$H91),AND($G91="Lower is better",L91&lt;=$H91)),A_Scoring_Model!$C$14,0),IF($G91="Higher is better",IF(L91&gt;=$H91,A_Scoring_Model!$C$14,IF(L91&lt;$I91,0,A_Scoring_Model!$C$15+(A_Scoring_Model!$C$14-A_Scoring_Model!$C$15)*(L91-$I91)/($H91-$I91))),IF(L91&lt;=$H91,A_Scoring_Model!$C$14,IF(L91&gt;$I91,0,A_Scoring_Model!$C$15+(A_Scoring_Model!$C$14-A_Scoring_Model!$C$15)*($I91-L91)/($I91-$H91))))))</f>
        <v/>
      </c>
      <c r="Q91" s="56" t="str">
        <f aca="false">IF(M91="","",IF($H91=$I91,IF(OR(AND($G91="Higher is better",M91&gt;=$H91),AND($G91="Lower is better",M91&lt;=$H91)),A_Scoring_Model!$C$14,0),IF($G91="Higher is better",IF(M91&gt;=$H91,A_Scoring_Model!$C$14,IF(M91&lt;$I91,0,A_Scoring_Model!$C$15+(A_Scoring_Model!$C$14-A_Scoring_Model!$C$15)*(M91-$I91)/($H91-$I91))),IF(M91&lt;=$H91,A_Scoring_Model!$C$14,IF(M91&gt;$I91,0,A_Scoring_Model!$C$15+(A_Scoring_Model!$C$14-A_Scoring_Model!$C$15)*($I91-M91)/($I91-$H91))))))</f>
        <v/>
      </c>
    </row>
    <row r="92" customFormat="false" ht="15" hidden="false" customHeight="false" outlineLevel="0" collapsed="false">
      <c r="A92" s="51" t="str">
        <f aca="false">C_KPI_Benchmark!A92</f>
        <v>2.b-D6-15</v>
      </c>
      <c r="B92" s="52" t="str">
        <f aca="false">C_KPI_Benchmark!D92</f>
        <v>2.b</v>
      </c>
      <c r="C92" s="51" t="str">
        <f aca="false">C_KPI_Benchmark!E92</f>
        <v>Effort Estimator ML Model</v>
      </c>
      <c r="D92" s="52" t="str">
        <f aca="false">C_KPI_Benchmark!F92</f>
        <v>D6</v>
      </c>
      <c r="E92" s="51" t="str">
        <f aca="false">C_KPI_Benchmark!J92</f>
        <v>Review Shield critical findings</v>
      </c>
      <c r="F92" s="52" t="str">
        <f aca="false">C_KPI_Benchmark!K92</f>
        <v>count</v>
      </c>
      <c r="G92" s="51" t="str">
        <f aca="false">C_KPI_Benchmark!L92</f>
        <v>Lower is better</v>
      </c>
      <c r="H92" s="62" t="n">
        <f aca="false">C_KPI_Benchmark!N92</f>
        <v>0</v>
      </c>
      <c r="I92" s="63" t="n">
        <f aca="false">IF(C_KPI_Benchmark!O92&lt;&gt;"",C_KPI_Benchmark!O92,IF(G92="Higher is better",H92*(1-A_Scoring_Model!$C$16),H92*(1+A_Scoring_Model!$C$16)))</f>
        <v>0</v>
      </c>
      <c r="J92" s="64"/>
      <c r="K92" s="64"/>
      <c r="L92" s="64"/>
      <c r="M92" s="64"/>
      <c r="N92" s="56" t="str">
        <f aca="false">IF(J92="","",IF($H92=$I92,IF(OR(AND($G92="Higher is better",J92&gt;=$H92),AND($G92="Lower is better",J92&lt;=$H92)),A_Scoring_Model!$C$14,0),IF($G92="Higher is better",IF(J92&gt;=$H92,A_Scoring_Model!$C$14,IF(J92&lt;$I92,0,A_Scoring_Model!$C$15+(A_Scoring_Model!$C$14-A_Scoring_Model!$C$15)*(J92-$I92)/($H92-$I92))),IF(J92&lt;=$H92,A_Scoring_Model!$C$14,IF(J92&gt;$I92,0,A_Scoring_Model!$C$15+(A_Scoring_Model!$C$14-A_Scoring_Model!$C$15)*($I92-J92)/($I92-$H92))))))</f>
        <v/>
      </c>
      <c r="O92" s="56" t="str">
        <f aca="false">IF(K92="","",IF($H92=$I92,IF(OR(AND($G92="Higher is better",K92&gt;=$H92),AND($G92="Lower is better",K92&lt;=$H92)),A_Scoring_Model!$C$14,0),IF($G92="Higher is better",IF(K92&gt;=$H92,A_Scoring_Model!$C$14,IF(K92&lt;$I92,0,A_Scoring_Model!$C$15+(A_Scoring_Model!$C$14-A_Scoring_Model!$C$15)*(K92-$I92)/($H92-$I92))),IF(K92&lt;=$H92,A_Scoring_Model!$C$14,IF(K92&gt;$I92,0,A_Scoring_Model!$C$15+(A_Scoring_Model!$C$14-A_Scoring_Model!$C$15)*($I92-K92)/($I92-$H92))))))</f>
        <v/>
      </c>
      <c r="P92" s="56" t="str">
        <f aca="false">IF(L92="","",IF($H92=$I92,IF(OR(AND($G92="Higher is better",L92&gt;=$H92),AND($G92="Lower is better",L92&lt;=$H92)),A_Scoring_Model!$C$14,0),IF($G92="Higher is better",IF(L92&gt;=$H92,A_Scoring_Model!$C$14,IF(L92&lt;$I92,0,A_Scoring_Model!$C$15+(A_Scoring_Model!$C$14-A_Scoring_Model!$C$15)*(L92-$I92)/($H92-$I92))),IF(L92&lt;=$H92,A_Scoring_Model!$C$14,IF(L92&gt;$I92,0,A_Scoring_Model!$C$15+(A_Scoring_Model!$C$14-A_Scoring_Model!$C$15)*($I92-L92)/($I92-$H92))))))</f>
        <v/>
      </c>
      <c r="Q92" s="56" t="str">
        <f aca="false">IF(M92="","",IF($H92=$I92,IF(OR(AND($G92="Higher is better",M92&gt;=$H92),AND($G92="Lower is better",M92&lt;=$H92)),A_Scoring_Model!$C$14,0),IF($G92="Higher is better",IF(M92&gt;=$H92,A_Scoring_Model!$C$14,IF(M92&lt;$I92,0,A_Scoring_Model!$C$15+(A_Scoring_Model!$C$14-A_Scoring_Model!$C$15)*(M92-$I92)/($H92-$I92))),IF(M92&lt;=$H92,A_Scoring_Model!$C$14,IF(M92&gt;$I92,0,A_Scoring_Model!$C$15+(A_Scoring_Model!$C$14-A_Scoring_Model!$C$15)*($I92-M92)/($I92-$H92))))))</f>
        <v/>
      </c>
    </row>
    <row r="93" customFormat="false" ht="15" hidden="false" customHeight="false" outlineLevel="0" collapsed="false">
      <c r="A93" s="51" t="str">
        <f aca="false">C_KPI_Benchmark!A93</f>
        <v>2.b-D6-16</v>
      </c>
      <c r="B93" s="52" t="str">
        <f aca="false">C_KPI_Benchmark!D93</f>
        <v>2.b</v>
      </c>
      <c r="C93" s="51" t="str">
        <f aca="false">C_KPI_Benchmark!E93</f>
        <v>Effort Estimator ML Model</v>
      </c>
      <c r="D93" s="52" t="str">
        <f aca="false">C_KPI_Benchmark!F93</f>
        <v>D6</v>
      </c>
      <c r="E93" s="51" t="str">
        <f aca="false">C_KPI_Benchmark!J93</f>
        <v>SAST high findings and exposed secrets</v>
      </c>
      <c r="F93" s="52" t="str">
        <f aca="false">C_KPI_Benchmark!K93</f>
        <v>count</v>
      </c>
      <c r="G93" s="51" t="str">
        <f aca="false">C_KPI_Benchmark!L93</f>
        <v>Lower is better</v>
      </c>
      <c r="H93" s="62" t="n">
        <f aca="false">C_KPI_Benchmark!N93</f>
        <v>0</v>
      </c>
      <c r="I93" s="63" t="n">
        <f aca="false">IF(C_KPI_Benchmark!O93&lt;&gt;"",C_KPI_Benchmark!O93,IF(G93="Higher is better",H93*(1-A_Scoring_Model!$C$16),H93*(1+A_Scoring_Model!$C$16)))</f>
        <v>0</v>
      </c>
      <c r="J93" s="64"/>
      <c r="K93" s="64"/>
      <c r="L93" s="64"/>
      <c r="M93" s="64"/>
      <c r="N93" s="56" t="str">
        <f aca="false">IF(J93="","",IF($H93=$I93,IF(OR(AND($G93="Higher is better",J93&gt;=$H93),AND($G93="Lower is better",J93&lt;=$H93)),A_Scoring_Model!$C$14,0),IF($G93="Higher is better",IF(J93&gt;=$H93,A_Scoring_Model!$C$14,IF(J93&lt;$I93,0,A_Scoring_Model!$C$15+(A_Scoring_Model!$C$14-A_Scoring_Model!$C$15)*(J93-$I93)/($H93-$I93))),IF(J93&lt;=$H93,A_Scoring_Model!$C$14,IF(J93&gt;$I93,0,A_Scoring_Model!$C$15+(A_Scoring_Model!$C$14-A_Scoring_Model!$C$15)*($I93-J93)/($I93-$H93))))))</f>
        <v/>
      </c>
      <c r="O93" s="56" t="str">
        <f aca="false">IF(K93="","",IF($H93=$I93,IF(OR(AND($G93="Higher is better",K93&gt;=$H93),AND($G93="Lower is better",K93&lt;=$H93)),A_Scoring_Model!$C$14,0),IF($G93="Higher is better",IF(K93&gt;=$H93,A_Scoring_Model!$C$14,IF(K93&lt;$I93,0,A_Scoring_Model!$C$15+(A_Scoring_Model!$C$14-A_Scoring_Model!$C$15)*(K93-$I93)/($H93-$I93))),IF(K93&lt;=$H93,A_Scoring_Model!$C$14,IF(K93&gt;$I93,0,A_Scoring_Model!$C$15+(A_Scoring_Model!$C$14-A_Scoring_Model!$C$15)*($I93-K93)/($I93-$H93))))))</f>
        <v/>
      </c>
      <c r="P93" s="56" t="str">
        <f aca="false">IF(L93="","",IF($H93=$I93,IF(OR(AND($G93="Higher is better",L93&gt;=$H93),AND($G93="Lower is better",L93&lt;=$H93)),A_Scoring_Model!$C$14,0),IF($G93="Higher is better",IF(L93&gt;=$H93,A_Scoring_Model!$C$14,IF(L93&lt;$I93,0,A_Scoring_Model!$C$15+(A_Scoring_Model!$C$14-A_Scoring_Model!$C$15)*(L93-$I93)/($H93-$I93))),IF(L93&lt;=$H93,A_Scoring_Model!$C$14,IF(L93&gt;$I93,0,A_Scoring_Model!$C$15+(A_Scoring_Model!$C$14-A_Scoring_Model!$C$15)*($I93-L93)/($I93-$H93))))))</f>
        <v/>
      </c>
      <c r="Q93" s="56" t="str">
        <f aca="false">IF(M93="","",IF($H93=$I93,IF(OR(AND($G93="Higher is better",M93&gt;=$H93),AND($G93="Lower is better",M93&lt;=$H93)),A_Scoring_Model!$C$14,0),IF($G93="Higher is better",IF(M93&gt;=$H93,A_Scoring_Model!$C$14,IF(M93&lt;$I93,0,A_Scoring_Model!$C$15+(A_Scoring_Model!$C$14-A_Scoring_Model!$C$15)*(M93-$I93)/($H93-$I93))),IF(M93&lt;=$H93,A_Scoring_Model!$C$14,IF(M93&gt;$I93,0,A_Scoring_Model!$C$15+(A_Scoring_Model!$C$14-A_Scoring_Model!$C$15)*($I93-M93)/($I93-$H93))))))</f>
        <v/>
      </c>
    </row>
    <row r="94" customFormat="false" ht="23.85" hidden="false" customHeight="false" outlineLevel="0" collapsed="false">
      <c r="A94" s="51" t="str">
        <f aca="false">C_KPI_Benchmark!A94</f>
        <v>2.b-D6-17</v>
      </c>
      <c r="B94" s="52" t="str">
        <f aca="false">C_KPI_Benchmark!D94</f>
        <v>2.b</v>
      </c>
      <c r="C94" s="51" t="str">
        <f aca="false">C_KPI_Benchmark!E94</f>
        <v>Effort Estimator ML Model</v>
      </c>
      <c r="D94" s="52" t="str">
        <f aca="false">C_KPI_Benchmark!F94</f>
        <v>D6</v>
      </c>
      <c r="E94" s="51" t="str">
        <f aca="false">C_KPI_Benchmark!J94</f>
        <v>Documentation pack complete (README, I/O contract, model card, runbook)</v>
      </c>
      <c r="F94" s="52" t="str">
        <f aca="false">C_KPI_Benchmark!K94</f>
        <v>Yes/No</v>
      </c>
      <c r="G94" s="51" t="str">
        <f aca="false">C_KPI_Benchmark!L94</f>
        <v>Higher is better</v>
      </c>
      <c r="H94" s="60" t="n">
        <f aca="false">C_KPI_Benchmark!N94</f>
        <v>1</v>
      </c>
      <c r="I94" s="56" t="n">
        <f aca="false">IF(C_KPI_Benchmark!O94&lt;&gt;"",C_KPI_Benchmark!O94,IF(G94="Higher is better",H94*(1-A_Scoring_Model!$C$16),H94*(1+A_Scoring_Model!$C$16)))</f>
        <v>0.8</v>
      </c>
      <c r="J94" s="61"/>
      <c r="K94" s="61"/>
      <c r="L94" s="61"/>
      <c r="M94" s="61"/>
      <c r="N94" s="56" t="str">
        <f aca="false">IF(J94="","",IF($H94=$I94,IF(OR(AND($G94="Higher is better",J94&gt;=$H94),AND($G94="Lower is better",J94&lt;=$H94)),A_Scoring_Model!$C$14,0),IF($G94="Higher is better",IF(J94&gt;=$H94,A_Scoring_Model!$C$14,IF(J94&lt;$I94,0,A_Scoring_Model!$C$15+(A_Scoring_Model!$C$14-A_Scoring_Model!$C$15)*(J94-$I94)/($H94-$I94))),IF(J94&lt;=$H94,A_Scoring_Model!$C$14,IF(J94&gt;$I94,0,A_Scoring_Model!$C$15+(A_Scoring_Model!$C$14-A_Scoring_Model!$C$15)*($I94-J94)/($I94-$H94))))))</f>
        <v/>
      </c>
      <c r="O94" s="56" t="str">
        <f aca="false">IF(K94="","",IF($H94=$I94,IF(OR(AND($G94="Higher is better",K94&gt;=$H94),AND($G94="Lower is better",K94&lt;=$H94)),A_Scoring_Model!$C$14,0),IF($G94="Higher is better",IF(K94&gt;=$H94,A_Scoring_Model!$C$14,IF(K94&lt;$I94,0,A_Scoring_Model!$C$15+(A_Scoring_Model!$C$14-A_Scoring_Model!$C$15)*(K94-$I94)/($H94-$I94))),IF(K94&lt;=$H94,A_Scoring_Model!$C$14,IF(K94&gt;$I94,0,A_Scoring_Model!$C$15+(A_Scoring_Model!$C$14-A_Scoring_Model!$C$15)*($I94-K94)/($I94-$H94))))))</f>
        <v/>
      </c>
      <c r="P94" s="56" t="str">
        <f aca="false">IF(L94="","",IF($H94=$I94,IF(OR(AND($G94="Higher is better",L94&gt;=$H94),AND($G94="Lower is better",L94&lt;=$H94)),A_Scoring_Model!$C$14,0),IF($G94="Higher is better",IF(L94&gt;=$H94,A_Scoring_Model!$C$14,IF(L94&lt;$I94,0,A_Scoring_Model!$C$15+(A_Scoring_Model!$C$14-A_Scoring_Model!$C$15)*(L94-$I94)/($H94-$I94))),IF(L94&lt;=$H94,A_Scoring_Model!$C$14,IF(L94&gt;$I94,0,A_Scoring_Model!$C$15+(A_Scoring_Model!$C$14-A_Scoring_Model!$C$15)*($I94-L94)/($I94-$H94))))))</f>
        <v/>
      </c>
      <c r="Q94" s="56" t="str">
        <f aca="false">IF(M94="","",IF($H94=$I94,IF(OR(AND($G94="Higher is better",M94&gt;=$H94),AND($G94="Lower is better",M94&lt;=$H94)),A_Scoring_Model!$C$14,0),IF($G94="Higher is better",IF(M94&gt;=$H94,A_Scoring_Model!$C$14,IF(M94&lt;$I94,0,A_Scoring_Model!$C$15+(A_Scoring_Model!$C$14-A_Scoring_Model!$C$15)*(M94-$I94)/($H94-$I94))),IF(M94&lt;=$H94,A_Scoring_Model!$C$14,IF(M94&gt;$I94,0,A_Scoring_Model!$C$15+(A_Scoring_Model!$C$14-A_Scoring_Model!$C$15)*($I94-M94)/($I94-$H94))))))</f>
        <v/>
      </c>
    </row>
    <row r="95" customFormat="false" ht="15" hidden="false" customHeight="false" outlineLevel="0" collapsed="false">
      <c r="A95" s="51" t="str">
        <f aca="false">C_KPI_Benchmark!A95</f>
        <v>2.b-D6-18</v>
      </c>
      <c r="B95" s="52" t="str">
        <f aca="false">C_KPI_Benchmark!D95</f>
        <v>2.b</v>
      </c>
      <c r="C95" s="51" t="str">
        <f aca="false">C_KPI_Benchmark!E95</f>
        <v>Effort Estimator ML Model</v>
      </c>
      <c r="D95" s="52" t="str">
        <f aca="false">C_KPI_Benchmark!F95</f>
        <v>D6</v>
      </c>
      <c r="E95" s="51" t="str">
        <f aca="false">C_KPI_Benchmark!J95</f>
        <v>Named owner and support SLA</v>
      </c>
      <c r="F95" s="52" t="str">
        <f aca="false">C_KPI_Benchmark!K95</f>
        <v>Yes/No</v>
      </c>
      <c r="G95" s="51" t="str">
        <f aca="false">C_KPI_Benchmark!L95</f>
        <v>Higher is better</v>
      </c>
      <c r="H95" s="60" t="n">
        <f aca="false">C_KPI_Benchmark!N95</f>
        <v>1</v>
      </c>
      <c r="I95" s="56" t="n">
        <f aca="false">IF(C_KPI_Benchmark!O95&lt;&gt;"",C_KPI_Benchmark!O95,IF(G95="Higher is better",H95*(1-A_Scoring_Model!$C$16),H95*(1+A_Scoring_Model!$C$16)))</f>
        <v>0.8</v>
      </c>
      <c r="J95" s="61"/>
      <c r="K95" s="61"/>
      <c r="L95" s="61"/>
      <c r="M95" s="61"/>
      <c r="N95" s="56" t="str">
        <f aca="false">IF(J95="","",IF($H95=$I95,IF(OR(AND($G95="Higher is better",J95&gt;=$H95),AND($G95="Lower is better",J95&lt;=$H95)),A_Scoring_Model!$C$14,0),IF($G95="Higher is better",IF(J95&gt;=$H95,A_Scoring_Model!$C$14,IF(J95&lt;$I95,0,A_Scoring_Model!$C$15+(A_Scoring_Model!$C$14-A_Scoring_Model!$C$15)*(J95-$I95)/($H95-$I95))),IF(J95&lt;=$H95,A_Scoring_Model!$C$14,IF(J95&gt;$I95,0,A_Scoring_Model!$C$15+(A_Scoring_Model!$C$14-A_Scoring_Model!$C$15)*($I95-J95)/($I95-$H95))))))</f>
        <v/>
      </c>
      <c r="O95" s="56" t="str">
        <f aca="false">IF(K95="","",IF($H95=$I95,IF(OR(AND($G95="Higher is better",K95&gt;=$H95),AND($G95="Lower is better",K95&lt;=$H95)),A_Scoring_Model!$C$14,0),IF($G95="Higher is better",IF(K95&gt;=$H95,A_Scoring_Model!$C$14,IF(K95&lt;$I95,0,A_Scoring_Model!$C$15+(A_Scoring_Model!$C$14-A_Scoring_Model!$C$15)*(K95-$I95)/($H95-$I95))),IF(K95&lt;=$H95,A_Scoring_Model!$C$14,IF(K95&gt;$I95,0,A_Scoring_Model!$C$15+(A_Scoring_Model!$C$14-A_Scoring_Model!$C$15)*($I95-K95)/($I95-$H95))))))</f>
        <v/>
      </c>
      <c r="P95" s="56" t="str">
        <f aca="false">IF(L95="","",IF($H95=$I95,IF(OR(AND($G95="Higher is better",L95&gt;=$H95),AND($G95="Lower is better",L95&lt;=$H95)),A_Scoring_Model!$C$14,0),IF($G95="Higher is better",IF(L95&gt;=$H95,A_Scoring_Model!$C$14,IF(L95&lt;$I95,0,A_Scoring_Model!$C$15+(A_Scoring_Model!$C$14-A_Scoring_Model!$C$15)*(L95-$I95)/($H95-$I95))),IF(L95&lt;=$H95,A_Scoring_Model!$C$14,IF(L95&gt;$I95,0,A_Scoring_Model!$C$15+(A_Scoring_Model!$C$14-A_Scoring_Model!$C$15)*($I95-L95)/($I95-$H95))))))</f>
        <v/>
      </c>
      <c r="Q95" s="56" t="str">
        <f aca="false">IF(M95="","",IF($H95=$I95,IF(OR(AND($G95="Higher is better",M95&gt;=$H95),AND($G95="Lower is better",M95&lt;=$H95)),A_Scoring_Model!$C$14,0),IF($G95="Higher is better",IF(M95&gt;=$H95,A_Scoring_Model!$C$14,IF(M95&lt;$I95,0,A_Scoring_Model!$C$15+(A_Scoring_Model!$C$14-A_Scoring_Model!$C$15)*(M95-$I95)/($H95-$I95))),IF(M95&lt;=$H95,A_Scoring_Model!$C$14,IF(M95&gt;$I95,0,A_Scoring_Model!$C$15+(A_Scoring_Model!$C$14-A_Scoring_Model!$C$15)*($I95-M95)/($I95-$H95))))))</f>
        <v/>
      </c>
    </row>
    <row r="96" customFormat="false" ht="15" hidden="false" customHeight="false" outlineLevel="0" collapsed="false">
      <c r="A96" s="51" t="str">
        <f aca="false">C_KPI_Benchmark!A96</f>
        <v>2.c-D1-01</v>
      </c>
      <c r="B96" s="52" t="str">
        <f aca="false">C_KPI_Benchmark!D96</f>
        <v>2.c</v>
      </c>
      <c r="C96" s="51" t="str">
        <f aca="false">C_KPI_Benchmark!E96</f>
        <v>Risk Scoring &amp; Plan Generator</v>
      </c>
      <c r="D96" s="52" t="str">
        <f aca="false">C_KPI_Benchmark!F96</f>
        <v>D1</v>
      </c>
      <c r="E96" s="51" t="str">
        <f aca="false">C_KPI_Benchmark!J96</f>
        <v>Top-10 risk overlap with SME</v>
      </c>
      <c r="F96" s="52" t="str">
        <f aca="false">C_KPI_Benchmark!K96</f>
        <v>%</v>
      </c>
      <c r="G96" s="51" t="str">
        <f aca="false">C_KPI_Benchmark!L96</f>
        <v>Higher is better</v>
      </c>
      <c r="H96" s="53" t="n">
        <f aca="false">C_KPI_Benchmark!N96</f>
        <v>0.8</v>
      </c>
      <c r="I96" s="54" t="n">
        <f aca="false">IF(C_KPI_Benchmark!O96&lt;&gt;"",C_KPI_Benchmark!O96,IF(G96="Higher is better",H96*(1-A_Scoring_Model!$C$16),H96*(1+A_Scoring_Model!$C$16)))</f>
        <v>0.65</v>
      </c>
      <c r="J96" s="55"/>
      <c r="K96" s="55"/>
      <c r="L96" s="55"/>
      <c r="M96" s="55"/>
      <c r="N96" s="56" t="str">
        <f aca="false">IF(J96="","",IF($H96=$I96,IF(OR(AND($G96="Higher is better",J96&gt;=$H96),AND($G96="Lower is better",J96&lt;=$H96)),A_Scoring_Model!$C$14,0),IF($G96="Higher is better",IF(J96&gt;=$H96,A_Scoring_Model!$C$14,IF(J96&lt;$I96,0,A_Scoring_Model!$C$15+(A_Scoring_Model!$C$14-A_Scoring_Model!$C$15)*(J96-$I96)/($H96-$I96))),IF(J96&lt;=$H96,A_Scoring_Model!$C$14,IF(J96&gt;$I96,0,A_Scoring_Model!$C$15+(A_Scoring_Model!$C$14-A_Scoring_Model!$C$15)*($I96-J96)/($I96-$H96))))))</f>
        <v/>
      </c>
      <c r="O96" s="56" t="str">
        <f aca="false">IF(K96="","",IF($H96=$I96,IF(OR(AND($G96="Higher is better",K96&gt;=$H96),AND($G96="Lower is better",K96&lt;=$H96)),A_Scoring_Model!$C$14,0),IF($G96="Higher is better",IF(K96&gt;=$H96,A_Scoring_Model!$C$14,IF(K96&lt;$I96,0,A_Scoring_Model!$C$15+(A_Scoring_Model!$C$14-A_Scoring_Model!$C$15)*(K96-$I96)/($H96-$I96))),IF(K96&lt;=$H96,A_Scoring_Model!$C$14,IF(K96&gt;$I96,0,A_Scoring_Model!$C$15+(A_Scoring_Model!$C$14-A_Scoring_Model!$C$15)*($I96-K96)/($I96-$H96))))))</f>
        <v/>
      </c>
      <c r="P96" s="56" t="str">
        <f aca="false">IF(L96="","",IF($H96=$I96,IF(OR(AND($G96="Higher is better",L96&gt;=$H96),AND($G96="Lower is better",L96&lt;=$H96)),A_Scoring_Model!$C$14,0),IF($G96="Higher is better",IF(L96&gt;=$H96,A_Scoring_Model!$C$14,IF(L96&lt;$I96,0,A_Scoring_Model!$C$15+(A_Scoring_Model!$C$14-A_Scoring_Model!$C$15)*(L96-$I96)/($H96-$I96))),IF(L96&lt;=$H96,A_Scoring_Model!$C$14,IF(L96&gt;$I96,0,A_Scoring_Model!$C$15+(A_Scoring_Model!$C$14-A_Scoring_Model!$C$15)*($I96-L96)/($I96-$H96))))))</f>
        <v/>
      </c>
      <c r="Q96" s="56" t="str">
        <f aca="false">IF(M96="","",IF($H96=$I96,IF(OR(AND($G96="Higher is better",M96&gt;=$H96),AND($G96="Lower is better",M96&lt;=$H96)),A_Scoring_Model!$C$14,0),IF($G96="Higher is better",IF(M96&gt;=$H96,A_Scoring_Model!$C$14,IF(M96&lt;$I96,0,A_Scoring_Model!$C$15+(A_Scoring_Model!$C$14-A_Scoring_Model!$C$15)*(M96-$I96)/($H96-$I96))),IF(M96&lt;=$H96,A_Scoring_Model!$C$14,IF(M96&gt;$I96,0,A_Scoring_Model!$C$15+(A_Scoring_Model!$C$14-A_Scoring_Model!$C$15)*($I96-M96)/($I96-$H96))))))</f>
        <v/>
      </c>
    </row>
    <row r="97" customFormat="false" ht="15" hidden="false" customHeight="false" outlineLevel="0" collapsed="false">
      <c r="A97" s="51" t="str">
        <f aca="false">C_KPI_Benchmark!A97</f>
        <v>2.c-D1-02</v>
      </c>
      <c r="B97" s="52" t="str">
        <f aca="false">C_KPI_Benchmark!D97</f>
        <v>2.c</v>
      </c>
      <c r="C97" s="51" t="str">
        <f aca="false">C_KPI_Benchmark!E97</f>
        <v>Risk Scoring &amp; Plan Generator</v>
      </c>
      <c r="D97" s="52" t="str">
        <f aca="false">C_KPI_Benchmark!F97</f>
        <v>D1</v>
      </c>
      <c r="E97" s="51" t="str">
        <f aca="false">C_KPI_Benchmark!J97</f>
        <v>Plan section completeness</v>
      </c>
      <c r="F97" s="52" t="str">
        <f aca="false">C_KPI_Benchmark!K97</f>
        <v>%</v>
      </c>
      <c r="G97" s="51" t="str">
        <f aca="false">C_KPI_Benchmark!L97</f>
        <v>Higher is better</v>
      </c>
      <c r="H97" s="53" t="n">
        <f aca="false">C_KPI_Benchmark!N97</f>
        <v>0.95</v>
      </c>
      <c r="I97" s="54" t="n">
        <f aca="false">IF(C_KPI_Benchmark!O97&lt;&gt;"",C_KPI_Benchmark!O97,IF(G97="Higher is better",H97*(1-A_Scoring_Model!$C$16),H97*(1+A_Scoring_Model!$C$16)))</f>
        <v>0.85</v>
      </c>
      <c r="J97" s="55"/>
      <c r="K97" s="55"/>
      <c r="L97" s="55"/>
      <c r="M97" s="55"/>
      <c r="N97" s="56" t="str">
        <f aca="false">IF(J97="","",IF($H97=$I97,IF(OR(AND($G97="Higher is better",J97&gt;=$H97),AND($G97="Lower is better",J97&lt;=$H97)),A_Scoring_Model!$C$14,0),IF($G97="Higher is better",IF(J97&gt;=$H97,A_Scoring_Model!$C$14,IF(J97&lt;$I97,0,A_Scoring_Model!$C$15+(A_Scoring_Model!$C$14-A_Scoring_Model!$C$15)*(J97-$I97)/($H97-$I97))),IF(J97&lt;=$H97,A_Scoring_Model!$C$14,IF(J97&gt;$I97,0,A_Scoring_Model!$C$15+(A_Scoring_Model!$C$14-A_Scoring_Model!$C$15)*($I97-J97)/($I97-$H97))))))</f>
        <v/>
      </c>
      <c r="O97" s="56" t="str">
        <f aca="false">IF(K97="","",IF($H97=$I97,IF(OR(AND($G97="Higher is better",K97&gt;=$H97),AND($G97="Lower is better",K97&lt;=$H97)),A_Scoring_Model!$C$14,0),IF($G97="Higher is better",IF(K97&gt;=$H97,A_Scoring_Model!$C$14,IF(K97&lt;$I97,0,A_Scoring_Model!$C$15+(A_Scoring_Model!$C$14-A_Scoring_Model!$C$15)*(K97-$I97)/($H97-$I97))),IF(K97&lt;=$H97,A_Scoring_Model!$C$14,IF(K97&gt;$I97,0,A_Scoring_Model!$C$15+(A_Scoring_Model!$C$14-A_Scoring_Model!$C$15)*($I97-K97)/($I97-$H97))))))</f>
        <v/>
      </c>
      <c r="P97" s="56" t="str">
        <f aca="false">IF(L97="","",IF($H97=$I97,IF(OR(AND($G97="Higher is better",L97&gt;=$H97),AND($G97="Lower is better",L97&lt;=$H97)),A_Scoring_Model!$C$14,0),IF($G97="Higher is better",IF(L97&gt;=$H97,A_Scoring_Model!$C$14,IF(L97&lt;$I97,0,A_Scoring_Model!$C$15+(A_Scoring_Model!$C$14-A_Scoring_Model!$C$15)*(L97-$I97)/($H97-$I97))),IF(L97&lt;=$H97,A_Scoring_Model!$C$14,IF(L97&gt;$I97,0,A_Scoring_Model!$C$15+(A_Scoring_Model!$C$14-A_Scoring_Model!$C$15)*($I97-L97)/($I97-$H97))))))</f>
        <v/>
      </c>
      <c r="Q97" s="56" t="str">
        <f aca="false">IF(M97="","",IF($H97=$I97,IF(OR(AND($G97="Higher is better",M97&gt;=$H97),AND($G97="Lower is better",M97&lt;=$H97)),A_Scoring_Model!$C$14,0),IF($G97="Higher is better",IF(M97&gt;=$H97,A_Scoring_Model!$C$14,IF(M97&lt;$I97,0,A_Scoring_Model!$C$15+(A_Scoring_Model!$C$14-A_Scoring_Model!$C$15)*(M97-$I97)/($H97-$I97))),IF(M97&lt;=$H97,A_Scoring_Model!$C$14,IF(M97&gt;$I97,0,A_Scoring_Model!$C$15+(A_Scoring_Model!$C$14-A_Scoring_Model!$C$15)*($I97-M97)/($I97-$H97))))))</f>
        <v/>
      </c>
    </row>
    <row r="98" customFormat="false" ht="15" hidden="false" customHeight="false" outlineLevel="0" collapsed="false">
      <c r="A98" s="51" t="str">
        <f aca="false">C_KPI_Benchmark!A98</f>
        <v>2.c-D1-03</v>
      </c>
      <c r="B98" s="52" t="str">
        <f aca="false">C_KPI_Benchmark!D98</f>
        <v>2.c</v>
      </c>
      <c r="C98" s="51" t="str">
        <f aca="false">C_KPI_Benchmark!E98</f>
        <v>Risk Scoring &amp; Plan Generator</v>
      </c>
      <c r="D98" s="52" t="str">
        <f aca="false">C_KPI_Benchmark!F98</f>
        <v>D1</v>
      </c>
      <c r="E98" s="51" t="str">
        <f aca="false">C_KPI_Benchmark!J98</f>
        <v>Mitigation relevance (SME)</v>
      </c>
      <c r="F98" s="52" t="str">
        <f aca="false">C_KPI_Benchmark!K98</f>
        <v>/5</v>
      </c>
      <c r="G98" s="51" t="str">
        <f aca="false">C_KPI_Benchmark!L98</f>
        <v>Higher is better</v>
      </c>
      <c r="H98" s="65" t="n">
        <f aca="false">C_KPI_Benchmark!N98</f>
        <v>4</v>
      </c>
      <c r="I98" s="66" t="n">
        <f aca="false">IF(C_KPI_Benchmark!O98&lt;&gt;"",C_KPI_Benchmark!O98,IF(G98="Higher is better",H98*(1-A_Scoring_Model!$C$16),H98*(1+A_Scoring_Model!$C$16)))</f>
        <v>3.3</v>
      </c>
      <c r="J98" s="67"/>
      <c r="K98" s="67"/>
      <c r="L98" s="67"/>
      <c r="M98" s="67"/>
      <c r="N98" s="56" t="str">
        <f aca="false">IF(J98="","",IF($H98=$I98,IF(OR(AND($G98="Higher is better",J98&gt;=$H98),AND($G98="Lower is better",J98&lt;=$H98)),A_Scoring_Model!$C$14,0),IF($G98="Higher is better",IF(J98&gt;=$H98,A_Scoring_Model!$C$14,IF(J98&lt;$I98,0,A_Scoring_Model!$C$15+(A_Scoring_Model!$C$14-A_Scoring_Model!$C$15)*(J98-$I98)/($H98-$I98))),IF(J98&lt;=$H98,A_Scoring_Model!$C$14,IF(J98&gt;$I98,0,A_Scoring_Model!$C$15+(A_Scoring_Model!$C$14-A_Scoring_Model!$C$15)*($I98-J98)/($I98-$H98))))))</f>
        <v/>
      </c>
      <c r="O98" s="56" t="str">
        <f aca="false">IF(K98="","",IF($H98=$I98,IF(OR(AND($G98="Higher is better",K98&gt;=$H98),AND($G98="Lower is better",K98&lt;=$H98)),A_Scoring_Model!$C$14,0),IF($G98="Higher is better",IF(K98&gt;=$H98,A_Scoring_Model!$C$14,IF(K98&lt;$I98,0,A_Scoring_Model!$C$15+(A_Scoring_Model!$C$14-A_Scoring_Model!$C$15)*(K98-$I98)/($H98-$I98))),IF(K98&lt;=$H98,A_Scoring_Model!$C$14,IF(K98&gt;$I98,0,A_Scoring_Model!$C$15+(A_Scoring_Model!$C$14-A_Scoring_Model!$C$15)*($I98-K98)/($I98-$H98))))))</f>
        <v/>
      </c>
      <c r="P98" s="56" t="str">
        <f aca="false">IF(L98="","",IF($H98=$I98,IF(OR(AND($G98="Higher is better",L98&gt;=$H98),AND($G98="Lower is better",L98&lt;=$H98)),A_Scoring_Model!$C$14,0),IF($G98="Higher is better",IF(L98&gt;=$H98,A_Scoring_Model!$C$14,IF(L98&lt;$I98,0,A_Scoring_Model!$C$15+(A_Scoring_Model!$C$14-A_Scoring_Model!$C$15)*(L98-$I98)/($H98-$I98))),IF(L98&lt;=$H98,A_Scoring_Model!$C$14,IF(L98&gt;$I98,0,A_Scoring_Model!$C$15+(A_Scoring_Model!$C$14-A_Scoring_Model!$C$15)*($I98-L98)/($I98-$H98))))))</f>
        <v/>
      </c>
      <c r="Q98" s="56" t="str">
        <f aca="false">IF(M98="","",IF($H98=$I98,IF(OR(AND($G98="Higher is better",M98&gt;=$H98),AND($G98="Lower is better",M98&lt;=$H98)),A_Scoring_Model!$C$14,0),IF($G98="Higher is better",IF(M98&gt;=$H98,A_Scoring_Model!$C$14,IF(M98&lt;$I98,0,A_Scoring_Model!$C$15+(A_Scoring_Model!$C$14-A_Scoring_Model!$C$15)*(M98-$I98)/($H98-$I98))),IF(M98&lt;=$H98,A_Scoring_Model!$C$14,IF(M98&gt;$I98,0,A_Scoring_Model!$C$15+(A_Scoring_Model!$C$14-A_Scoring_Model!$C$15)*($I98-M98)/($I98-$H98))))))</f>
        <v/>
      </c>
    </row>
    <row r="99" customFormat="false" ht="15" hidden="false" customHeight="false" outlineLevel="0" collapsed="false">
      <c r="A99" s="51" t="str">
        <f aca="false">C_KPI_Benchmark!A99</f>
        <v>2.c-D2-04</v>
      </c>
      <c r="B99" s="52" t="str">
        <f aca="false">C_KPI_Benchmark!D99</f>
        <v>2.c</v>
      </c>
      <c r="C99" s="51" t="str">
        <f aca="false">C_KPI_Benchmark!E99</f>
        <v>Risk Scoring &amp; Plan Generator</v>
      </c>
      <c r="D99" s="52" t="str">
        <f aca="false">C_KPI_Benchmark!F99</f>
        <v>D2</v>
      </c>
      <c r="E99" s="51" t="str">
        <f aca="false">C_KPI_Benchmark!J99</f>
        <v>FMEA scales and weights in config</v>
      </c>
      <c r="F99" s="52" t="str">
        <f aca="false">C_KPI_Benchmark!K99</f>
        <v>Yes/No</v>
      </c>
      <c r="G99" s="51" t="str">
        <f aca="false">C_KPI_Benchmark!L99</f>
        <v>Higher is better</v>
      </c>
      <c r="H99" s="60" t="n">
        <f aca="false">C_KPI_Benchmark!N99</f>
        <v>1</v>
      </c>
      <c r="I99" s="56" t="n">
        <f aca="false">IF(C_KPI_Benchmark!O99&lt;&gt;"",C_KPI_Benchmark!O99,IF(G99="Higher is better",H99*(1-A_Scoring_Model!$C$16),H99*(1+A_Scoring_Model!$C$16)))</f>
        <v>0.8</v>
      </c>
      <c r="J99" s="61"/>
      <c r="K99" s="61"/>
      <c r="L99" s="61"/>
      <c r="M99" s="61"/>
      <c r="N99" s="56" t="str">
        <f aca="false">IF(J99="","",IF($H99=$I99,IF(OR(AND($G99="Higher is better",J99&gt;=$H99),AND($G99="Lower is better",J99&lt;=$H99)),A_Scoring_Model!$C$14,0),IF($G99="Higher is better",IF(J99&gt;=$H99,A_Scoring_Model!$C$14,IF(J99&lt;$I99,0,A_Scoring_Model!$C$15+(A_Scoring_Model!$C$14-A_Scoring_Model!$C$15)*(J99-$I99)/($H99-$I99))),IF(J99&lt;=$H99,A_Scoring_Model!$C$14,IF(J99&gt;$I99,0,A_Scoring_Model!$C$15+(A_Scoring_Model!$C$14-A_Scoring_Model!$C$15)*($I99-J99)/($I99-$H99))))))</f>
        <v/>
      </c>
      <c r="O99" s="56" t="str">
        <f aca="false">IF(K99="","",IF($H99=$I99,IF(OR(AND($G99="Higher is better",K99&gt;=$H99),AND($G99="Lower is better",K99&lt;=$H99)),A_Scoring_Model!$C$14,0),IF($G99="Higher is better",IF(K99&gt;=$H99,A_Scoring_Model!$C$14,IF(K99&lt;$I99,0,A_Scoring_Model!$C$15+(A_Scoring_Model!$C$14-A_Scoring_Model!$C$15)*(K99-$I99)/($H99-$I99))),IF(K99&lt;=$H99,A_Scoring_Model!$C$14,IF(K99&gt;$I99,0,A_Scoring_Model!$C$15+(A_Scoring_Model!$C$14-A_Scoring_Model!$C$15)*($I99-K99)/($I99-$H99))))))</f>
        <v/>
      </c>
      <c r="P99" s="56" t="str">
        <f aca="false">IF(L99="","",IF($H99=$I99,IF(OR(AND($G99="Higher is better",L99&gt;=$H99),AND($G99="Lower is better",L99&lt;=$H99)),A_Scoring_Model!$C$14,0),IF($G99="Higher is better",IF(L99&gt;=$H99,A_Scoring_Model!$C$14,IF(L99&lt;$I99,0,A_Scoring_Model!$C$15+(A_Scoring_Model!$C$14-A_Scoring_Model!$C$15)*(L99-$I99)/($H99-$I99))),IF(L99&lt;=$H99,A_Scoring_Model!$C$14,IF(L99&gt;$I99,0,A_Scoring_Model!$C$15+(A_Scoring_Model!$C$14-A_Scoring_Model!$C$15)*($I99-L99)/($I99-$H99))))))</f>
        <v/>
      </c>
      <c r="Q99" s="56" t="str">
        <f aca="false">IF(M99="","",IF($H99=$I99,IF(OR(AND($G99="Higher is better",M99&gt;=$H99),AND($G99="Lower is better",M99&lt;=$H99)),A_Scoring_Model!$C$14,0),IF($G99="Higher is better",IF(M99&gt;=$H99,A_Scoring_Model!$C$14,IF(M99&lt;$I99,0,A_Scoring_Model!$C$15+(A_Scoring_Model!$C$14-A_Scoring_Model!$C$15)*(M99-$I99)/($H99-$I99))),IF(M99&lt;=$H99,A_Scoring_Model!$C$14,IF(M99&gt;$I99,0,A_Scoring_Model!$C$15+(A_Scoring_Model!$C$14-A_Scoring_Model!$C$15)*($I99-M99)/($I99-$H99))))))</f>
        <v/>
      </c>
    </row>
    <row r="100" customFormat="false" ht="23.85" hidden="false" customHeight="false" outlineLevel="0" collapsed="false">
      <c r="A100" s="51" t="str">
        <f aca="false">C_KPI_Benchmark!A100</f>
        <v>2.c-D2-05</v>
      </c>
      <c r="B100" s="52" t="str">
        <f aca="false">C_KPI_Benchmark!D100</f>
        <v>2.c</v>
      </c>
      <c r="C100" s="51" t="str">
        <f aca="false">C_KPI_Benchmark!E100</f>
        <v>Risk Scoring &amp; Plan Generator</v>
      </c>
      <c r="D100" s="52" t="str">
        <f aca="false">C_KPI_Benchmark!F100</f>
        <v>D2</v>
      </c>
      <c r="E100" s="51" t="str">
        <f aca="false">C_KPI_Benchmark!J100</f>
        <v>Product lines supported with ≤10% efficacy drop (NVMe SSD, UFS, eMMC/uSD, PSSD)</v>
      </c>
      <c r="F100" s="52" t="str">
        <f aca="false">C_KPI_Benchmark!K100</f>
        <v>count</v>
      </c>
      <c r="G100" s="51" t="str">
        <f aca="false">C_KPI_Benchmark!L100</f>
        <v>Higher is better</v>
      </c>
      <c r="H100" s="62" t="n">
        <f aca="false">C_KPI_Benchmark!N100</f>
        <v>3</v>
      </c>
      <c r="I100" s="63" t="n">
        <f aca="false">IF(C_KPI_Benchmark!O100&lt;&gt;"",C_KPI_Benchmark!O100,IF(G100="Higher is better",H100*(1-A_Scoring_Model!$C$16),H100*(1+A_Scoring_Model!$C$16)))</f>
        <v>2</v>
      </c>
      <c r="J100" s="64"/>
      <c r="K100" s="64"/>
      <c r="L100" s="64"/>
      <c r="M100" s="64"/>
      <c r="N100" s="56" t="str">
        <f aca="false">IF(J100="","",IF($H100=$I100,IF(OR(AND($G100="Higher is better",J100&gt;=$H100),AND($G100="Lower is better",J100&lt;=$H100)),A_Scoring_Model!$C$14,0),IF($G100="Higher is better",IF(J100&gt;=$H100,A_Scoring_Model!$C$14,IF(J100&lt;$I100,0,A_Scoring_Model!$C$15+(A_Scoring_Model!$C$14-A_Scoring_Model!$C$15)*(J100-$I100)/($H100-$I100))),IF(J100&lt;=$H100,A_Scoring_Model!$C$14,IF(J100&gt;$I100,0,A_Scoring_Model!$C$15+(A_Scoring_Model!$C$14-A_Scoring_Model!$C$15)*($I100-J100)/($I100-$H100))))))</f>
        <v/>
      </c>
      <c r="O100" s="56" t="str">
        <f aca="false">IF(K100="","",IF($H100=$I100,IF(OR(AND($G100="Higher is better",K100&gt;=$H100),AND($G100="Lower is better",K100&lt;=$H100)),A_Scoring_Model!$C$14,0),IF($G100="Higher is better",IF(K100&gt;=$H100,A_Scoring_Model!$C$14,IF(K100&lt;$I100,0,A_Scoring_Model!$C$15+(A_Scoring_Model!$C$14-A_Scoring_Model!$C$15)*(K100-$I100)/($H100-$I100))),IF(K100&lt;=$H100,A_Scoring_Model!$C$14,IF(K100&gt;$I100,0,A_Scoring_Model!$C$15+(A_Scoring_Model!$C$14-A_Scoring_Model!$C$15)*($I100-K100)/($I100-$H100))))))</f>
        <v/>
      </c>
      <c r="P100" s="56" t="str">
        <f aca="false">IF(L100="","",IF($H100=$I100,IF(OR(AND($G100="Higher is better",L100&gt;=$H100),AND($G100="Lower is better",L100&lt;=$H100)),A_Scoring_Model!$C$14,0),IF($G100="Higher is better",IF(L100&gt;=$H100,A_Scoring_Model!$C$14,IF(L100&lt;$I100,0,A_Scoring_Model!$C$15+(A_Scoring_Model!$C$14-A_Scoring_Model!$C$15)*(L100-$I100)/($H100-$I100))),IF(L100&lt;=$H100,A_Scoring_Model!$C$14,IF(L100&gt;$I100,0,A_Scoring_Model!$C$15+(A_Scoring_Model!$C$14-A_Scoring_Model!$C$15)*($I100-L100)/($I100-$H100))))))</f>
        <v/>
      </c>
      <c r="Q100" s="56" t="str">
        <f aca="false">IF(M100="","",IF($H100=$I100,IF(OR(AND($G100="Higher is better",M100&gt;=$H100),AND($G100="Lower is better",M100&lt;=$H100)),A_Scoring_Model!$C$14,0),IF($G100="Higher is better",IF(M100&gt;=$H100,A_Scoring_Model!$C$14,IF(M100&lt;$I100,0,A_Scoring_Model!$C$15+(A_Scoring_Model!$C$14-A_Scoring_Model!$C$15)*(M100-$I100)/($H100-$I100))),IF(M100&lt;=$H100,A_Scoring_Model!$C$14,IF(M100&gt;$I100,0,A_Scoring_Model!$C$15+(A_Scoring_Model!$C$14-A_Scoring_Model!$C$15)*($I100-M100)/($I100-$H100))))))</f>
        <v/>
      </c>
    </row>
    <row r="101" customFormat="false" ht="15" hidden="false" customHeight="false" outlineLevel="0" collapsed="false">
      <c r="A101" s="51" t="str">
        <f aca="false">C_KPI_Benchmark!A101</f>
        <v>2.c-D2-06</v>
      </c>
      <c r="B101" s="52" t="str">
        <f aca="false">C_KPI_Benchmark!D101</f>
        <v>2.c</v>
      </c>
      <c r="C101" s="51" t="str">
        <f aca="false">C_KPI_Benchmark!E101</f>
        <v>Risk Scoring &amp; Plan Generator</v>
      </c>
      <c r="D101" s="52" t="str">
        <f aca="false">C_KPI_Benchmark!F101</f>
        <v>D2</v>
      </c>
      <c r="E101" s="51" t="str">
        <f aca="false">C_KPI_Benchmark!J101</f>
        <v>Uses Zion shared services instead of re-implementing them</v>
      </c>
      <c r="F101" s="52" t="str">
        <f aca="false">C_KPI_Benchmark!K101</f>
        <v>Yes/No</v>
      </c>
      <c r="G101" s="51" t="str">
        <f aca="false">C_KPI_Benchmark!L101</f>
        <v>Higher is better</v>
      </c>
      <c r="H101" s="60" t="n">
        <f aca="false">C_KPI_Benchmark!N101</f>
        <v>1</v>
      </c>
      <c r="I101" s="56" t="n">
        <f aca="false">IF(C_KPI_Benchmark!O101&lt;&gt;"",C_KPI_Benchmark!O101,IF(G101="Higher is better",H101*(1-A_Scoring_Model!$C$16),H101*(1+A_Scoring_Model!$C$16)))</f>
        <v>0.8</v>
      </c>
      <c r="J101" s="61"/>
      <c r="K101" s="61"/>
      <c r="L101" s="61"/>
      <c r="M101" s="61"/>
      <c r="N101" s="56" t="str">
        <f aca="false">IF(J101="","",IF($H101=$I101,IF(OR(AND($G101="Higher is better",J101&gt;=$H101),AND($G101="Lower is better",J101&lt;=$H101)),A_Scoring_Model!$C$14,0),IF($G101="Higher is better",IF(J101&gt;=$H101,A_Scoring_Model!$C$14,IF(J101&lt;$I101,0,A_Scoring_Model!$C$15+(A_Scoring_Model!$C$14-A_Scoring_Model!$C$15)*(J101-$I101)/($H101-$I101))),IF(J101&lt;=$H101,A_Scoring_Model!$C$14,IF(J101&gt;$I101,0,A_Scoring_Model!$C$15+(A_Scoring_Model!$C$14-A_Scoring_Model!$C$15)*($I101-J101)/($I101-$H101))))))</f>
        <v/>
      </c>
      <c r="O101" s="56" t="str">
        <f aca="false">IF(K101="","",IF($H101=$I101,IF(OR(AND($G101="Higher is better",K101&gt;=$H101),AND($G101="Lower is better",K101&lt;=$H101)),A_Scoring_Model!$C$14,0),IF($G101="Higher is better",IF(K101&gt;=$H101,A_Scoring_Model!$C$14,IF(K101&lt;$I101,0,A_Scoring_Model!$C$15+(A_Scoring_Model!$C$14-A_Scoring_Model!$C$15)*(K101-$I101)/($H101-$I101))),IF(K101&lt;=$H101,A_Scoring_Model!$C$14,IF(K101&gt;$I101,0,A_Scoring_Model!$C$15+(A_Scoring_Model!$C$14-A_Scoring_Model!$C$15)*($I101-K101)/($I101-$H101))))))</f>
        <v/>
      </c>
      <c r="P101" s="56" t="str">
        <f aca="false">IF(L101="","",IF($H101=$I101,IF(OR(AND($G101="Higher is better",L101&gt;=$H101),AND($G101="Lower is better",L101&lt;=$H101)),A_Scoring_Model!$C$14,0),IF($G101="Higher is better",IF(L101&gt;=$H101,A_Scoring_Model!$C$14,IF(L101&lt;$I101,0,A_Scoring_Model!$C$15+(A_Scoring_Model!$C$14-A_Scoring_Model!$C$15)*(L101-$I101)/($H101-$I101))),IF(L101&lt;=$H101,A_Scoring_Model!$C$14,IF(L101&gt;$I101,0,A_Scoring_Model!$C$15+(A_Scoring_Model!$C$14-A_Scoring_Model!$C$15)*($I101-L101)/($I101-$H101))))))</f>
        <v/>
      </c>
      <c r="Q101" s="56" t="str">
        <f aca="false">IF(M101="","",IF($H101=$I101,IF(OR(AND($G101="Higher is better",M101&gt;=$H101),AND($G101="Lower is better",M101&lt;=$H101)),A_Scoring_Model!$C$14,0),IF($G101="Higher is better",IF(M101&gt;=$H101,A_Scoring_Model!$C$14,IF(M101&lt;$I101,0,A_Scoring_Model!$C$15+(A_Scoring_Model!$C$14-A_Scoring_Model!$C$15)*(M101-$I101)/($H101-$I101))),IF(M101&lt;=$H101,A_Scoring_Model!$C$14,IF(M101&gt;$I101,0,A_Scoring_Model!$C$15+(A_Scoring_Model!$C$14-A_Scoring_Model!$C$15)*($I101-M101)/($I101-$H101))))))</f>
        <v/>
      </c>
    </row>
    <row r="102" customFormat="false" ht="15" hidden="false" customHeight="false" outlineLevel="0" collapsed="false">
      <c r="A102" s="51" t="str">
        <f aca="false">C_KPI_Benchmark!A102</f>
        <v>2.c-D3-07</v>
      </c>
      <c r="B102" s="52" t="str">
        <f aca="false">C_KPI_Benchmark!D102</f>
        <v>2.c</v>
      </c>
      <c r="C102" s="51" t="str">
        <f aca="false">C_KPI_Benchmark!E102</f>
        <v>Risk Scoring &amp; Plan Generator</v>
      </c>
      <c r="D102" s="52" t="str">
        <f aca="false">C_KPI_Benchmark!F102</f>
        <v>D3</v>
      </c>
      <c r="E102" s="51" t="str">
        <f aca="false">C_KPI_Benchmark!J102</f>
        <v>Plan generation for 200 features</v>
      </c>
      <c r="F102" s="52" t="str">
        <f aca="false">C_KPI_Benchmark!K102</f>
        <v>min</v>
      </c>
      <c r="G102" s="51" t="str">
        <f aca="false">C_KPI_Benchmark!L102</f>
        <v>Lower is better</v>
      </c>
      <c r="H102" s="62" t="n">
        <f aca="false">C_KPI_Benchmark!N102</f>
        <v>5</v>
      </c>
      <c r="I102" s="63" t="n">
        <f aca="false">IF(C_KPI_Benchmark!O102&lt;&gt;"",C_KPI_Benchmark!O102,IF(G102="Higher is better",H102*(1-A_Scoring_Model!$C$16),H102*(1+A_Scoring_Model!$C$16)))</f>
        <v>6</v>
      </c>
      <c r="J102" s="64"/>
      <c r="K102" s="64"/>
      <c r="L102" s="64"/>
      <c r="M102" s="64"/>
      <c r="N102" s="56" t="str">
        <f aca="false">IF(J102="","",IF($H102=$I102,IF(OR(AND($G102="Higher is better",J102&gt;=$H102),AND($G102="Lower is better",J102&lt;=$H102)),A_Scoring_Model!$C$14,0),IF($G102="Higher is better",IF(J102&gt;=$H102,A_Scoring_Model!$C$14,IF(J102&lt;$I102,0,A_Scoring_Model!$C$15+(A_Scoring_Model!$C$14-A_Scoring_Model!$C$15)*(J102-$I102)/($H102-$I102))),IF(J102&lt;=$H102,A_Scoring_Model!$C$14,IF(J102&gt;$I102,0,A_Scoring_Model!$C$15+(A_Scoring_Model!$C$14-A_Scoring_Model!$C$15)*($I102-J102)/($I102-$H102))))))</f>
        <v/>
      </c>
      <c r="O102" s="56" t="str">
        <f aca="false">IF(K102="","",IF($H102=$I102,IF(OR(AND($G102="Higher is better",K102&gt;=$H102),AND($G102="Lower is better",K102&lt;=$H102)),A_Scoring_Model!$C$14,0),IF($G102="Higher is better",IF(K102&gt;=$H102,A_Scoring_Model!$C$14,IF(K102&lt;$I102,0,A_Scoring_Model!$C$15+(A_Scoring_Model!$C$14-A_Scoring_Model!$C$15)*(K102-$I102)/($H102-$I102))),IF(K102&lt;=$H102,A_Scoring_Model!$C$14,IF(K102&gt;$I102,0,A_Scoring_Model!$C$15+(A_Scoring_Model!$C$14-A_Scoring_Model!$C$15)*($I102-K102)/($I102-$H102))))))</f>
        <v/>
      </c>
      <c r="P102" s="56" t="str">
        <f aca="false">IF(L102="","",IF($H102=$I102,IF(OR(AND($G102="Higher is better",L102&gt;=$H102),AND($G102="Lower is better",L102&lt;=$H102)),A_Scoring_Model!$C$14,0),IF($G102="Higher is better",IF(L102&gt;=$H102,A_Scoring_Model!$C$14,IF(L102&lt;$I102,0,A_Scoring_Model!$C$15+(A_Scoring_Model!$C$14-A_Scoring_Model!$C$15)*(L102-$I102)/($H102-$I102))),IF(L102&lt;=$H102,A_Scoring_Model!$C$14,IF(L102&gt;$I102,0,A_Scoring_Model!$C$15+(A_Scoring_Model!$C$14-A_Scoring_Model!$C$15)*($I102-L102)/($I102-$H102))))))</f>
        <v/>
      </c>
      <c r="Q102" s="56" t="str">
        <f aca="false">IF(M102="","",IF($H102=$I102,IF(OR(AND($G102="Higher is better",M102&gt;=$H102),AND($G102="Lower is better",M102&lt;=$H102)),A_Scoring_Model!$C$14,0),IF($G102="Higher is better",IF(M102&gt;=$H102,A_Scoring_Model!$C$14,IF(M102&lt;$I102,0,A_Scoring_Model!$C$15+(A_Scoring_Model!$C$14-A_Scoring_Model!$C$15)*(M102-$I102)/($H102-$I102))),IF(M102&lt;=$H102,A_Scoring_Model!$C$14,IF(M102&gt;$I102,0,A_Scoring_Model!$C$15+(A_Scoring_Model!$C$14-A_Scoring_Model!$C$15)*($I102-M102)/($I102-$H102))))))</f>
        <v/>
      </c>
    </row>
    <row r="103" customFormat="false" ht="15" hidden="false" customHeight="false" outlineLevel="0" collapsed="false">
      <c r="A103" s="51" t="str">
        <f aca="false">C_KPI_Benchmark!A103</f>
        <v>2.c-D3-08</v>
      </c>
      <c r="B103" s="52" t="str">
        <f aca="false">C_KPI_Benchmark!D103</f>
        <v>2.c</v>
      </c>
      <c r="C103" s="51" t="str">
        <f aca="false">C_KPI_Benchmark!E103</f>
        <v>Risk Scoring &amp; Plan Generator</v>
      </c>
      <c r="D103" s="52" t="str">
        <f aca="false">C_KPI_Benchmark!F103</f>
        <v>D3</v>
      </c>
      <c r="E103" s="51" t="str">
        <f aca="false">C_KPI_Benchmark!J103</f>
        <v>Latency degradation at 10× load</v>
      </c>
      <c r="F103" s="52" t="str">
        <f aca="false">C_KPI_Benchmark!K103</f>
        <v>%</v>
      </c>
      <c r="G103" s="51" t="str">
        <f aca="false">C_KPI_Benchmark!L103</f>
        <v>Lower is better</v>
      </c>
      <c r="H103" s="53" t="n">
        <f aca="false">C_KPI_Benchmark!N103</f>
        <v>0.2</v>
      </c>
      <c r="I103" s="54" t="n">
        <f aca="false">IF(C_KPI_Benchmark!O103&lt;&gt;"",C_KPI_Benchmark!O103,IF(G103="Higher is better",H103*(1-A_Scoring_Model!$C$16),H103*(1+A_Scoring_Model!$C$16)))</f>
        <v>0.4</v>
      </c>
      <c r="J103" s="55"/>
      <c r="K103" s="55"/>
      <c r="L103" s="55"/>
      <c r="M103" s="55"/>
      <c r="N103" s="56" t="str">
        <f aca="false">IF(J103="","",IF($H103=$I103,IF(OR(AND($G103="Higher is better",J103&gt;=$H103),AND($G103="Lower is better",J103&lt;=$H103)),A_Scoring_Model!$C$14,0),IF($G103="Higher is better",IF(J103&gt;=$H103,A_Scoring_Model!$C$14,IF(J103&lt;$I103,0,A_Scoring_Model!$C$15+(A_Scoring_Model!$C$14-A_Scoring_Model!$C$15)*(J103-$I103)/($H103-$I103))),IF(J103&lt;=$H103,A_Scoring_Model!$C$14,IF(J103&gt;$I103,0,A_Scoring_Model!$C$15+(A_Scoring_Model!$C$14-A_Scoring_Model!$C$15)*($I103-J103)/($I103-$H103))))))</f>
        <v/>
      </c>
      <c r="O103" s="56" t="str">
        <f aca="false">IF(K103="","",IF($H103=$I103,IF(OR(AND($G103="Higher is better",K103&gt;=$H103),AND($G103="Lower is better",K103&lt;=$H103)),A_Scoring_Model!$C$14,0),IF($G103="Higher is better",IF(K103&gt;=$H103,A_Scoring_Model!$C$14,IF(K103&lt;$I103,0,A_Scoring_Model!$C$15+(A_Scoring_Model!$C$14-A_Scoring_Model!$C$15)*(K103-$I103)/($H103-$I103))),IF(K103&lt;=$H103,A_Scoring_Model!$C$14,IF(K103&gt;$I103,0,A_Scoring_Model!$C$15+(A_Scoring_Model!$C$14-A_Scoring_Model!$C$15)*($I103-K103)/($I103-$H103))))))</f>
        <v/>
      </c>
      <c r="P103" s="56" t="str">
        <f aca="false">IF(L103="","",IF($H103=$I103,IF(OR(AND($G103="Higher is better",L103&gt;=$H103),AND($G103="Lower is better",L103&lt;=$H103)),A_Scoring_Model!$C$14,0),IF($G103="Higher is better",IF(L103&gt;=$H103,A_Scoring_Model!$C$14,IF(L103&lt;$I103,0,A_Scoring_Model!$C$15+(A_Scoring_Model!$C$14-A_Scoring_Model!$C$15)*(L103-$I103)/($H103-$I103))),IF(L103&lt;=$H103,A_Scoring_Model!$C$14,IF(L103&gt;$I103,0,A_Scoring_Model!$C$15+(A_Scoring_Model!$C$14-A_Scoring_Model!$C$15)*($I103-L103)/($I103-$H103))))))</f>
        <v/>
      </c>
      <c r="Q103" s="56" t="str">
        <f aca="false">IF(M103="","",IF($H103=$I103,IF(OR(AND($G103="Higher is better",M103&gt;=$H103),AND($G103="Lower is better",M103&lt;=$H103)),A_Scoring_Model!$C$14,0),IF($G103="Higher is better",IF(M103&gt;=$H103,A_Scoring_Model!$C$14,IF(M103&lt;$I103,0,A_Scoring_Model!$C$15+(A_Scoring_Model!$C$14-A_Scoring_Model!$C$15)*(M103-$I103)/($H103-$I103))),IF(M103&lt;=$H103,A_Scoring_Model!$C$14,IF(M103&gt;$I103,0,A_Scoring_Model!$C$15+(A_Scoring_Model!$C$14-A_Scoring_Model!$C$15)*($I103-M103)/($I103-$H103))))))</f>
        <v/>
      </c>
    </row>
    <row r="104" customFormat="false" ht="15" hidden="false" customHeight="false" outlineLevel="0" collapsed="false">
      <c r="A104" s="51" t="str">
        <f aca="false">C_KPI_Benchmark!A104</f>
        <v>2.c-D4-09</v>
      </c>
      <c r="B104" s="52" t="str">
        <f aca="false">C_KPI_Benchmark!D104</f>
        <v>2.c</v>
      </c>
      <c r="C104" s="51" t="str">
        <f aca="false">C_KPI_Benchmark!E104</f>
        <v>Risk Scoring &amp; Plan Generator</v>
      </c>
      <c r="D104" s="52" t="str">
        <f aca="false">C_KPI_Benchmark!F104</f>
        <v>D4</v>
      </c>
      <c r="E104" s="51" t="str">
        <f aca="false">C_KPI_Benchmark!J104</f>
        <v>RPN determinism (same input → same score)</v>
      </c>
      <c r="F104" s="52" t="str">
        <f aca="false">C_KPI_Benchmark!K104</f>
        <v>%</v>
      </c>
      <c r="G104" s="51" t="str">
        <f aca="false">C_KPI_Benchmark!L104</f>
        <v>Higher is better</v>
      </c>
      <c r="H104" s="53" t="n">
        <f aca="false">C_KPI_Benchmark!N104</f>
        <v>1</v>
      </c>
      <c r="I104" s="54" t="n">
        <f aca="false">IF(C_KPI_Benchmark!O104&lt;&gt;"",C_KPI_Benchmark!O104,IF(G104="Higher is better",H104*(1-A_Scoring_Model!$C$16),H104*(1+A_Scoring_Model!$C$16)))</f>
        <v>0.8</v>
      </c>
      <c r="J104" s="55"/>
      <c r="K104" s="55"/>
      <c r="L104" s="55"/>
      <c r="M104" s="55"/>
      <c r="N104" s="56" t="str">
        <f aca="false">IF(J104="","",IF($H104=$I104,IF(OR(AND($G104="Higher is better",J104&gt;=$H104),AND($G104="Lower is better",J104&lt;=$H104)),A_Scoring_Model!$C$14,0),IF($G104="Higher is better",IF(J104&gt;=$H104,A_Scoring_Model!$C$14,IF(J104&lt;$I104,0,A_Scoring_Model!$C$15+(A_Scoring_Model!$C$14-A_Scoring_Model!$C$15)*(J104-$I104)/($H104-$I104))),IF(J104&lt;=$H104,A_Scoring_Model!$C$14,IF(J104&gt;$I104,0,A_Scoring_Model!$C$15+(A_Scoring_Model!$C$14-A_Scoring_Model!$C$15)*($I104-J104)/($I104-$H104))))))</f>
        <v/>
      </c>
      <c r="O104" s="56" t="str">
        <f aca="false">IF(K104="","",IF($H104=$I104,IF(OR(AND($G104="Higher is better",K104&gt;=$H104),AND($G104="Lower is better",K104&lt;=$H104)),A_Scoring_Model!$C$14,0),IF($G104="Higher is better",IF(K104&gt;=$H104,A_Scoring_Model!$C$14,IF(K104&lt;$I104,0,A_Scoring_Model!$C$15+(A_Scoring_Model!$C$14-A_Scoring_Model!$C$15)*(K104-$I104)/($H104-$I104))),IF(K104&lt;=$H104,A_Scoring_Model!$C$14,IF(K104&gt;$I104,0,A_Scoring_Model!$C$15+(A_Scoring_Model!$C$14-A_Scoring_Model!$C$15)*($I104-K104)/($I104-$H104))))))</f>
        <v/>
      </c>
      <c r="P104" s="56" t="str">
        <f aca="false">IF(L104="","",IF($H104=$I104,IF(OR(AND($G104="Higher is better",L104&gt;=$H104),AND($G104="Lower is better",L104&lt;=$H104)),A_Scoring_Model!$C$14,0),IF($G104="Higher is better",IF(L104&gt;=$H104,A_Scoring_Model!$C$14,IF(L104&lt;$I104,0,A_Scoring_Model!$C$15+(A_Scoring_Model!$C$14-A_Scoring_Model!$C$15)*(L104-$I104)/($H104-$I104))),IF(L104&lt;=$H104,A_Scoring_Model!$C$14,IF(L104&gt;$I104,0,A_Scoring_Model!$C$15+(A_Scoring_Model!$C$14-A_Scoring_Model!$C$15)*($I104-L104)/($I104-$H104))))))</f>
        <v/>
      </c>
      <c r="Q104" s="56" t="str">
        <f aca="false">IF(M104="","",IF($H104=$I104,IF(OR(AND($G104="Higher is better",M104&gt;=$H104),AND($G104="Lower is better",M104&lt;=$H104)),A_Scoring_Model!$C$14,0),IF($G104="Higher is better",IF(M104&gt;=$H104,A_Scoring_Model!$C$14,IF(M104&lt;$I104,0,A_Scoring_Model!$C$15+(A_Scoring_Model!$C$14-A_Scoring_Model!$C$15)*(M104-$I104)/($H104-$I104))),IF(M104&lt;=$H104,A_Scoring_Model!$C$14,IF(M104&gt;$I104,0,A_Scoring_Model!$C$15+(A_Scoring_Model!$C$14-A_Scoring_Model!$C$15)*($I104-M104)/($I104-$H104))))))</f>
        <v/>
      </c>
    </row>
    <row r="105" customFormat="false" ht="15" hidden="false" customHeight="false" outlineLevel="0" collapsed="false">
      <c r="A105" s="51" t="str">
        <f aca="false">C_KPI_Benchmark!A105</f>
        <v>2.c-D4-10</v>
      </c>
      <c r="B105" s="52" t="str">
        <f aca="false">C_KPI_Benchmark!D105</f>
        <v>2.c</v>
      </c>
      <c r="C105" s="51" t="str">
        <f aca="false">C_KPI_Benchmark!E105</f>
        <v>Risk Scoring &amp; Plan Generator</v>
      </c>
      <c r="D105" s="52" t="str">
        <f aca="false">C_KPI_Benchmark!F105</f>
        <v>D4</v>
      </c>
      <c r="E105" s="51" t="str">
        <f aca="false">C_KPI_Benchmark!J105</f>
        <v>Service availability</v>
      </c>
      <c r="F105" s="52" t="str">
        <f aca="false">C_KPI_Benchmark!K105</f>
        <v>%</v>
      </c>
      <c r="G105" s="51" t="str">
        <f aca="false">C_KPI_Benchmark!L105</f>
        <v>Higher is better</v>
      </c>
      <c r="H105" s="53" t="n">
        <f aca="false">C_KPI_Benchmark!N105</f>
        <v>0.995</v>
      </c>
      <c r="I105" s="54" t="n">
        <f aca="false">IF(C_KPI_Benchmark!O105&lt;&gt;"",C_KPI_Benchmark!O105,IF(G105="Higher is better",H105*(1-A_Scoring_Model!$C$16),H105*(1+A_Scoring_Model!$C$16)))</f>
        <v>0.99</v>
      </c>
      <c r="J105" s="55"/>
      <c r="K105" s="55"/>
      <c r="L105" s="55"/>
      <c r="M105" s="55"/>
      <c r="N105" s="56" t="str">
        <f aca="false">IF(J105="","",IF($H105=$I105,IF(OR(AND($G105="Higher is better",J105&gt;=$H105),AND($G105="Lower is better",J105&lt;=$H105)),A_Scoring_Model!$C$14,0),IF($G105="Higher is better",IF(J105&gt;=$H105,A_Scoring_Model!$C$14,IF(J105&lt;$I105,0,A_Scoring_Model!$C$15+(A_Scoring_Model!$C$14-A_Scoring_Model!$C$15)*(J105-$I105)/($H105-$I105))),IF(J105&lt;=$H105,A_Scoring_Model!$C$14,IF(J105&gt;$I105,0,A_Scoring_Model!$C$15+(A_Scoring_Model!$C$14-A_Scoring_Model!$C$15)*($I105-J105)/($I105-$H105))))))</f>
        <v/>
      </c>
      <c r="O105" s="56" t="str">
        <f aca="false">IF(K105="","",IF($H105=$I105,IF(OR(AND($G105="Higher is better",K105&gt;=$H105),AND($G105="Lower is better",K105&lt;=$H105)),A_Scoring_Model!$C$14,0),IF($G105="Higher is better",IF(K105&gt;=$H105,A_Scoring_Model!$C$14,IF(K105&lt;$I105,0,A_Scoring_Model!$C$15+(A_Scoring_Model!$C$14-A_Scoring_Model!$C$15)*(K105-$I105)/($H105-$I105))),IF(K105&lt;=$H105,A_Scoring_Model!$C$14,IF(K105&gt;$I105,0,A_Scoring_Model!$C$15+(A_Scoring_Model!$C$14-A_Scoring_Model!$C$15)*($I105-K105)/($I105-$H105))))))</f>
        <v/>
      </c>
      <c r="P105" s="56" t="str">
        <f aca="false">IF(L105="","",IF($H105=$I105,IF(OR(AND($G105="Higher is better",L105&gt;=$H105),AND($G105="Lower is better",L105&lt;=$H105)),A_Scoring_Model!$C$14,0),IF($G105="Higher is better",IF(L105&gt;=$H105,A_Scoring_Model!$C$14,IF(L105&lt;$I105,0,A_Scoring_Model!$C$15+(A_Scoring_Model!$C$14-A_Scoring_Model!$C$15)*(L105-$I105)/($H105-$I105))),IF(L105&lt;=$H105,A_Scoring_Model!$C$14,IF(L105&gt;$I105,0,A_Scoring_Model!$C$15+(A_Scoring_Model!$C$14-A_Scoring_Model!$C$15)*($I105-L105)/($I105-$H105))))))</f>
        <v/>
      </c>
      <c r="Q105" s="56" t="str">
        <f aca="false">IF(M105="","",IF($H105=$I105,IF(OR(AND($G105="Higher is better",M105&gt;=$H105),AND($G105="Lower is better",M105&lt;=$H105)),A_Scoring_Model!$C$14,0),IF($G105="Higher is better",IF(M105&gt;=$H105,A_Scoring_Model!$C$14,IF(M105&lt;$I105,0,A_Scoring_Model!$C$15+(A_Scoring_Model!$C$14-A_Scoring_Model!$C$15)*(M105-$I105)/($H105-$I105))),IF(M105&lt;=$H105,A_Scoring_Model!$C$14,IF(M105&gt;$I105,0,A_Scoring_Model!$C$15+(A_Scoring_Model!$C$14-A_Scoring_Model!$C$15)*($I105-M105)/($I105-$H105))))))</f>
        <v/>
      </c>
    </row>
    <row r="106" customFormat="false" ht="15" hidden="false" customHeight="false" outlineLevel="0" collapsed="false">
      <c r="A106" s="51" t="str">
        <f aca="false">C_KPI_Benchmark!A106</f>
        <v>2.c-D5-11</v>
      </c>
      <c r="B106" s="52" t="str">
        <f aca="false">C_KPI_Benchmark!D106</f>
        <v>2.c</v>
      </c>
      <c r="C106" s="51" t="str">
        <f aca="false">C_KPI_Benchmark!E106</f>
        <v>Risk Scoring &amp; Plan Generator</v>
      </c>
      <c r="D106" s="52" t="str">
        <f aca="false">C_KPI_Benchmark!F106</f>
        <v>D5</v>
      </c>
      <c r="E106" s="51" t="str">
        <f aca="false">C_KPI_Benchmark!J106</f>
        <v>Plan cycle time reduction</v>
      </c>
      <c r="F106" s="52" t="str">
        <f aca="false">C_KPI_Benchmark!K106</f>
        <v>%</v>
      </c>
      <c r="G106" s="51" t="str">
        <f aca="false">C_KPI_Benchmark!L106</f>
        <v>Higher is better</v>
      </c>
      <c r="H106" s="53" t="n">
        <f aca="false">C_KPI_Benchmark!N106</f>
        <v>0.5</v>
      </c>
      <c r="I106" s="54" t="n">
        <f aca="false">IF(C_KPI_Benchmark!O106&lt;&gt;"",C_KPI_Benchmark!O106,IF(G106="Higher is better",H106*(1-A_Scoring_Model!$C$16),H106*(1+A_Scoring_Model!$C$16)))</f>
        <v>0.4</v>
      </c>
      <c r="J106" s="55"/>
      <c r="K106" s="55"/>
      <c r="L106" s="55"/>
      <c r="M106" s="55"/>
      <c r="N106" s="56" t="str">
        <f aca="false">IF(J106="","",IF($H106=$I106,IF(OR(AND($G106="Higher is better",J106&gt;=$H106),AND($G106="Lower is better",J106&lt;=$H106)),A_Scoring_Model!$C$14,0),IF($G106="Higher is better",IF(J106&gt;=$H106,A_Scoring_Model!$C$14,IF(J106&lt;$I106,0,A_Scoring_Model!$C$15+(A_Scoring_Model!$C$14-A_Scoring_Model!$C$15)*(J106-$I106)/($H106-$I106))),IF(J106&lt;=$H106,A_Scoring_Model!$C$14,IF(J106&gt;$I106,0,A_Scoring_Model!$C$15+(A_Scoring_Model!$C$14-A_Scoring_Model!$C$15)*($I106-J106)/($I106-$H106))))))</f>
        <v/>
      </c>
      <c r="O106" s="56" t="str">
        <f aca="false">IF(K106="","",IF($H106=$I106,IF(OR(AND($G106="Higher is better",K106&gt;=$H106),AND($G106="Lower is better",K106&lt;=$H106)),A_Scoring_Model!$C$14,0),IF($G106="Higher is better",IF(K106&gt;=$H106,A_Scoring_Model!$C$14,IF(K106&lt;$I106,0,A_Scoring_Model!$C$15+(A_Scoring_Model!$C$14-A_Scoring_Model!$C$15)*(K106-$I106)/($H106-$I106))),IF(K106&lt;=$H106,A_Scoring_Model!$C$14,IF(K106&gt;$I106,0,A_Scoring_Model!$C$15+(A_Scoring_Model!$C$14-A_Scoring_Model!$C$15)*($I106-K106)/($I106-$H106))))))</f>
        <v/>
      </c>
      <c r="P106" s="56" t="str">
        <f aca="false">IF(L106="","",IF($H106=$I106,IF(OR(AND($G106="Higher is better",L106&gt;=$H106),AND($G106="Lower is better",L106&lt;=$H106)),A_Scoring_Model!$C$14,0),IF($G106="Higher is better",IF(L106&gt;=$H106,A_Scoring_Model!$C$14,IF(L106&lt;$I106,0,A_Scoring_Model!$C$15+(A_Scoring_Model!$C$14-A_Scoring_Model!$C$15)*(L106-$I106)/($H106-$I106))),IF(L106&lt;=$H106,A_Scoring_Model!$C$14,IF(L106&gt;$I106,0,A_Scoring_Model!$C$15+(A_Scoring_Model!$C$14-A_Scoring_Model!$C$15)*($I106-L106)/($I106-$H106))))))</f>
        <v/>
      </c>
      <c r="Q106" s="56" t="str">
        <f aca="false">IF(M106="","",IF($H106=$I106,IF(OR(AND($G106="Higher is better",M106&gt;=$H106),AND($G106="Lower is better",M106&lt;=$H106)),A_Scoring_Model!$C$14,0),IF($G106="Higher is better",IF(M106&gt;=$H106,A_Scoring_Model!$C$14,IF(M106&lt;$I106,0,A_Scoring_Model!$C$15+(A_Scoring_Model!$C$14-A_Scoring_Model!$C$15)*(M106-$I106)/($H106-$I106))),IF(M106&lt;=$H106,A_Scoring_Model!$C$14,IF(M106&gt;$I106,0,A_Scoring_Model!$C$15+(A_Scoring_Model!$C$14-A_Scoring_Model!$C$15)*($I106-M106)/($I106-$H106))))))</f>
        <v/>
      </c>
    </row>
    <row r="107" customFormat="false" ht="15" hidden="false" customHeight="false" outlineLevel="0" collapsed="false">
      <c r="A107" s="51" t="str">
        <f aca="false">C_KPI_Benchmark!A107</f>
        <v>2.c-D5-12</v>
      </c>
      <c r="B107" s="52" t="str">
        <f aca="false">C_KPI_Benchmark!D107</f>
        <v>2.c</v>
      </c>
      <c r="C107" s="51" t="str">
        <f aca="false">C_KPI_Benchmark!E107</f>
        <v>Risk Scoring &amp; Plan Generator</v>
      </c>
      <c r="D107" s="52" t="str">
        <f aca="false">C_KPI_Benchmark!F107</f>
        <v>D5</v>
      </c>
      <c r="E107" s="51" t="str">
        <f aca="false">C_KPI_Benchmark!J107</f>
        <v>Review comments per plan reduction</v>
      </c>
      <c r="F107" s="52" t="str">
        <f aca="false">C_KPI_Benchmark!K107</f>
        <v>%</v>
      </c>
      <c r="G107" s="51" t="str">
        <f aca="false">C_KPI_Benchmark!L107</f>
        <v>Higher is better</v>
      </c>
      <c r="H107" s="53" t="n">
        <f aca="false">C_KPI_Benchmark!N107</f>
        <v>0.3</v>
      </c>
      <c r="I107" s="54" t="n">
        <f aca="false">IF(C_KPI_Benchmark!O107&lt;&gt;"",C_KPI_Benchmark!O107,IF(G107="Higher is better",H107*(1-A_Scoring_Model!$C$16),H107*(1+A_Scoring_Model!$C$16)))</f>
        <v>0.24</v>
      </c>
      <c r="J107" s="55"/>
      <c r="K107" s="55"/>
      <c r="L107" s="55"/>
      <c r="M107" s="55"/>
      <c r="N107" s="56" t="str">
        <f aca="false">IF(J107="","",IF($H107=$I107,IF(OR(AND($G107="Higher is better",J107&gt;=$H107),AND($G107="Lower is better",J107&lt;=$H107)),A_Scoring_Model!$C$14,0),IF($G107="Higher is better",IF(J107&gt;=$H107,A_Scoring_Model!$C$14,IF(J107&lt;$I107,0,A_Scoring_Model!$C$15+(A_Scoring_Model!$C$14-A_Scoring_Model!$C$15)*(J107-$I107)/($H107-$I107))),IF(J107&lt;=$H107,A_Scoring_Model!$C$14,IF(J107&gt;$I107,0,A_Scoring_Model!$C$15+(A_Scoring_Model!$C$14-A_Scoring_Model!$C$15)*($I107-J107)/($I107-$H107))))))</f>
        <v/>
      </c>
      <c r="O107" s="56" t="str">
        <f aca="false">IF(K107="","",IF($H107=$I107,IF(OR(AND($G107="Higher is better",K107&gt;=$H107),AND($G107="Lower is better",K107&lt;=$H107)),A_Scoring_Model!$C$14,0),IF($G107="Higher is better",IF(K107&gt;=$H107,A_Scoring_Model!$C$14,IF(K107&lt;$I107,0,A_Scoring_Model!$C$15+(A_Scoring_Model!$C$14-A_Scoring_Model!$C$15)*(K107-$I107)/($H107-$I107))),IF(K107&lt;=$H107,A_Scoring_Model!$C$14,IF(K107&gt;$I107,0,A_Scoring_Model!$C$15+(A_Scoring_Model!$C$14-A_Scoring_Model!$C$15)*($I107-K107)/($I107-$H107))))))</f>
        <v/>
      </c>
      <c r="P107" s="56" t="str">
        <f aca="false">IF(L107="","",IF($H107=$I107,IF(OR(AND($G107="Higher is better",L107&gt;=$H107),AND($G107="Lower is better",L107&lt;=$H107)),A_Scoring_Model!$C$14,0),IF($G107="Higher is better",IF(L107&gt;=$H107,A_Scoring_Model!$C$14,IF(L107&lt;$I107,0,A_Scoring_Model!$C$15+(A_Scoring_Model!$C$14-A_Scoring_Model!$C$15)*(L107-$I107)/($H107-$I107))),IF(L107&lt;=$H107,A_Scoring_Model!$C$14,IF(L107&gt;$I107,0,A_Scoring_Model!$C$15+(A_Scoring_Model!$C$14-A_Scoring_Model!$C$15)*($I107-L107)/($I107-$H107))))))</f>
        <v/>
      </c>
      <c r="Q107" s="56" t="str">
        <f aca="false">IF(M107="","",IF($H107=$I107,IF(OR(AND($G107="Higher is better",M107&gt;=$H107),AND($G107="Lower is better",M107&lt;=$H107)),A_Scoring_Model!$C$14,0),IF($G107="Higher is better",IF(M107&gt;=$H107,A_Scoring_Model!$C$14,IF(M107&lt;$I107,0,A_Scoring_Model!$C$15+(A_Scoring_Model!$C$14-A_Scoring_Model!$C$15)*(M107-$I107)/($H107-$I107))),IF(M107&lt;=$H107,A_Scoring_Model!$C$14,IF(M107&gt;$I107,0,A_Scoring_Model!$C$15+(A_Scoring_Model!$C$14-A_Scoring_Model!$C$15)*($I107-M107)/($I107-$H107))))))</f>
        <v/>
      </c>
    </row>
    <row r="108" customFormat="false" ht="15" hidden="false" customHeight="false" outlineLevel="0" collapsed="false">
      <c r="A108" s="51" t="str">
        <f aca="false">C_KPI_Benchmark!A108</f>
        <v>2.c-D6-13</v>
      </c>
      <c r="B108" s="52" t="str">
        <f aca="false">C_KPI_Benchmark!D108</f>
        <v>2.c</v>
      </c>
      <c r="C108" s="51" t="str">
        <f aca="false">C_KPI_Benchmark!E108</f>
        <v>Risk Scoring &amp; Plan Generator</v>
      </c>
      <c r="D108" s="52" t="str">
        <f aca="false">C_KPI_Benchmark!F108</f>
        <v>D6</v>
      </c>
      <c r="E108" s="51" t="str">
        <f aca="false">C_KPI_Benchmark!J108</f>
        <v>Solution code test coverage</v>
      </c>
      <c r="F108" s="52" t="str">
        <f aca="false">C_KPI_Benchmark!K108</f>
        <v>%</v>
      </c>
      <c r="G108" s="51" t="str">
        <f aca="false">C_KPI_Benchmark!L108</f>
        <v>Higher is better</v>
      </c>
      <c r="H108" s="53" t="n">
        <f aca="false">C_KPI_Benchmark!N108</f>
        <v>0.8</v>
      </c>
      <c r="I108" s="54" t="n">
        <f aca="false">IF(C_KPI_Benchmark!O108&lt;&gt;"",C_KPI_Benchmark!O108,IF(G108="Higher is better",H108*(1-A_Scoring_Model!$C$16),H108*(1+A_Scoring_Model!$C$16)))</f>
        <v>0.6</v>
      </c>
      <c r="J108" s="55"/>
      <c r="K108" s="55"/>
      <c r="L108" s="55"/>
      <c r="M108" s="55"/>
      <c r="N108" s="56" t="str">
        <f aca="false">IF(J108="","",IF($H108=$I108,IF(OR(AND($G108="Higher is better",J108&gt;=$H108),AND($G108="Lower is better",J108&lt;=$H108)),A_Scoring_Model!$C$14,0),IF($G108="Higher is better",IF(J108&gt;=$H108,A_Scoring_Model!$C$14,IF(J108&lt;$I108,0,A_Scoring_Model!$C$15+(A_Scoring_Model!$C$14-A_Scoring_Model!$C$15)*(J108-$I108)/($H108-$I108))),IF(J108&lt;=$H108,A_Scoring_Model!$C$14,IF(J108&gt;$I108,0,A_Scoring_Model!$C$15+(A_Scoring_Model!$C$14-A_Scoring_Model!$C$15)*($I108-J108)/($I108-$H108))))))</f>
        <v/>
      </c>
      <c r="O108" s="56" t="str">
        <f aca="false">IF(K108="","",IF($H108=$I108,IF(OR(AND($G108="Higher is better",K108&gt;=$H108),AND($G108="Lower is better",K108&lt;=$H108)),A_Scoring_Model!$C$14,0),IF($G108="Higher is better",IF(K108&gt;=$H108,A_Scoring_Model!$C$14,IF(K108&lt;$I108,0,A_Scoring_Model!$C$15+(A_Scoring_Model!$C$14-A_Scoring_Model!$C$15)*(K108-$I108)/($H108-$I108))),IF(K108&lt;=$H108,A_Scoring_Model!$C$14,IF(K108&gt;$I108,0,A_Scoring_Model!$C$15+(A_Scoring_Model!$C$14-A_Scoring_Model!$C$15)*($I108-K108)/($I108-$H108))))))</f>
        <v/>
      </c>
      <c r="P108" s="56" t="str">
        <f aca="false">IF(L108="","",IF($H108=$I108,IF(OR(AND($G108="Higher is better",L108&gt;=$H108),AND($G108="Lower is better",L108&lt;=$H108)),A_Scoring_Model!$C$14,0),IF($G108="Higher is better",IF(L108&gt;=$H108,A_Scoring_Model!$C$14,IF(L108&lt;$I108,0,A_Scoring_Model!$C$15+(A_Scoring_Model!$C$14-A_Scoring_Model!$C$15)*(L108-$I108)/($H108-$I108))),IF(L108&lt;=$H108,A_Scoring_Model!$C$14,IF(L108&gt;$I108,0,A_Scoring_Model!$C$15+(A_Scoring_Model!$C$14-A_Scoring_Model!$C$15)*($I108-L108)/($I108-$H108))))))</f>
        <v/>
      </c>
      <c r="Q108" s="56" t="str">
        <f aca="false">IF(M108="","",IF($H108=$I108,IF(OR(AND($G108="Higher is better",M108&gt;=$H108),AND($G108="Lower is better",M108&lt;=$H108)),A_Scoring_Model!$C$14,0),IF($G108="Higher is better",IF(M108&gt;=$H108,A_Scoring_Model!$C$14,IF(M108&lt;$I108,0,A_Scoring_Model!$C$15+(A_Scoring_Model!$C$14-A_Scoring_Model!$C$15)*(M108-$I108)/($H108-$I108))),IF(M108&lt;=$H108,A_Scoring_Model!$C$14,IF(M108&gt;$I108,0,A_Scoring_Model!$C$15+(A_Scoring_Model!$C$14-A_Scoring_Model!$C$15)*($I108-M108)/($I108-$H108))))))</f>
        <v/>
      </c>
    </row>
    <row r="109" customFormat="false" ht="15" hidden="false" customHeight="false" outlineLevel="0" collapsed="false">
      <c r="A109" s="51" t="str">
        <f aca="false">C_KPI_Benchmark!A109</f>
        <v>2.c-D6-14</v>
      </c>
      <c r="B109" s="52" t="str">
        <f aca="false">C_KPI_Benchmark!D109</f>
        <v>2.c</v>
      </c>
      <c r="C109" s="51" t="str">
        <f aca="false">C_KPI_Benchmark!E109</f>
        <v>Risk Scoring &amp; Plan Generator</v>
      </c>
      <c r="D109" s="52" t="str">
        <f aca="false">C_KPI_Benchmark!F109</f>
        <v>D6</v>
      </c>
      <c r="E109" s="51" t="str">
        <f aca="false">C_KPI_Benchmark!J109</f>
        <v>Review Shield critical findings</v>
      </c>
      <c r="F109" s="52" t="str">
        <f aca="false">C_KPI_Benchmark!K109</f>
        <v>count</v>
      </c>
      <c r="G109" s="51" t="str">
        <f aca="false">C_KPI_Benchmark!L109</f>
        <v>Lower is better</v>
      </c>
      <c r="H109" s="62" t="n">
        <f aca="false">C_KPI_Benchmark!N109</f>
        <v>0</v>
      </c>
      <c r="I109" s="63" t="n">
        <f aca="false">IF(C_KPI_Benchmark!O109&lt;&gt;"",C_KPI_Benchmark!O109,IF(G109="Higher is better",H109*(1-A_Scoring_Model!$C$16),H109*(1+A_Scoring_Model!$C$16)))</f>
        <v>0</v>
      </c>
      <c r="J109" s="64"/>
      <c r="K109" s="64"/>
      <c r="L109" s="64"/>
      <c r="M109" s="64"/>
      <c r="N109" s="56" t="str">
        <f aca="false">IF(J109="","",IF($H109=$I109,IF(OR(AND($G109="Higher is better",J109&gt;=$H109),AND($G109="Lower is better",J109&lt;=$H109)),A_Scoring_Model!$C$14,0),IF($G109="Higher is better",IF(J109&gt;=$H109,A_Scoring_Model!$C$14,IF(J109&lt;$I109,0,A_Scoring_Model!$C$15+(A_Scoring_Model!$C$14-A_Scoring_Model!$C$15)*(J109-$I109)/($H109-$I109))),IF(J109&lt;=$H109,A_Scoring_Model!$C$14,IF(J109&gt;$I109,0,A_Scoring_Model!$C$15+(A_Scoring_Model!$C$14-A_Scoring_Model!$C$15)*($I109-J109)/($I109-$H109))))))</f>
        <v/>
      </c>
      <c r="O109" s="56" t="str">
        <f aca="false">IF(K109="","",IF($H109=$I109,IF(OR(AND($G109="Higher is better",K109&gt;=$H109),AND($G109="Lower is better",K109&lt;=$H109)),A_Scoring_Model!$C$14,0),IF($G109="Higher is better",IF(K109&gt;=$H109,A_Scoring_Model!$C$14,IF(K109&lt;$I109,0,A_Scoring_Model!$C$15+(A_Scoring_Model!$C$14-A_Scoring_Model!$C$15)*(K109-$I109)/($H109-$I109))),IF(K109&lt;=$H109,A_Scoring_Model!$C$14,IF(K109&gt;$I109,0,A_Scoring_Model!$C$15+(A_Scoring_Model!$C$14-A_Scoring_Model!$C$15)*($I109-K109)/($I109-$H109))))))</f>
        <v/>
      </c>
      <c r="P109" s="56" t="str">
        <f aca="false">IF(L109="","",IF($H109=$I109,IF(OR(AND($G109="Higher is better",L109&gt;=$H109),AND($G109="Lower is better",L109&lt;=$H109)),A_Scoring_Model!$C$14,0),IF($G109="Higher is better",IF(L109&gt;=$H109,A_Scoring_Model!$C$14,IF(L109&lt;$I109,0,A_Scoring_Model!$C$15+(A_Scoring_Model!$C$14-A_Scoring_Model!$C$15)*(L109-$I109)/($H109-$I109))),IF(L109&lt;=$H109,A_Scoring_Model!$C$14,IF(L109&gt;$I109,0,A_Scoring_Model!$C$15+(A_Scoring_Model!$C$14-A_Scoring_Model!$C$15)*($I109-L109)/($I109-$H109))))))</f>
        <v/>
      </c>
      <c r="Q109" s="56" t="str">
        <f aca="false">IF(M109="","",IF($H109=$I109,IF(OR(AND($G109="Higher is better",M109&gt;=$H109),AND($G109="Lower is better",M109&lt;=$H109)),A_Scoring_Model!$C$14,0),IF($G109="Higher is better",IF(M109&gt;=$H109,A_Scoring_Model!$C$14,IF(M109&lt;$I109,0,A_Scoring_Model!$C$15+(A_Scoring_Model!$C$14-A_Scoring_Model!$C$15)*(M109-$I109)/($H109-$I109))),IF(M109&lt;=$H109,A_Scoring_Model!$C$14,IF(M109&gt;$I109,0,A_Scoring_Model!$C$15+(A_Scoring_Model!$C$14-A_Scoring_Model!$C$15)*($I109-M109)/($I109-$H109))))))</f>
        <v/>
      </c>
    </row>
    <row r="110" customFormat="false" ht="15" hidden="false" customHeight="false" outlineLevel="0" collapsed="false">
      <c r="A110" s="51" t="str">
        <f aca="false">C_KPI_Benchmark!A110</f>
        <v>2.c-D6-15</v>
      </c>
      <c r="B110" s="52" t="str">
        <f aca="false">C_KPI_Benchmark!D110</f>
        <v>2.c</v>
      </c>
      <c r="C110" s="51" t="str">
        <f aca="false">C_KPI_Benchmark!E110</f>
        <v>Risk Scoring &amp; Plan Generator</v>
      </c>
      <c r="D110" s="52" t="str">
        <f aca="false">C_KPI_Benchmark!F110</f>
        <v>D6</v>
      </c>
      <c r="E110" s="51" t="str">
        <f aca="false">C_KPI_Benchmark!J110</f>
        <v>SAST high findings and exposed secrets</v>
      </c>
      <c r="F110" s="52" t="str">
        <f aca="false">C_KPI_Benchmark!K110</f>
        <v>count</v>
      </c>
      <c r="G110" s="51" t="str">
        <f aca="false">C_KPI_Benchmark!L110</f>
        <v>Lower is better</v>
      </c>
      <c r="H110" s="62" t="n">
        <f aca="false">C_KPI_Benchmark!N110</f>
        <v>0</v>
      </c>
      <c r="I110" s="63" t="n">
        <f aca="false">IF(C_KPI_Benchmark!O110&lt;&gt;"",C_KPI_Benchmark!O110,IF(G110="Higher is better",H110*(1-A_Scoring_Model!$C$16),H110*(1+A_Scoring_Model!$C$16)))</f>
        <v>0</v>
      </c>
      <c r="J110" s="64"/>
      <c r="K110" s="64"/>
      <c r="L110" s="64"/>
      <c r="M110" s="64"/>
      <c r="N110" s="56" t="str">
        <f aca="false">IF(J110="","",IF($H110=$I110,IF(OR(AND($G110="Higher is better",J110&gt;=$H110),AND($G110="Lower is better",J110&lt;=$H110)),A_Scoring_Model!$C$14,0),IF($G110="Higher is better",IF(J110&gt;=$H110,A_Scoring_Model!$C$14,IF(J110&lt;$I110,0,A_Scoring_Model!$C$15+(A_Scoring_Model!$C$14-A_Scoring_Model!$C$15)*(J110-$I110)/($H110-$I110))),IF(J110&lt;=$H110,A_Scoring_Model!$C$14,IF(J110&gt;$I110,0,A_Scoring_Model!$C$15+(A_Scoring_Model!$C$14-A_Scoring_Model!$C$15)*($I110-J110)/($I110-$H110))))))</f>
        <v/>
      </c>
      <c r="O110" s="56" t="str">
        <f aca="false">IF(K110="","",IF($H110=$I110,IF(OR(AND($G110="Higher is better",K110&gt;=$H110),AND($G110="Lower is better",K110&lt;=$H110)),A_Scoring_Model!$C$14,0),IF($G110="Higher is better",IF(K110&gt;=$H110,A_Scoring_Model!$C$14,IF(K110&lt;$I110,0,A_Scoring_Model!$C$15+(A_Scoring_Model!$C$14-A_Scoring_Model!$C$15)*(K110-$I110)/($H110-$I110))),IF(K110&lt;=$H110,A_Scoring_Model!$C$14,IF(K110&gt;$I110,0,A_Scoring_Model!$C$15+(A_Scoring_Model!$C$14-A_Scoring_Model!$C$15)*($I110-K110)/($I110-$H110))))))</f>
        <v/>
      </c>
      <c r="P110" s="56" t="str">
        <f aca="false">IF(L110="","",IF($H110=$I110,IF(OR(AND($G110="Higher is better",L110&gt;=$H110),AND($G110="Lower is better",L110&lt;=$H110)),A_Scoring_Model!$C$14,0),IF($G110="Higher is better",IF(L110&gt;=$H110,A_Scoring_Model!$C$14,IF(L110&lt;$I110,0,A_Scoring_Model!$C$15+(A_Scoring_Model!$C$14-A_Scoring_Model!$C$15)*(L110-$I110)/($H110-$I110))),IF(L110&lt;=$H110,A_Scoring_Model!$C$14,IF(L110&gt;$I110,0,A_Scoring_Model!$C$15+(A_Scoring_Model!$C$14-A_Scoring_Model!$C$15)*($I110-L110)/($I110-$H110))))))</f>
        <v/>
      </c>
      <c r="Q110" s="56" t="str">
        <f aca="false">IF(M110="","",IF($H110=$I110,IF(OR(AND($G110="Higher is better",M110&gt;=$H110),AND($G110="Lower is better",M110&lt;=$H110)),A_Scoring_Model!$C$14,0),IF($G110="Higher is better",IF(M110&gt;=$H110,A_Scoring_Model!$C$14,IF(M110&lt;$I110,0,A_Scoring_Model!$C$15+(A_Scoring_Model!$C$14-A_Scoring_Model!$C$15)*(M110-$I110)/($H110-$I110))),IF(M110&lt;=$H110,A_Scoring_Model!$C$14,IF(M110&gt;$I110,0,A_Scoring_Model!$C$15+(A_Scoring_Model!$C$14-A_Scoring_Model!$C$15)*($I110-M110)/($I110-$H110))))))</f>
        <v/>
      </c>
    </row>
    <row r="111" customFormat="false" ht="23.85" hidden="false" customHeight="false" outlineLevel="0" collapsed="false">
      <c r="A111" s="51" t="str">
        <f aca="false">C_KPI_Benchmark!A111</f>
        <v>2.c-D6-16</v>
      </c>
      <c r="B111" s="52" t="str">
        <f aca="false">C_KPI_Benchmark!D111</f>
        <v>2.c</v>
      </c>
      <c r="C111" s="51" t="str">
        <f aca="false">C_KPI_Benchmark!E111</f>
        <v>Risk Scoring &amp; Plan Generator</v>
      </c>
      <c r="D111" s="52" t="str">
        <f aca="false">C_KPI_Benchmark!F111</f>
        <v>D6</v>
      </c>
      <c r="E111" s="51" t="str">
        <f aca="false">C_KPI_Benchmark!J111</f>
        <v>Documentation pack complete (README, I/O contract, model card, runbook)</v>
      </c>
      <c r="F111" s="52" t="str">
        <f aca="false">C_KPI_Benchmark!K111</f>
        <v>Yes/No</v>
      </c>
      <c r="G111" s="51" t="str">
        <f aca="false">C_KPI_Benchmark!L111</f>
        <v>Higher is better</v>
      </c>
      <c r="H111" s="60" t="n">
        <f aca="false">C_KPI_Benchmark!N111</f>
        <v>1</v>
      </c>
      <c r="I111" s="56" t="n">
        <f aca="false">IF(C_KPI_Benchmark!O111&lt;&gt;"",C_KPI_Benchmark!O111,IF(G111="Higher is better",H111*(1-A_Scoring_Model!$C$16),H111*(1+A_Scoring_Model!$C$16)))</f>
        <v>0.8</v>
      </c>
      <c r="J111" s="61"/>
      <c r="K111" s="61"/>
      <c r="L111" s="61"/>
      <c r="M111" s="61"/>
      <c r="N111" s="56" t="str">
        <f aca="false">IF(J111="","",IF($H111=$I111,IF(OR(AND($G111="Higher is better",J111&gt;=$H111),AND($G111="Lower is better",J111&lt;=$H111)),A_Scoring_Model!$C$14,0),IF($G111="Higher is better",IF(J111&gt;=$H111,A_Scoring_Model!$C$14,IF(J111&lt;$I111,0,A_Scoring_Model!$C$15+(A_Scoring_Model!$C$14-A_Scoring_Model!$C$15)*(J111-$I111)/($H111-$I111))),IF(J111&lt;=$H111,A_Scoring_Model!$C$14,IF(J111&gt;$I111,0,A_Scoring_Model!$C$15+(A_Scoring_Model!$C$14-A_Scoring_Model!$C$15)*($I111-J111)/($I111-$H111))))))</f>
        <v/>
      </c>
      <c r="O111" s="56" t="str">
        <f aca="false">IF(K111="","",IF($H111=$I111,IF(OR(AND($G111="Higher is better",K111&gt;=$H111),AND($G111="Lower is better",K111&lt;=$H111)),A_Scoring_Model!$C$14,0),IF($G111="Higher is better",IF(K111&gt;=$H111,A_Scoring_Model!$C$14,IF(K111&lt;$I111,0,A_Scoring_Model!$C$15+(A_Scoring_Model!$C$14-A_Scoring_Model!$C$15)*(K111-$I111)/($H111-$I111))),IF(K111&lt;=$H111,A_Scoring_Model!$C$14,IF(K111&gt;$I111,0,A_Scoring_Model!$C$15+(A_Scoring_Model!$C$14-A_Scoring_Model!$C$15)*($I111-K111)/($I111-$H111))))))</f>
        <v/>
      </c>
      <c r="P111" s="56" t="str">
        <f aca="false">IF(L111="","",IF($H111=$I111,IF(OR(AND($G111="Higher is better",L111&gt;=$H111),AND($G111="Lower is better",L111&lt;=$H111)),A_Scoring_Model!$C$14,0),IF($G111="Higher is better",IF(L111&gt;=$H111,A_Scoring_Model!$C$14,IF(L111&lt;$I111,0,A_Scoring_Model!$C$15+(A_Scoring_Model!$C$14-A_Scoring_Model!$C$15)*(L111-$I111)/($H111-$I111))),IF(L111&lt;=$H111,A_Scoring_Model!$C$14,IF(L111&gt;$I111,0,A_Scoring_Model!$C$15+(A_Scoring_Model!$C$14-A_Scoring_Model!$C$15)*($I111-L111)/($I111-$H111))))))</f>
        <v/>
      </c>
      <c r="Q111" s="56" t="str">
        <f aca="false">IF(M111="","",IF($H111=$I111,IF(OR(AND($G111="Higher is better",M111&gt;=$H111),AND($G111="Lower is better",M111&lt;=$H111)),A_Scoring_Model!$C$14,0),IF($G111="Higher is better",IF(M111&gt;=$H111,A_Scoring_Model!$C$14,IF(M111&lt;$I111,0,A_Scoring_Model!$C$15+(A_Scoring_Model!$C$14-A_Scoring_Model!$C$15)*(M111-$I111)/($H111-$I111))),IF(M111&lt;=$H111,A_Scoring_Model!$C$14,IF(M111&gt;$I111,0,A_Scoring_Model!$C$15+(A_Scoring_Model!$C$14-A_Scoring_Model!$C$15)*($I111-M111)/($I111-$H111))))))</f>
        <v/>
      </c>
    </row>
    <row r="112" customFormat="false" ht="15" hidden="false" customHeight="false" outlineLevel="0" collapsed="false">
      <c r="A112" s="51" t="str">
        <f aca="false">C_KPI_Benchmark!A112</f>
        <v>2.c-D6-17</v>
      </c>
      <c r="B112" s="52" t="str">
        <f aca="false">C_KPI_Benchmark!D112</f>
        <v>2.c</v>
      </c>
      <c r="C112" s="51" t="str">
        <f aca="false">C_KPI_Benchmark!E112</f>
        <v>Risk Scoring &amp; Plan Generator</v>
      </c>
      <c r="D112" s="52" t="str">
        <f aca="false">C_KPI_Benchmark!F112</f>
        <v>D6</v>
      </c>
      <c r="E112" s="51" t="str">
        <f aca="false">C_KPI_Benchmark!J112</f>
        <v>Named owner and support SLA</v>
      </c>
      <c r="F112" s="52" t="str">
        <f aca="false">C_KPI_Benchmark!K112</f>
        <v>Yes/No</v>
      </c>
      <c r="G112" s="51" t="str">
        <f aca="false">C_KPI_Benchmark!L112</f>
        <v>Higher is better</v>
      </c>
      <c r="H112" s="60" t="n">
        <f aca="false">C_KPI_Benchmark!N112</f>
        <v>1</v>
      </c>
      <c r="I112" s="56" t="n">
        <f aca="false">IF(C_KPI_Benchmark!O112&lt;&gt;"",C_KPI_Benchmark!O112,IF(G112="Higher is better",H112*(1-A_Scoring_Model!$C$16),H112*(1+A_Scoring_Model!$C$16)))</f>
        <v>0.8</v>
      </c>
      <c r="J112" s="61"/>
      <c r="K112" s="61"/>
      <c r="L112" s="61"/>
      <c r="M112" s="61"/>
      <c r="N112" s="56" t="str">
        <f aca="false">IF(J112="","",IF($H112=$I112,IF(OR(AND($G112="Higher is better",J112&gt;=$H112),AND($G112="Lower is better",J112&lt;=$H112)),A_Scoring_Model!$C$14,0),IF($G112="Higher is better",IF(J112&gt;=$H112,A_Scoring_Model!$C$14,IF(J112&lt;$I112,0,A_Scoring_Model!$C$15+(A_Scoring_Model!$C$14-A_Scoring_Model!$C$15)*(J112-$I112)/($H112-$I112))),IF(J112&lt;=$H112,A_Scoring_Model!$C$14,IF(J112&gt;$I112,0,A_Scoring_Model!$C$15+(A_Scoring_Model!$C$14-A_Scoring_Model!$C$15)*($I112-J112)/($I112-$H112))))))</f>
        <v/>
      </c>
      <c r="O112" s="56" t="str">
        <f aca="false">IF(K112="","",IF($H112=$I112,IF(OR(AND($G112="Higher is better",K112&gt;=$H112),AND($G112="Lower is better",K112&lt;=$H112)),A_Scoring_Model!$C$14,0),IF($G112="Higher is better",IF(K112&gt;=$H112,A_Scoring_Model!$C$14,IF(K112&lt;$I112,0,A_Scoring_Model!$C$15+(A_Scoring_Model!$C$14-A_Scoring_Model!$C$15)*(K112-$I112)/($H112-$I112))),IF(K112&lt;=$H112,A_Scoring_Model!$C$14,IF(K112&gt;$I112,0,A_Scoring_Model!$C$15+(A_Scoring_Model!$C$14-A_Scoring_Model!$C$15)*($I112-K112)/($I112-$H112))))))</f>
        <v/>
      </c>
      <c r="P112" s="56" t="str">
        <f aca="false">IF(L112="","",IF($H112=$I112,IF(OR(AND($G112="Higher is better",L112&gt;=$H112),AND($G112="Lower is better",L112&lt;=$H112)),A_Scoring_Model!$C$14,0),IF($G112="Higher is better",IF(L112&gt;=$H112,A_Scoring_Model!$C$14,IF(L112&lt;$I112,0,A_Scoring_Model!$C$15+(A_Scoring_Model!$C$14-A_Scoring_Model!$C$15)*(L112-$I112)/($H112-$I112))),IF(L112&lt;=$H112,A_Scoring_Model!$C$14,IF(L112&gt;$I112,0,A_Scoring_Model!$C$15+(A_Scoring_Model!$C$14-A_Scoring_Model!$C$15)*($I112-L112)/($I112-$H112))))))</f>
        <v/>
      </c>
      <c r="Q112" s="56" t="str">
        <f aca="false">IF(M112="","",IF($H112=$I112,IF(OR(AND($G112="Higher is better",M112&gt;=$H112),AND($G112="Lower is better",M112&lt;=$H112)),A_Scoring_Model!$C$14,0),IF($G112="Higher is better",IF(M112&gt;=$H112,A_Scoring_Model!$C$14,IF(M112&lt;$I112,0,A_Scoring_Model!$C$15+(A_Scoring_Model!$C$14-A_Scoring_Model!$C$15)*(M112-$I112)/($H112-$I112))),IF(M112&lt;=$H112,A_Scoring_Model!$C$14,IF(M112&gt;$I112,0,A_Scoring_Model!$C$15+(A_Scoring_Model!$C$14-A_Scoring_Model!$C$15)*($I112-M112)/($I112-$H112))))))</f>
        <v/>
      </c>
    </row>
    <row r="113" customFormat="false" ht="23.85" hidden="false" customHeight="false" outlineLevel="0" collapsed="false">
      <c r="A113" s="51" t="str">
        <f aca="false">C_KPI_Benchmark!A113</f>
        <v>3.a-D1-01</v>
      </c>
      <c r="B113" s="52" t="str">
        <f aca="false">C_KPI_Benchmark!D113</f>
        <v>3.a</v>
      </c>
      <c r="C113" s="51" t="str">
        <f aca="false">C_KPI_Benchmark!E113</f>
        <v>Scenario + LLM Test Case Gen Agent</v>
      </c>
      <c r="D113" s="52" t="str">
        <f aca="false">C_KPI_Benchmark!F113</f>
        <v>D1</v>
      </c>
      <c r="E113" s="51" t="str">
        <f aca="false">C_KPI_Benchmark!J113</f>
        <v>Requirement coverage</v>
      </c>
      <c r="F113" s="52" t="str">
        <f aca="false">C_KPI_Benchmark!K113</f>
        <v>%</v>
      </c>
      <c r="G113" s="51" t="str">
        <f aca="false">C_KPI_Benchmark!L113</f>
        <v>Higher is better</v>
      </c>
      <c r="H113" s="53" t="n">
        <f aca="false">C_KPI_Benchmark!N113</f>
        <v>0.95</v>
      </c>
      <c r="I113" s="54" t="n">
        <f aca="false">IF(C_KPI_Benchmark!O113&lt;&gt;"",C_KPI_Benchmark!O113,IF(G113="Higher is better",H113*(1-A_Scoring_Model!$C$16),H113*(1+A_Scoring_Model!$C$16)))</f>
        <v>0.85</v>
      </c>
      <c r="J113" s="55"/>
      <c r="K113" s="55"/>
      <c r="L113" s="55"/>
      <c r="M113" s="55"/>
      <c r="N113" s="56" t="str">
        <f aca="false">IF(J113="","",IF($H113=$I113,IF(OR(AND($G113="Higher is better",J113&gt;=$H113),AND($G113="Lower is better",J113&lt;=$H113)),A_Scoring_Model!$C$14,0),IF($G113="Higher is better",IF(J113&gt;=$H113,A_Scoring_Model!$C$14,IF(J113&lt;$I113,0,A_Scoring_Model!$C$15+(A_Scoring_Model!$C$14-A_Scoring_Model!$C$15)*(J113-$I113)/($H113-$I113))),IF(J113&lt;=$H113,A_Scoring_Model!$C$14,IF(J113&gt;$I113,0,A_Scoring_Model!$C$15+(A_Scoring_Model!$C$14-A_Scoring_Model!$C$15)*($I113-J113)/($I113-$H113))))))</f>
        <v/>
      </c>
      <c r="O113" s="56" t="str">
        <f aca="false">IF(K113="","",IF($H113=$I113,IF(OR(AND($G113="Higher is better",K113&gt;=$H113),AND($G113="Lower is better",K113&lt;=$H113)),A_Scoring_Model!$C$14,0),IF($G113="Higher is better",IF(K113&gt;=$H113,A_Scoring_Model!$C$14,IF(K113&lt;$I113,0,A_Scoring_Model!$C$15+(A_Scoring_Model!$C$14-A_Scoring_Model!$C$15)*(K113-$I113)/($H113-$I113))),IF(K113&lt;=$H113,A_Scoring_Model!$C$14,IF(K113&gt;$I113,0,A_Scoring_Model!$C$15+(A_Scoring_Model!$C$14-A_Scoring_Model!$C$15)*($I113-K113)/($I113-$H113))))))</f>
        <v/>
      </c>
      <c r="P113" s="56" t="str">
        <f aca="false">IF(L113="","",IF($H113=$I113,IF(OR(AND($G113="Higher is better",L113&gt;=$H113),AND($G113="Lower is better",L113&lt;=$H113)),A_Scoring_Model!$C$14,0),IF($G113="Higher is better",IF(L113&gt;=$H113,A_Scoring_Model!$C$14,IF(L113&lt;$I113,0,A_Scoring_Model!$C$15+(A_Scoring_Model!$C$14-A_Scoring_Model!$C$15)*(L113-$I113)/($H113-$I113))),IF(L113&lt;=$H113,A_Scoring_Model!$C$14,IF(L113&gt;$I113,0,A_Scoring_Model!$C$15+(A_Scoring_Model!$C$14-A_Scoring_Model!$C$15)*($I113-L113)/($I113-$H113))))))</f>
        <v/>
      </c>
      <c r="Q113" s="56" t="str">
        <f aca="false">IF(M113="","",IF($H113=$I113,IF(OR(AND($G113="Higher is better",M113&gt;=$H113),AND($G113="Lower is better",M113&lt;=$H113)),A_Scoring_Model!$C$14,0),IF($G113="Higher is better",IF(M113&gt;=$H113,A_Scoring_Model!$C$14,IF(M113&lt;$I113,0,A_Scoring_Model!$C$15+(A_Scoring_Model!$C$14-A_Scoring_Model!$C$15)*(M113-$I113)/($H113-$I113))),IF(M113&lt;=$H113,A_Scoring_Model!$C$14,IF(M113&gt;$I113,0,A_Scoring_Model!$C$15+(A_Scoring_Model!$C$14-A_Scoring_Model!$C$15)*($I113-M113)/($I113-$H113))))))</f>
        <v/>
      </c>
    </row>
    <row r="114" customFormat="false" ht="23.85" hidden="false" customHeight="false" outlineLevel="0" collapsed="false">
      <c r="A114" s="51" t="str">
        <f aca="false">C_KPI_Benchmark!A114</f>
        <v>3.a-D1-02</v>
      </c>
      <c r="B114" s="52" t="str">
        <f aca="false">C_KPI_Benchmark!D114</f>
        <v>3.a</v>
      </c>
      <c r="C114" s="51" t="str">
        <f aca="false">C_KPI_Benchmark!E114</f>
        <v>Scenario + LLM Test Case Gen Agent</v>
      </c>
      <c r="D114" s="52" t="str">
        <f aca="false">C_KPI_Benchmark!F114</f>
        <v>D1</v>
      </c>
      <c r="E114" s="51" t="str">
        <f aca="false">C_KPI_Benchmark!J114</f>
        <v>Valid, executable TC rate</v>
      </c>
      <c r="F114" s="52" t="str">
        <f aca="false">C_KPI_Benchmark!K114</f>
        <v>%</v>
      </c>
      <c r="G114" s="51" t="str">
        <f aca="false">C_KPI_Benchmark!L114</f>
        <v>Higher is better</v>
      </c>
      <c r="H114" s="53" t="n">
        <f aca="false">C_KPI_Benchmark!N114</f>
        <v>0.9</v>
      </c>
      <c r="I114" s="54" t="n">
        <f aca="false">IF(C_KPI_Benchmark!O114&lt;&gt;"",C_KPI_Benchmark!O114,IF(G114="Higher is better",H114*(1-A_Scoring_Model!$C$16),H114*(1+A_Scoring_Model!$C$16)))</f>
        <v>0.8</v>
      </c>
      <c r="J114" s="55"/>
      <c r="K114" s="55"/>
      <c r="L114" s="55"/>
      <c r="M114" s="55"/>
      <c r="N114" s="56" t="str">
        <f aca="false">IF(J114="","",IF($H114=$I114,IF(OR(AND($G114="Higher is better",J114&gt;=$H114),AND($G114="Lower is better",J114&lt;=$H114)),A_Scoring_Model!$C$14,0),IF($G114="Higher is better",IF(J114&gt;=$H114,A_Scoring_Model!$C$14,IF(J114&lt;$I114,0,A_Scoring_Model!$C$15+(A_Scoring_Model!$C$14-A_Scoring_Model!$C$15)*(J114-$I114)/($H114-$I114))),IF(J114&lt;=$H114,A_Scoring_Model!$C$14,IF(J114&gt;$I114,0,A_Scoring_Model!$C$15+(A_Scoring_Model!$C$14-A_Scoring_Model!$C$15)*($I114-J114)/($I114-$H114))))))</f>
        <v/>
      </c>
      <c r="O114" s="56" t="str">
        <f aca="false">IF(K114="","",IF($H114=$I114,IF(OR(AND($G114="Higher is better",K114&gt;=$H114),AND($G114="Lower is better",K114&lt;=$H114)),A_Scoring_Model!$C$14,0),IF($G114="Higher is better",IF(K114&gt;=$H114,A_Scoring_Model!$C$14,IF(K114&lt;$I114,0,A_Scoring_Model!$C$15+(A_Scoring_Model!$C$14-A_Scoring_Model!$C$15)*(K114-$I114)/($H114-$I114))),IF(K114&lt;=$H114,A_Scoring_Model!$C$14,IF(K114&gt;$I114,0,A_Scoring_Model!$C$15+(A_Scoring_Model!$C$14-A_Scoring_Model!$C$15)*($I114-K114)/($I114-$H114))))))</f>
        <v/>
      </c>
      <c r="P114" s="56" t="str">
        <f aca="false">IF(L114="","",IF($H114=$I114,IF(OR(AND($G114="Higher is better",L114&gt;=$H114),AND($G114="Lower is better",L114&lt;=$H114)),A_Scoring_Model!$C$14,0),IF($G114="Higher is better",IF(L114&gt;=$H114,A_Scoring_Model!$C$14,IF(L114&lt;$I114,0,A_Scoring_Model!$C$15+(A_Scoring_Model!$C$14-A_Scoring_Model!$C$15)*(L114-$I114)/($H114-$I114))),IF(L114&lt;=$H114,A_Scoring_Model!$C$14,IF(L114&gt;$I114,0,A_Scoring_Model!$C$15+(A_Scoring_Model!$C$14-A_Scoring_Model!$C$15)*($I114-L114)/($I114-$H114))))))</f>
        <v/>
      </c>
      <c r="Q114" s="56" t="str">
        <f aca="false">IF(M114="","",IF($H114=$I114,IF(OR(AND($G114="Higher is better",M114&gt;=$H114),AND($G114="Lower is better",M114&lt;=$H114)),A_Scoring_Model!$C$14,0),IF($G114="Higher is better",IF(M114&gt;=$H114,A_Scoring_Model!$C$14,IF(M114&lt;$I114,0,A_Scoring_Model!$C$15+(A_Scoring_Model!$C$14-A_Scoring_Model!$C$15)*(M114-$I114)/($H114-$I114))),IF(M114&lt;=$H114,A_Scoring_Model!$C$14,IF(M114&gt;$I114,0,A_Scoring_Model!$C$15+(A_Scoring_Model!$C$14-A_Scoring_Model!$C$15)*($I114-M114)/($I114-$H114))))))</f>
        <v/>
      </c>
    </row>
    <row r="115" customFormat="false" ht="23.85" hidden="false" customHeight="false" outlineLevel="0" collapsed="false">
      <c r="A115" s="51" t="str">
        <f aca="false">C_KPI_Benchmark!A115</f>
        <v>3.a-D1-03</v>
      </c>
      <c r="B115" s="52" t="str">
        <f aca="false">C_KPI_Benchmark!D115</f>
        <v>3.a</v>
      </c>
      <c r="C115" s="51" t="str">
        <f aca="false">C_KPI_Benchmark!E115</f>
        <v>Scenario + LLM Test Case Gen Agent</v>
      </c>
      <c r="D115" s="52" t="str">
        <f aca="false">C_KPI_Benchmark!F115</f>
        <v>D1</v>
      </c>
      <c r="E115" s="51" t="str">
        <f aca="false">C_KPI_Benchmark!J115</f>
        <v>Fault detection vs expert suite (mutation parity)</v>
      </c>
      <c r="F115" s="52" t="str">
        <f aca="false">C_KPI_Benchmark!K115</f>
        <v>%</v>
      </c>
      <c r="G115" s="51" t="str">
        <f aca="false">C_KPI_Benchmark!L115</f>
        <v>Higher is better</v>
      </c>
      <c r="H115" s="53" t="n">
        <f aca="false">C_KPI_Benchmark!N115</f>
        <v>0.9</v>
      </c>
      <c r="I115" s="54" t="n">
        <f aca="false">IF(C_KPI_Benchmark!O115&lt;&gt;"",C_KPI_Benchmark!O115,IF(G115="Higher is better",H115*(1-A_Scoring_Model!$C$16),H115*(1+A_Scoring_Model!$C$16)))</f>
        <v>0.75</v>
      </c>
      <c r="J115" s="55"/>
      <c r="K115" s="55"/>
      <c r="L115" s="55"/>
      <c r="M115" s="55"/>
      <c r="N115" s="56" t="str">
        <f aca="false">IF(J115="","",IF($H115=$I115,IF(OR(AND($G115="Higher is better",J115&gt;=$H115),AND($G115="Lower is better",J115&lt;=$H115)),A_Scoring_Model!$C$14,0),IF($G115="Higher is better",IF(J115&gt;=$H115,A_Scoring_Model!$C$14,IF(J115&lt;$I115,0,A_Scoring_Model!$C$15+(A_Scoring_Model!$C$14-A_Scoring_Model!$C$15)*(J115-$I115)/($H115-$I115))),IF(J115&lt;=$H115,A_Scoring_Model!$C$14,IF(J115&gt;$I115,0,A_Scoring_Model!$C$15+(A_Scoring_Model!$C$14-A_Scoring_Model!$C$15)*($I115-J115)/($I115-$H115))))))</f>
        <v/>
      </c>
      <c r="O115" s="56" t="str">
        <f aca="false">IF(K115="","",IF($H115=$I115,IF(OR(AND($G115="Higher is better",K115&gt;=$H115),AND($G115="Lower is better",K115&lt;=$H115)),A_Scoring_Model!$C$14,0),IF($G115="Higher is better",IF(K115&gt;=$H115,A_Scoring_Model!$C$14,IF(K115&lt;$I115,0,A_Scoring_Model!$C$15+(A_Scoring_Model!$C$14-A_Scoring_Model!$C$15)*(K115-$I115)/($H115-$I115))),IF(K115&lt;=$H115,A_Scoring_Model!$C$14,IF(K115&gt;$I115,0,A_Scoring_Model!$C$15+(A_Scoring_Model!$C$14-A_Scoring_Model!$C$15)*($I115-K115)/($I115-$H115))))))</f>
        <v/>
      </c>
      <c r="P115" s="56" t="str">
        <f aca="false">IF(L115="","",IF($H115=$I115,IF(OR(AND($G115="Higher is better",L115&gt;=$H115),AND($G115="Lower is better",L115&lt;=$H115)),A_Scoring_Model!$C$14,0),IF($G115="Higher is better",IF(L115&gt;=$H115,A_Scoring_Model!$C$14,IF(L115&lt;$I115,0,A_Scoring_Model!$C$15+(A_Scoring_Model!$C$14-A_Scoring_Model!$C$15)*(L115-$I115)/($H115-$I115))),IF(L115&lt;=$H115,A_Scoring_Model!$C$14,IF(L115&gt;$I115,0,A_Scoring_Model!$C$15+(A_Scoring_Model!$C$14-A_Scoring_Model!$C$15)*($I115-L115)/($I115-$H115))))))</f>
        <v/>
      </c>
      <c r="Q115" s="56" t="str">
        <f aca="false">IF(M115="","",IF($H115=$I115,IF(OR(AND($G115="Higher is better",M115&gt;=$H115),AND($G115="Lower is better",M115&lt;=$H115)),A_Scoring_Model!$C$14,0),IF($G115="Higher is better",IF(M115&gt;=$H115,A_Scoring_Model!$C$14,IF(M115&lt;$I115,0,A_Scoring_Model!$C$15+(A_Scoring_Model!$C$14-A_Scoring_Model!$C$15)*(M115-$I115)/($H115-$I115))),IF(M115&lt;=$H115,A_Scoring_Model!$C$14,IF(M115&gt;$I115,0,A_Scoring_Model!$C$15+(A_Scoring_Model!$C$14-A_Scoring_Model!$C$15)*($I115-M115)/($I115-$H115))))))</f>
        <v/>
      </c>
    </row>
    <row r="116" customFormat="false" ht="23.85" hidden="false" customHeight="false" outlineLevel="0" collapsed="false">
      <c r="A116" s="51" t="str">
        <f aca="false">C_KPI_Benchmark!A116</f>
        <v>3.a-D1-04</v>
      </c>
      <c r="B116" s="52" t="str">
        <f aca="false">C_KPI_Benchmark!D116</f>
        <v>3.a</v>
      </c>
      <c r="C116" s="51" t="str">
        <f aca="false">C_KPI_Benchmark!E116</f>
        <v>Scenario + LLM Test Case Gen Agent</v>
      </c>
      <c r="D116" s="52" t="str">
        <f aca="false">C_KPI_Benchmark!F116</f>
        <v>D1</v>
      </c>
      <c r="E116" s="51" t="str">
        <f aca="false">C_KPI_Benchmark!J116</f>
        <v>Duplicate TCs</v>
      </c>
      <c r="F116" s="52" t="str">
        <f aca="false">C_KPI_Benchmark!K116</f>
        <v>%</v>
      </c>
      <c r="G116" s="51" t="str">
        <f aca="false">C_KPI_Benchmark!L116</f>
        <v>Lower is better</v>
      </c>
      <c r="H116" s="53" t="n">
        <f aca="false">C_KPI_Benchmark!N116</f>
        <v>0.05</v>
      </c>
      <c r="I116" s="54" t="n">
        <f aca="false">IF(C_KPI_Benchmark!O116&lt;&gt;"",C_KPI_Benchmark!O116,IF(G116="Higher is better",H116*(1-A_Scoring_Model!$C$16),H116*(1+A_Scoring_Model!$C$16)))</f>
        <v>0.1</v>
      </c>
      <c r="J116" s="55"/>
      <c r="K116" s="55"/>
      <c r="L116" s="55"/>
      <c r="M116" s="55"/>
      <c r="N116" s="56" t="str">
        <f aca="false">IF(J116="","",IF($H116=$I116,IF(OR(AND($G116="Higher is better",J116&gt;=$H116),AND($G116="Lower is better",J116&lt;=$H116)),A_Scoring_Model!$C$14,0),IF($G116="Higher is better",IF(J116&gt;=$H116,A_Scoring_Model!$C$14,IF(J116&lt;$I116,0,A_Scoring_Model!$C$15+(A_Scoring_Model!$C$14-A_Scoring_Model!$C$15)*(J116-$I116)/($H116-$I116))),IF(J116&lt;=$H116,A_Scoring_Model!$C$14,IF(J116&gt;$I116,0,A_Scoring_Model!$C$15+(A_Scoring_Model!$C$14-A_Scoring_Model!$C$15)*($I116-J116)/($I116-$H116))))))</f>
        <v/>
      </c>
      <c r="O116" s="56" t="str">
        <f aca="false">IF(K116="","",IF($H116=$I116,IF(OR(AND($G116="Higher is better",K116&gt;=$H116),AND($G116="Lower is better",K116&lt;=$H116)),A_Scoring_Model!$C$14,0),IF($G116="Higher is better",IF(K116&gt;=$H116,A_Scoring_Model!$C$14,IF(K116&lt;$I116,0,A_Scoring_Model!$C$15+(A_Scoring_Model!$C$14-A_Scoring_Model!$C$15)*(K116-$I116)/($H116-$I116))),IF(K116&lt;=$H116,A_Scoring_Model!$C$14,IF(K116&gt;$I116,0,A_Scoring_Model!$C$15+(A_Scoring_Model!$C$14-A_Scoring_Model!$C$15)*($I116-K116)/($I116-$H116))))))</f>
        <v/>
      </c>
      <c r="P116" s="56" t="str">
        <f aca="false">IF(L116="","",IF($H116=$I116,IF(OR(AND($G116="Higher is better",L116&gt;=$H116),AND($G116="Lower is better",L116&lt;=$H116)),A_Scoring_Model!$C$14,0),IF($G116="Higher is better",IF(L116&gt;=$H116,A_Scoring_Model!$C$14,IF(L116&lt;$I116,0,A_Scoring_Model!$C$15+(A_Scoring_Model!$C$14-A_Scoring_Model!$C$15)*(L116-$I116)/($H116-$I116))),IF(L116&lt;=$H116,A_Scoring_Model!$C$14,IF(L116&gt;$I116,0,A_Scoring_Model!$C$15+(A_Scoring_Model!$C$14-A_Scoring_Model!$C$15)*($I116-L116)/($I116-$H116))))))</f>
        <v/>
      </c>
      <c r="Q116" s="56" t="str">
        <f aca="false">IF(M116="","",IF($H116=$I116,IF(OR(AND($G116="Higher is better",M116&gt;=$H116),AND($G116="Lower is better",M116&lt;=$H116)),A_Scoring_Model!$C$14,0),IF($G116="Higher is better",IF(M116&gt;=$H116,A_Scoring_Model!$C$14,IF(M116&lt;$I116,0,A_Scoring_Model!$C$15+(A_Scoring_Model!$C$14-A_Scoring_Model!$C$15)*(M116-$I116)/($H116-$I116))),IF(M116&lt;=$H116,A_Scoring_Model!$C$14,IF(M116&gt;$I116,0,A_Scoring_Model!$C$15+(A_Scoring_Model!$C$14-A_Scoring_Model!$C$15)*($I116-M116)/($I116-$H116))))))</f>
        <v/>
      </c>
    </row>
    <row r="117" customFormat="false" ht="23.85" hidden="false" customHeight="false" outlineLevel="0" collapsed="false">
      <c r="A117" s="51" t="str">
        <f aca="false">C_KPI_Benchmark!A117</f>
        <v>3.a-D2-05</v>
      </c>
      <c r="B117" s="52" t="str">
        <f aca="false">C_KPI_Benchmark!D117</f>
        <v>3.a</v>
      </c>
      <c r="C117" s="51" t="str">
        <f aca="false">C_KPI_Benchmark!E117</f>
        <v>Scenario + LLM Test Case Gen Agent</v>
      </c>
      <c r="D117" s="52" t="str">
        <f aca="false">C_KPI_Benchmark!F117</f>
        <v>D2</v>
      </c>
      <c r="E117" s="51" t="str">
        <f aca="false">C_KPI_Benchmark!J117</f>
        <v>Technique plug-ins + domain packs (NVMe admin / IO, UFS UPIU)</v>
      </c>
      <c r="F117" s="52" t="str">
        <f aca="false">C_KPI_Benchmark!K117</f>
        <v>Yes/No</v>
      </c>
      <c r="G117" s="51" t="str">
        <f aca="false">C_KPI_Benchmark!L117</f>
        <v>Higher is better</v>
      </c>
      <c r="H117" s="60" t="n">
        <f aca="false">C_KPI_Benchmark!N117</f>
        <v>1</v>
      </c>
      <c r="I117" s="56" t="n">
        <f aca="false">IF(C_KPI_Benchmark!O117&lt;&gt;"",C_KPI_Benchmark!O117,IF(G117="Higher is better",H117*(1-A_Scoring_Model!$C$16),H117*(1+A_Scoring_Model!$C$16)))</f>
        <v>0.8</v>
      </c>
      <c r="J117" s="61"/>
      <c r="K117" s="61"/>
      <c r="L117" s="61"/>
      <c r="M117" s="61"/>
      <c r="N117" s="56" t="str">
        <f aca="false">IF(J117="","",IF($H117=$I117,IF(OR(AND($G117="Higher is better",J117&gt;=$H117),AND($G117="Lower is better",J117&lt;=$H117)),A_Scoring_Model!$C$14,0),IF($G117="Higher is better",IF(J117&gt;=$H117,A_Scoring_Model!$C$14,IF(J117&lt;$I117,0,A_Scoring_Model!$C$15+(A_Scoring_Model!$C$14-A_Scoring_Model!$C$15)*(J117-$I117)/($H117-$I117))),IF(J117&lt;=$H117,A_Scoring_Model!$C$14,IF(J117&gt;$I117,0,A_Scoring_Model!$C$15+(A_Scoring_Model!$C$14-A_Scoring_Model!$C$15)*($I117-J117)/($I117-$H117))))))</f>
        <v/>
      </c>
      <c r="O117" s="56" t="str">
        <f aca="false">IF(K117="","",IF($H117=$I117,IF(OR(AND($G117="Higher is better",K117&gt;=$H117),AND($G117="Lower is better",K117&lt;=$H117)),A_Scoring_Model!$C$14,0),IF($G117="Higher is better",IF(K117&gt;=$H117,A_Scoring_Model!$C$14,IF(K117&lt;$I117,0,A_Scoring_Model!$C$15+(A_Scoring_Model!$C$14-A_Scoring_Model!$C$15)*(K117-$I117)/($H117-$I117))),IF(K117&lt;=$H117,A_Scoring_Model!$C$14,IF(K117&gt;$I117,0,A_Scoring_Model!$C$15+(A_Scoring_Model!$C$14-A_Scoring_Model!$C$15)*($I117-K117)/($I117-$H117))))))</f>
        <v/>
      </c>
      <c r="P117" s="56" t="str">
        <f aca="false">IF(L117="","",IF($H117=$I117,IF(OR(AND($G117="Higher is better",L117&gt;=$H117),AND($G117="Lower is better",L117&lt;=$H117)),A_Scoring_Model!$C$14,0),IF($G117="Higher is better",IF(L117&gt;=$H117,A_Scoring_Model!$C$14,IF(L117&lt;$I117,0,A_Scoring_Model!$C$15+(A_Scoring_Model!$C$14-A_Scoring_Model!$C$15)*(L117-$I117)/($H117-$I117))),IF(L117&lt;=$H117,A_Scoring_Model!$C$14,IF(L117&gt;$I117,0,A_Scoring_Model!$C$15+(A_Scoring_Model!$C$14-A_Scoring_Model!$C$15)*($I117-L117)/($I117-$H117))))))</f>
        <v/>
      </c>
      <c r="Q117" s="56" t="str">
        <f aca="false">IF(M117="","",IF($H117=$I117,IF(OR(AND($G117="Higher is better",M117&gt;=$H117),AND($G117="Lower is better",M117&lt;=$H117)),A_Scoring_Model!$C$14,0),IF($G117="Higher is better",IF(M117&gt;=$H117,A_Scoring_Model!$C$14,IF(M117&lt;$I117,0,A_Scoring_Model!$C$15+(A_Scoring_Model!$C$14-A_Scoring_Model!$C$15)*(M117-$I117)/($H117-$I117))),IF(M117&lt;=$H117,A_Scoring_Model!$C$14,IF(M117&gt;$I117,0,A_Scoring_Model!$C$15+(A_Scoring_Model!$C$14-A_Scoring_Model!$C$15)*($I117-M117)/($I117-$H117))))))</f>
        <v/>
      </c>
    </row>
    <row r="118" customFormat="false" ht="23.85" hidden="false" customHeight="false" outlineLevel="0" collapsed="false">
      <c r="A118" s="51" t="str">
        <f aca="false">C_KPI_Benchmark!A118</f>
        <v>3.a-D2-06</v>
      </c>
      <c r="B118" s="52" t="str">
        <f aca="false">C_KPI_Benchmark!D118</f>
        <v>3.a</v>
      </c>
      <c r="C118" s="51" t="str">
        <f aca="false">C_KPI_Benchmark!E118</f>
        <v>Scenario + LLM Test Case Gen Agent</v>
      </c>
      <c r="D118" s="52" t="str">
        <f aca="false">C_KPI_Benchmark!F118</f>
        <v>D2</v>
      </c>
      <c r="E118" s="51" t="str">
        <f aca="false">C_KPI_Benchmark!J118</f>
        <v>Product lines supported with ≤10% efficacy drop (NVMe SSD, UFS, eMMC/uSD, PSSD)</v>
      </c>
      <c r="F118" s="52" t="str">
        <f aca="false">C_KPI_Benchmark!K118</f>
        <v>count</v>
      </c>
      <c r="G118" s="51" t="str">
        <f aca="false">C_KPI_Benchmark!L118</f>
        <v>Higher is better</v>
      </c>
      <c r="H118" s="62" t="n">
        <f aca="false">C_KPI_Benchmark!N118</f>
        <v>3</v>
      </c>
      <c r="I118" s="63" t="n">
        <f aca="false">IF(C_KPI_Benchmark!O118&lt;&gt;"",C_KPI_Benchmark!O118,IF(G118="Higher is better",H118*(1-A_Scoring_Model!$C$16),H118*(1+A_Scoring_Model!$C$16)))</f>
        <v>2</v>
      </c>
      <c r="J118" s="64"/>
      <c r="K118" s="64"/>
      <c r="L118" s="64"/>
      <c r="M118" s="64"/>
      <c r="N118" s="56" t="str">
        <f aca="false">IF(J118="","",IF($H118=$I118,IF(OR(AND($G118="Higher is better",J118&gt;=$H118),AND($G118="Lower is better",J118&lt;=$H118)),A_Scoring_Model!$C$14,0),IF($G118="Higher is better",IF(J118&gt;=$H118,A_Scoring_Model!$C$14,IF(J118&lt;$I118,0,A_Scoring_Model!$C$15+(A_Scoring_Model!$C$14-A_Scoring_Model!$C$15)*(J118-$I118)/($H118-$I118))),IF(J118&lt;=$H118,A_Scoring_Model!$C$14,IF(J118&gt;$I118,0,A_Scoring_Model!$C$15+(A_Scoring_Model!$C$14-A_Scoring_Model!$C$15)*($I118-J118)/($I118-$H118))))))</f>
        <v/>
      </c>
      <c r="O118" s="56" t="str">
        <f aca="false">IF(K118="","",IF($H118=$I118,IF(OR(AND($G118="Higher is better",K118&gt;=$H118),AND($G118="Lower is better",K118&lt;=$H118)),A_Scoring_Model!$C$14,0),IF($G118="Higher is better",IF(K118&gt;=$H118,A_Scoring_Model!$C$14,IF(K118&lt;$I118,0,A_Scoring_Model!$C$15+(A_Scoring_Model!$C$14-A_Scoring_Model!$C$15)*(K118-$I118)/($H118-$I118))),IF(K118&lt;=$H118,A_Scoring_Model!$C$14,IF(K118&gt;$I118,0,A_Scoring_Model!$C$15+(A_Scoring_Model!$C$14-A_Scoring_Model!$C$15)*($I118-K118)/($I118-$H118))))))</f>
        <v/>
      </c>
      <c r="P118" s="56" t="str">
        <f aca="false">IF(L118="","",IF($H118=$I118,IF(OR(AND($G118="Higher is better",L118&gt;=$H118),AND($G118="Lower is better",L118&lt;=$H118)),A_Scoring_Model!$C$14,0),IF($G118="Higher is better",IF(L118&gt;=$H118,A_Scoring_Model!$C$14,IF(L118&lt;$I118,0,A_Scoring_Model!$C$15+(A_Scoring_Model!$C$14-A_Scoring_Model!$C$15)*(L118-$I118)/($H118-$I118))),IF(L118&lt;=$H118,A_Scoring_Model!$C$14,IF(L118&gt;$I118,0,A_Scoring_Model!$C$15+(A_Scoring_Model!$C$14-A_Scoring_Model!$C$15)*($I118-L118)/($I118-$H118))))))</f>
        <v/>
      </c>
      <c r="Q118" s="56" t="str">
        <f aca="false">IF(M118="","",IF($H118=$I118,IF(OR(AND($G118="Higher is better",M118&gt;=$H118),AND($G118="Lower is better",M118&lt;=$H118)),A_Scoring_Model!$C$14,0),IF($G118="Higher is better",IF(M118&gt;=$H118,A_Scoring_Model!$C$14,IF(M118&lt;$I118,0,A_Scoring_Model!$C$15+(A_Scoring_Model!$C$14-A_Scoring_Model!$C$15)*(M118-$I118)/($H118-$I118))),IF(M118&lt;=$H118,A_Scoring_Model!$C$14,IF(M118&gt;$I118,0,A_Scoring_Model!$C$15+(A_Scoring_Model!$C$14-A_Scoring_Model!$C$15)*($I118-M118)/($I118-$H118))))))</f>
        <v/>
      </c>
    </row>
    <row r="119" customFormat="false" ht="23.85" hidden="false" customHeight="false" outlineLevel="0" collapsed="false">
      <c r="A119" s="51" t="str">
        <f aca="false">C_KPI_Benchmark!A119</f>
        <v>3.a-D2-07</v>
      </c>
      <c r="B119" s="52" t="str">
        <f aca="false">C_KPI_Benchmark!D119</f>
        <v>3.a</v>
      </c>
      <c r="C119" s="51" t="str">
        <f aca="false">C_KPI_Benchmark!E119</f>
        <v>Scenario + LLM Test Case Gen Agent</v>
      </c>
      <c r="D119" s="52" t="str">
        <f aca="false">C_KPI_Benchmark!F119</f>
        <v>D2</v>
      </c>
      <c r="E119" s="51" t="str">
        <f aca="false">C_KPI_Benchmark!J119</f>
        <v>Uses Zion shared services instead of re-implementing them</v>
      </c>
      <c r="F119" s="52" t="str">
        <f aca="false">C_KPI_Benchmark!K119</f>
        <v>Yes/No</v>
      </c>
      <c r="G119" s="51" t="str">
        <f aca="false">C_KPI_Benchmark!L119</f>
        <v>Higher is better</v>
      </c>
      <c r="H119" s="60" t="n">
        <f aca="false">C_KPI_Benchmark!N119</f>
        <v>1</v>
      </c>
      <c r="I119" s="56" t="n">
        <f aca="false">IF(C_KPI_Benchmark!O119&lt;&gt;"",C_KPI_Benchmark!O119,IF(G119="Higher is better",H119*(1-A_Scoring_Model!$C$16),H119*(1+A_Scoring_Model!$C$16)))</f>
        <v>0.8</v>
      </c>
      <c r="J119" s="61"/>
      <c r="K119" s="61"/>
      <c r="L119" s="61"/>
      <c r="M119" s="61"/>
      <c r="N119" s="56" t="str">
        <f aca="false">IF(J119="","",IF($H119=$I119,IF(OR(AND($G119="Higher is better",J119&gt;=$H119),AND($G119="Lower is better",J119&lt;=$H119)),A_Scoring_Model!$C$14,0),IF($G119="Higher is better",IF(J119&gt;=$H119,A_Scoring_Model!$C$14,IF(J119&lt;$I119,0,A_Scoring_Model!$C$15+(A_Scoring_Model!$C$14-A_Scoring_Model!$C$15)*(J119-$I119)/($H119-$I119))),IF(J119&lt;=$H119,A_Scoring_Model!$C$14,IF(J119&gt;$I119,0,A_Scoring_Model!$C$15+(A_Scoring_Model!$C$14-A_Scoring_Model!$C$15)*($I119-J119)/($I119-$H119))))))</f>
        <v/>
      </c>
      <c r="O119" s="56" t="str">
        <f aca="false">IF(K119="","",IF($H119=$I119,IF(OR(AND($G119="Higher is better",K119&gt;=$H119),AND($G119="Lower is better",K119&lt;=$H119)),A_Scoring_Model!$C$14,0),IF($G119="Higher is better",IF(K119&gt;=$H119,A_Scoring_Model!$C$14,IF(K119&lt;$I119,0,A_Scoring_Model!$C$15+(A_Scoring_Model!$C$14-A_Scoring_Model!$C$15)*(K119-$I119)/($H119-$I119))),IF(K119&lt;=$H119,A_Scoring_Model!$C$14,IF(K119&gt;$I119,0,A_Scoring_Model!$C$15+(A_Scoring_Model!$C$14-A_Scoring_Model!$C$15)*($I119-K119)/($I119-$H119))))))</f>
        <v/>
      </c>
      <c r="P119" s="56" t="str">
        <f aca="false">IF(L119="","",IF($H119=$I119,IF(OR(AND($G119="Higher is better",L119&gt;=$H119),AND($G119="Lower is better",L119&lt;=$H119)),A_Scoring_Model!$C$14,0),IF($G119="Higher is better",IF(L119&gt;=$H119,A_Scoring_Model!$C$14,IF(L119&lt;$I119,0,A_Scoring_Model!$C$15+(A_Scoring_Model!$C$14-A_Scoring_Model!$C$15)*(L119-$I119)/($H119-$I119))),IF(L119&lt;=$H119,A_Scoring_Model!$C$14,IF(L119&gt;$I119,0,A_Scoring_Model!$C$15+(A_Scoring_Model!$C$14-A_Scoring_Model!$C$15)*($I119-L119)/($I119-$H119))))))</f>
        <v/>
      </c>
      <c r="Q119" s="56" t="str">
        <f aca="false">IF(M119="","",IF($H119=$I119,IF(OR(AND($G119="Higher is better",M119&gt;=$H119),AND($G119="Lower is better",M119&lt;=$H119)),A_Scoring_Model!$C$14,0),IF($G119="Higher is better",IF(M119&gt;=$H119,A_Scoring_Model!$C$14,IF(M119&lt;$I119,0,A_Scoring_Model!$C$15+(A_Scoring_Model!$C$14-A_Scoring_Model!$C$15)*(M119-$I119)/($H119-$I119))),IF(M119&lt;=$H119,A_Scoring_Model!$C$14,IF(M119&gt;$I119,0,A_Scoring_Model!$C$15+(A_Scoring_Model!$C$14-A_Scoring_Model!$C$15)*($I119-M119)/($I119-$H119))))))</f>
        <v/>
      </c>
    </row>
    <row r="120" customFormat="false" ht="23.85" hidden="false" customHeight="false" outlineLevel="0" collapsed="false">
      <c r="A120" s="51" t="str">
        <f aca="false">C_KPI_Benchmark!A120</f>
        <v>3.a-D3-08</v>
      </c>
      <c r="B120" s="52" t="str">
        <f aca="false">C_KPI_Benchmark!D120</f>
        <v>3.a</v>
      </c>
      <c r="C120" s="51" t="str">
        <f aca="false">C_KPI_Benchmark!E120</f>
        <v>Scenario + LLM Test Case Gen Agent</v>
      </c>
      <c r="D120" s="52" t="str">
        <f aca="false">C_KPI_Benchmark!F120</f>
        <v>D3</v>
      </c>
      <c r="E120" s="51" t="str">
        <f aca="false">C_KPI_Benchmark!J120</f>
        <v>Throughput</v>
      </c>
      <c r="F120" s="52" t="str">
        <f aca="false">C_KPI_Benchmark!K120</f>
        <v>TCs/hr</v>
      </c>
      <c r="G120" s="51" t="str">
        <f aca="false">C_KPI_Benchmark!L120</f>
        <v>Higher is better</v>
      </c>
      <c r="H120" s="62" t="n">
        <f aca="false">C_KPI_Benchmark!N120</f>
        <v>500</v>
      </c>
      <c r="I120" s="63" t="n">
        <f aca="false">IF(C_KPI_Benchmark!O120&lt;&gt;"",C_KPI_Benchmark!O120,IF(G120="Higher is better",H120*(1-A_Scoring_Model!$C$16),H120*(1+A_Scoring_Model!$C$16)))</f>
        <v>400</v>
      </c>
      <c r="J120" s="64"/>
      <c r="K120" s="64"/>
      <c r="L120" s="64"/>
      <c r="M120" s="64"/>
      <c r="N120" s="56" t="str">
        <f aca="false">IF(J120="","",IF($H120=$I120,IF(OR(AND($G120="Higher is better",J120&gt;=$H120),AND($G120="Lower is better",J120&lt;=$H120)),A_Scoring_Model!$C$14,0),IF($G120="Higher is better",IF(J120&gt;=$H120,A_Scoring_Model!$C$14,IF(J120&lt;$I120,0,A_Scoring_Model!$C$15+(A_Scoring_Model!$C$14-A_Scoring_Model!$C$15)*(J120-$I120)/($H120-$I120))),IF(J120&lt;=$H120,A_Scoring_Model!$C$14,IF(J120&gt;$I120,0,A_Scoring_Model!$C$15+(A_Scoring_Model!$C$14-A_Scoring_Model!$C$15)*($I120-J120)/($I120-$H120))))))</f>
        <v/>
      </c>
      <c r="O120" s="56" t="str">
        <f aca="false">IF(K120="","",IF($H120=$I120,IF(OR(AND($G120="Higher is better",K120&gt;=$H120),AND($G120="Lower is better",K120&lt;=$H120)),A_Scoring_Model!$C$14,0),IF($G120="Higher is better",IF(K120&gt;=$H120,A_Scoring_Model!$C$14,IF(K120&lt;$I120,0,A_Scoring_Model!$C$15+(A_Scoring_Model!$C$14-A_Scoring_Model!$C$15)*(K120-$I120)/($H120-$I120))),IF(K120&lt;=$H120,A_Scoring_Model!$C$14,IF(K120&gt;$I120,0,A_Scoring_Model!$C$15+(A_Scoring_Model!$C$14-A_Scoring_Model!$C$15)*($I120-K120)/($I120-$H120))))))</f>
        <v/>
      </c>
      <c r="P120" s="56" t="str">
        <f aca="false">IF(L120="","",IF($H120=$I120,IF(OR(AND($G120="Higher is better",L120&gt;=$H120),AND($G120="Lower is better",L120&lt;=$H120)),A_Scoring_Model!$C$14,0),IF($G120="Higher is better",IF(L120&gt;=$H120,A_Scoring_Model!$C$14,IF(L120&lt;$I120,0,A_Scoring_Model!$C$15+(A_Scoring_Model!$C$14-A_Scoring_Model!$C$15)*(L120-$I120)/($H120-$I120))),IF(L120&lt;=$H120,A_Scoring_Model!$C$14,IF(L120&gt;$I120,0,A_Scoring_Model!$C$15+(A_Scoring_Model!$C$14-A_Scoring_Model!$C$15)*($I120-L120)/($I120-$H120))))))</f>
        <v/>
      </c>
      <c r="Q120" s="56" t="str">
        <f aca="false">IF(M120="","",IF($H120=$I120,IF(OR(AND($G120="Higher is better",M120&gt;=$H120),AND($G120="Lower is better",M120&lt;=$H120)),A_Scoring_Model!$C$14,0),IF($G120="Higher is better",IF(M120&gt;=$H120,A_Scoring_Model!$C$14,IF(M120&lt;$I120,0,A_Scoring_Model!$C$15+(A_Scoring_Model!$C$14-A_Scoring_Model!$C$15)*(M120-$I120)/($H120-$I120))),IF(M120&lt;=$H120,A_Scoring_Model!$C$14,IF(M120&gt;$I120,0,A_Scoring_Model!$C$15+(A_Scoring_Model!$C$14-A_Scoring_Model!$C$15)*($I120-M120)/($I120-$H120))))))</f>
        <v/>
      </c>
    </row>
    <row r="121" customFormat="false" ht="23.85" hidden="false" customHeight="false" outlineLevel="0" collapsed="false">
      <c r="A121" s="51" t="str">
        <f aca="false">C_KPI_Benchmark!A121</f>
        <v>3.a-D3-09</v>
      </c>
      <c r="B121" s="52" t="str">
        <f aca="false">C_KPI_Benchmark!D121</f>
        <v>3.a</v>
      </c>
      <c r="C121" s="51" t="str">
        <f aca="false">C_KPI_Benchmark!E121</f>
        <v>Scenario + LLM Test Case Gen Agent</v>
      </c>
      <c r="D121" s="52" t="str">
        <f aca="false">C_KPI_Benchmark!F121</f>
        <v>D3</v>
      </c>
      <c r="E121" s="51" t="str">
        <f aca="false">C_KPI_Benchmark!J121</f>
        <v>Latency degradation at 10× load</v>
      </c>
      <c r="F121" s="52" t="str">
        <f aca="false">C_KPI_Benchmark!K121</f>
        <v>%</v>
      </c>
      <c r="G121" s="51" t="str">
        <f aca="false">C_KPI_Benchmark!L121</f>
        <v>Lower is better</v>
      </c>
      <c r="H121" s="53" t="n">
        <f aca="false">C_KPI_Benchmark!N121</f>
        <v>0.2</v>
      </c>
      <c r="I121" s="54" t="n">
        <f aca="false">IF(C_KPI_Benchmark!O121&lt;&gt;"",C_KPI_Benchmark!O121,IF(G121="Higher is better",H121*(1-A_Scoring_Model!$C$16),H121*(1+A_Scoring_Model!$C$16)))</f>
        <v>0.4</v>
      </c>
      <c r="J121" s="55"/>
      <c r="K121" s="55"/>
      <c r="L121" s="55"/>
      <c r="M121" s="55"/>
      <c r="N121" s="56" t="str">
        <f aca="false">IF(J121="","",IF($H121=$I121,IF(OR(AND($G121="Higher is better",J121&gt;=$H121),AND($G121="Lower is better",J121&lt;=$H121)),A_Scoring_Model!$C$14,0),IF($G121="Higher is better",IF(J121&gt;=$H121,A_Scoring_Model!$C$14,IF(J121&lt;$I121,0,A_Scoring_Model!$C$15+(A_Scoring_Model!$C$14-A_Scoring_Model!$C$15)*(J121-$I121)/($H121-$I121))),IF(J121&lt;=$H121,A_Scoring_Model!$C$14,IF(J121&gt;$I121,0,A_Scoring_Model!$C$15+(A_Scoring_Model!$C$14-A_Scoring_Model!$C$15)*($I121-J121)/($I121-$H121))))))</f>
        <v/>
      </c>
      <c r="O121" s="56" t="str">
        <f aca="false">IF(K121="","",IF($H121=$I121,IF(OR(AND($G121="Higher is better",K121&gt;=$H121),AND($G121="Lower is better",K121&lt;=$H121)),A_Scoring_Model!$C$14,0),IF($G121="Higher is better",IF(K121&gt;=$H121,A_Scoring_Model!$C$14,IF(K121&lt;$I121,0,A_Scoring_Model!$C$15+(A_Scoring_Model!$C$14-A_Scoring_Model!$C$15)*(K121-$I121)/($H121-$I121))),IF(K121&lt;=$H121,A_Scoring_Model!$C$14,IF(K121&gt;$I121,0,A_Scoring_Model!$C$15+(A_Scoring_Model!$C$14-A_Scoring_Model!$C$15)*($I121-K121)/($I121-$H121))))))</f>
        <v/>
      </c>
      <c r="P121" s="56" t="str">
        <f aca="false">IF(L121="","",IF($H121=$I121,IF(OR(AND($G121="Higher is better",L121&gt;=$H121),AND($G121="Lower is better",L121&lt;=$H121)),A_Scoring_Model!$C$14,0),IF($G121="Higher is better",IF(L121&gt;=$H121,A_Scoring_Model!$C$14,IF(L121&lt;$I121,0,A_Scoring_Model!$C$15+(A_Scoring_Model!$C$14-A_Scoring_Model!$C$15)*(L121-$I121)/($H121-$I121))),IF(L121&lt;=$H121,A_Scoring_Model!$C$14,IF(L121&gt;$I121,0,A_Scoring_Model!$C$15+(A_Scoring_Model!$C$14-A_Scoring_Model!$C$15)*($I121-L121)/($I121-$H121))))))</f>
        <v/>
      </c>
      <c r="Q121" s="56" t="str">
        <f aca="false">IF(M121="","",IF($H121=$I121,IF(OR(AND($G121="Higher is better",M121&gt;=$H121),AND($G121="Lower is better",M121&lt;=$H121)),A_Scoring_Model!$C$14,0),IF($G121="Higher is better",IF(M121&gt;=$H121,A_Scoring_Model!$C$14,IF(M121&lt;$I121,0,A_Scoring_Model!$C$15+(A_Scoring_Model!$C$14-A_Scoring_Model!$C$15)*(M121-$I121)/($H121-$I121))),IF(M121&lt;=$H121,A_Scoring_Model!$C$14,IF(M121&gt;$I121,0,A_Scoring_Model!$C$15+(A_Scoring_Model!$C$14-A_Scoring_Model!$C$15)*($I121-M121)/($I121-$H121))))))</f>
        <v/>
      </c>
    </row>
    <row r="122" customFormat="false" ht="23.85" hidden="false" customHeight="false" outlineLevel="0" collapsed="false">
      <c r="A122" s="51" t="str">
        <f aca="false">C_KPI_Benchmark!A122</f>
        <v>3.a-D4-10</v>
      </c>
      <c r="B122" s="52" t="str">
        <f aca="false">C_KPI_Benchmark!D122</f>
        <v>3.a</v>
      </c>
      <c r="C122" s="51" t="str">
        <f aca="false">C_KPI_Benchmark!E122</f>
        <v>Scenario + LLM Test Case Gen Agent</v>
      </c>
      <c r="D122" s="52" t="str">
        <f aca="false">C_KPI_Benchmark!F122</f>
        <v>D4</v>
      </c>
      <c r="E122" s="51" t="str">
        <f aca="false">C_KPI_Benchmark!J122</f>
        <v>Non-existent opcode / field / parameter</v>
      </c>
      <c r="F122" s="52" t="str">
        <f aca="false">C_KPI_Benchmark!K122</f>
        <v>%</v>
      </c>
      <c r="G122" s="51" t="str">
        <f aca="false">C_KPI_Benchmark!L122</f>
        <v>Lower is better</v>
      </c>
      <c r="H122" s="53" t="n">
        <f aca="false">C_KPI_Benchmark!N122</f>
        <v>0.02</v>
      </c>
      <c r="I122" s="54" t="n">
        <f aca="false">IF(C_KPI_Benchmark!O122&lt;&gt;"",C_KPI_Benchmark!O122,IF(G122="Higher is better",H122*(1-A_Scoring_Model!$C$16),H122*(1+A_Scoring_Model!$C$16)))</f>
        <v>0.024</v>
      </c>
      <c r="J122" s="55"/>
      <c r="K122" s="55"/>
      <c r="L122" s="55"/>
      <c r="M122" s="55"/>
      <c r="N122" s="56" t="str">
        <f aca="false">IF(J122="","",IF($H122=$I122,IF(OR(AND($G122="Higher is better",J122&gt;=$H122),AND($G122="Lower is better",J122&lt;=$H122)),A_Scoring_Model!$C$14,0),IF($G122="Higher is better",IF(J122&gt;=$H122,A_Scoring_Model!$C$14,IF(J122&lt;$I122,0,A_Scoring_Model!$C$15+(A_Scoring_Model!$C$14-A_Scoring_Model!$C$15)*(J122-$I122)/($H122-$I122))),IF(J122&lt;=$H122,A_Scoring_Model!$C$14,IF(J122&gt;$I122,0,A_Scoring_Model!$C$15+(A_Scoring_Model!$C$14-A_Scoring_Model!$C$15)*($I122-J122)/($I122-$H122))))))</f>
        <v/>
      </c>
      <c r="O122" s="56" t="str">
        <f aca="false">IF(K122="","",IF($H122=$I122,IF(OR(AND($G122="Higher is better",K122&gt;=$H122),AND($G122="Lower is better",K122&lt;=$H122)),A_Scoring_Model!$C$14,0),IF($G122="Higher is better",IF(K122&gt;=$H122,A_Scoring_Model!$C$14,IF(K122&lt;$I122,0,A_Scoring_Model!$C$15+(A_Scoring_Model!$C$14-A_Scoring_Model!$C$15)*(K122-$I122)/($H122-$I122))),IF(K122&lt;=$H122,A_Scoring_Model!$C$14,IF(K122&gt;$I122,0,A_Scoring_Model!$C$15+(A_Scoring_Model!$C$14-A_Scoring_Model!$C$15)*($I122-K122)/($I122-$H122))))))</f>
        <v/>
      </c>
      <c r="P122" s="56" t="str">
        <f aca="false">IF(L122="","",IF($H122=$I122,IF(OR(AND($G122="Higher is better",L122&gt;=$H122),AND($G122="Lower is better",L122&lt;=$H122)),A_Scoring_Model!$C$14,0),IF($G122="Higher is better",IF(L122&gt;=$H122,A_Scoring_Model!$C$14,IF(L122&lt;$I122,0,A_Scoring_Model!$C$15+(A_Scoring_Model!$C$14-A_Scoring_Model!$C$15)*(L122-$I122)/($H122-$I122))),IF(L122&lt;=$H122,A_Scoring_Model!$C$14,IF(L122&gt;$I122,0,A_Scoring_Model!$C$15+(A_Scoring_Model!$C$14-A_Scoring_Model!$C$15)*($I122-L122)/($I122-$H122))))))</f>
        <v/>
      </c>
      <c r="Q122" s="56" t="str">
        <f aca="false">IF(M122="","",IF($H122=$I122,IF(OR(AND($G122="Higher is better",M122&gt;=$H122),AND($G122="Lower is better",M122&lt;=$H122)),A_Scoring_Model!$C$14,0),IF($G122="Higher is better",IF(M122&gt;=$H122,A_Scoring_Model!$C$14,IF(M122&lt;$I122,0,A_Scoring_Model!$C$15+(A_Scoring_Model!$C$14-A_Scoring_Model!$C$15)*(M122-$I122)/($H122-$I122))),IF(M122&lt;=$H122,A_Scoring_Model!$C$14,IF(M122&gt;$I122,0,A_Scoring_Model!$C$15+(A_Scoring_Model!$C$14-A_Scoring_Model!$C$15)*($I122-M122)/($I122-$H122))))))</f>
        <v/>
      </c>
    </row>
    <row r="123" customFormat="false" ht="23.85" hidden="false" customHeight="false" outlineLevel="0" collapsed="false">
      <c r="A123" s="51" t="str">
        <f aca="false">C_KPI_Benchmark!A123</f>
        <v>3.a-D4-11</v>
      </c>
      <c r="B123" s="52" t="str">
        <f aca="false">C_KPI_Benchmark!D123</f>
        <v>3.a</v>
      </c>
      <c r="C123" s="51" t="str">
        <f aca="false">C_KPI_Benchmark!E123</f>
        <v>Scenario + LLM Test Case Gen Agent</v>
      </c>
      <c r="D123" s="52" t="str">
        <f aca="false">C_KPI_Benchmark!F123</f>
        <v>D4</v>
      </c>
      <c r="E123" s="51" t="str">
        <f aca="false">C_KPI_Benchmark!J123</f>
        <v>TCs traced to requirement + technique</v>
      </c>
      <c r="F123" s="52" t="str">
        <f aca="false">C_KPI_Benchmark!K123</f>
        <v>%</v>
      </c>
      <c r="G123" s="51" t="str">
        <f aca="false">C_KPI_Benchmark!L123</f>
        <v>Higher is better</v>
      </c>
      <c r="H123" s="53" t="n">
        <f aca="false">C_KPI_Benchmark!N123</f>
        <v>1</v>
      </c>
      <c r="I123" s="54" t="n">
        <f aca="false">IF(C_KPI_Benchmark!O123&lt;&gt;"",C_KPI_Benchmark!O123,IF(G123="Higher is better",H123*(1-A_Scoring_Model!$C$16),H123*(1+A_Scoring_Model!$C$16)))</f>
        <v>0.8</v>
      </c>
      <c r="J123" s="55"/>
      <c r="K123" s="55"/>
      <c r="L123" s="55"/>
      <c r="M123" s="55"/>
      <c r="N123" s="56" t="str">
        <f aca="false">IF(J123="","",IF($H123=$I123,IF(OR(AND($G123="Higher is better",J123&gt;=$H123),AND($G123="Lower is better",J123&lt;=$H123)),A_Scoring_Model!$C$14,0),IF($G123="Higher is better",IF(J123&gt;=$H123,A_Scoring_Model!$C$14,IF(J123&lt;$I123,0,A_Scoring_Model!$C$15+(A_Scoring_Model!$C$14-A_Scoring_Model!$C$15)*(J123-$I123)/($H123-$I123))),IF(J123&lt;=$H123,A_Scoring_Model!$C$14,IF(J123&gt;$I123,0,A_Scoring_Model!$C$15+(A_Scoring_Model!$C$14-A_Scoring_Model!$C$15)*($I123-J123)/($I123-$H123))))))</f>
        <v/>
      </c>
      <c r="O123" s="56" t="str">
        <f aca="false">IF(K123="","",IF($H123=$I123,IF(OR(AND($G123="Higher is better",K123&gt;=$H123),AND($G123="Lower is better",K123&lt;=$H123)),A_Scoring_Model!$C$14,0),IF($G123="Higher is better",IF(K123&gt;=$H123,A_Scoring_Model!$C$14,IF(K123&lt;$I123,0,A_Scoring_Model!$C$15+(A_Scoring_Model!$C$14-A_Scoring_Model!$C$15)*(K123-$I123)/($H123-$I123))),IF(K123&lt;=$H123,A_Scoring_Model!$C$14,IF(K123&gt;$I123,0,A_Scoring_Model!$C$15+(A_Scoring_Model!$C$14-A_Scoring_Model!$C$15)*($I123-K123)/($I123-$H123))))))</f>
        <v/>
      </c>
      <c r="P123" s="56" t="str">
        <f aca="false">IF(L123="","",IF($H123=$I123,IF(OR(AND($G123="Higher is better",L123&gt;=$H123),AND($G123="Lower is better",L123&lt;=$H123)),A_Scoring_Model!$C$14,0),IF($G123="Higher is better",IF(L123&gt;=$H123,A_Scoring_Model!$C$14,IF(L123&lt;$I123,0,A_Scoring_Model!$C$15+(A_Scoring_Model!$C$14-A_Scoring_Model!$C$15)*(L123-$I123)/($H123-$I123))),IF(L123&lt;=$H123,A_Scoring_Model!$C$14,IF(L123&gt;$I123,0,A_Scoring_Model!$C$15+(A_Scoring_Model!$C$14-A_Scoring_Model!$C$15)*($I123-L123)/($I123-$H123))))))</f>
        <v/>
      </c>
      <c r="Q123" s="56" t="str">
        <f aca="false">IF(M123="","",IF($H123=$I123,IF(OR(AND($G123="Higher is better",M123&gt;=$H123),AND($G123="Lower is better",M123&lt;=$H123)),A_Scoring_Model!$C$14,0),IF($G123="Higher is better",IF(M123&gt;=$H123,A_Scoring_Model!$C$14,IF(M123&lt;$I123,0,A_Scoring_Model!$C$15+(A_Scoring_Model!$C$14-A_Scoring_Model!$C$15)*(M123-$I123)/($H123-$I123))),IF(M123&lt;=$H123,A_Scoring_Model!$C$14,IF(M123&gt;$I123,0,A_Scoring_Model!$C$15+(A_Scoring_Model!$C$14-A_Scoring_Model!$C$15)*($I123-M123)/($I123-$H123))))))</f>
        <v/>
      </c>
    </row>
    <row r="124" customFormat="false" ht="23.85" hidden="false" customHeight="false" outlineLevel="0" collapsed="false">
      <c r="A124" s="51" t="str">
        <f aca="false">C_KPI_Benchmark!A124</f>
        <v>3.a-D4-12</v>
      </c>
      <c r="B124" s="52" t="str">
        <f aca="false">C_KPI_Benchmark!D124</f>
        <v>3.a</v>
      </c>
      <c r="C124" s="51" t="str">
        <f aca="false">C_KPI_Benchmark!E124</f>
        <v>Scenario + LLM Test Case Gen Agent</v>
      </c>
      <c r="D124" s="52" t="str">
        <f aca="false">C_KPI_Benchmark!F124</f>
        <v>D4</v>
      </c>
      <c r="E124" s="51" t="str">
        <f aca="false">C_KPI_Benchmark!J124</f>
        <v>Service availability</v>
      </c>
      <c r="F124" s="52" t="str">
        <f aca="false">C_KPI_Benchmark!K124</f>
        <v>%</v>
      </c>
      <c r="G124" s="51" t="str">
        <f aca="false">C_KPI_Benchmark!L124</f>
        <v>Higher is better</v>
      </c>
      <c r="H124" s="53" t="n">
        <f aca="false">C_KPI_Benchmark!N124</f>
        <v>0.995</v>
      </c>
      <c r="I124" s="54" t="n">
        <f aca="false">IF(C_KPI_Benchmark!O124&lt;&gt;"",C_KPI_Benchmark!O124,IF(G124="Higher is better",H124*(1-A_Scoring_Model!$C$16),H124*(1+A_Scoring_Model!$C$16)))</f>
        <v>0.99</v>
      </c>
      <c r="J124" s="55"/>
      <c r="K124" s="55"/>
      <c r="L124" s="55"/>
      <c r="M124" s="55"/>
      <c r="N124" s="56" t="str">
        <f aca="false">IF(J124="","",IF($H124=$I124,IF(OR(AND($G124="Higher is better",J124&gt;=$H124),AND($G124="Lower is better",J124&lt;=$H124)),A_Scoring_Model!$C$14,0),IF($G124="Higher is better",IF(J124&gt;=$H124,A_Scoring_Model!$C$14,IF(J124&lt;$I124,0,A_Scoring_Model!$C$15+(A_Scoring_Model!$C$14-A_Scoring_Model!$C$15)*(J124-$I124)/($H124-$I124))),IF(J124&lt;=$H124,A_Scoring_Model!$C$14,IF(J124&gt;$I124,0,A_Scoring_Model!$C$15+(A_Scoring_Model!$C$14-A_Scoring_Model!$C$15)*($I124-J124)/($I124-$H124))))))</f>
        <v/>
      </c>
      <c r="O124" s="56" t="str">
        <f aca="false">IF(K124="","",IF($H124=$I124,IF(OR(AND($G124="Higher is better",K124&gt;=$H124),AND($G124="Lower is better",K124&lt;=$H124)),A_Scoring_Model!$C$14,0),IF($G124="Higher is better",IF(K124&gt;=$H124,A_Scoring_Model!$C$14,IF(K124&lt;$I124,0,A_Scoring_Model!$C$15+(A_Scoring_Model!$C$14-A_Scoring_Model!$C$15)*(K124-$I124)/($H124-$I124))),IF(K124&lt;=$H124,A_Scoring_Model!$C$14,IF(K124&gt;$I124,0,A_Scoring_Model!$C$15+(A_Scoring_Model!$C$14-A_Scoring_Model!$C$15)*($I124-K124)/($I124-$H124))))))</f>
        <v/>
      </c>
      <c r="P124" s="56" t="str">
        <f aca="false">IF(L124="","",IF($H124=$I124,IF(OR(AND($G124="Higher is better",L124&gt;=$H124),AND($G124="Lower is better",L124&lt;=$H124)),A_Scoring_Model!$C$14,0),IF($G124="Higher is better",IF(L124&gt;=$H124,A_Scoring_Model!$C$14,IF(L124&lt;$I124,0,A_Scoring_Model!$C$15+(A_Scoring_Model!$C$14-A_Scoring_Model!$C$15)*(L124-$I124)/($H124-$I124))),IF(L124&lt;=$H124,A_Scoring_Model!$C$14,IF(L124&gt;$I124,0,A_Scoring_Model!$C$15+(A_Scoring_Model!$C$14-A_Scoring_Model!$C$15)*($I124-L124)/($I124-$H124))))))</f>
        <v/>
      </c>
      <c r="Q124" s="56" t="str">
        <f aca="false">IF(M124="","",IF($H124=$I124,IF(OR(AND($G124="Higher is better",M124&gt;=$H124),AND($G124="Lower is better",M124&lt;=$H124)),A_Scoring_Model!$C$14,0),IF($G124="Higher is better",IF(M124&gt;=$H124,A_Scoring_Model!$C$14,IF(M124&lt;$I124,0,A_Scoring_Model!$C$15+(A_Scoring_Model!$C$14-A_Scoring_Model!$C$15)*(M124-$I124)/($H124-$I124))),IF(M124&lt;=$H124,A_Scoring_Model!$C$14,IF(M124&gt;$I124,0,A_Scoring_Model!$C$15+(A_Scoring_Model!$C$14-A_Scoring_Model!$C$15)*($I124-M124)/($I124-$H124))))))</f>
        <v/>
      </c>
    </row>
    <row r="125" customFormat="false" ht="23.85" hidden="false" customHeight="false" outlineLevel="0" collapsed="false">
      <c r="A125" s="51" t="str">
        <f aca="false">C_KPI_Benchmark!A125</f>
        <v>3.a-D5-13</v>
      </c>
      <c r="B125" s="52" t="str">
        <f aca="false">C_KPI_Benchmark!D125</f>
        <v>3.a</v>
      </c>
      <c r="C125" s="51" t="str">
        <f aca="false">C_KPI_Benchmark!E125</f>
        <v>Scenario + LLM Test Case Gen Agent</v>
      </c>
      <c r="D125" s="52" t="str">
        <f aca="false">C_KPI_Benchmark!F125</f>
        <v>D5</v>
      </c>
      <c r="E125" s="51" t="str">
        <f aca="false">C_KPI_Benchmark!J125</f>
        <v>TC design effort reduction</v>
      </c>
      <c r="F125" s="52" t="str">
        <f aca="false">C_KPI_Benchmark!K125</f>
        <v>%</v>
      </c>
      <c r="G125" s="51" t="str">
        <f aca="false">C_KPI_Benchmark!L125</f>
        <v>Higher is better</v>
      </c>
      <c r="H125" s="53" t="n">
        <f aca="false">C_KPI_Benchmark!N125</f>
        <v>0.6</v>
      </c>
      <c r="I125" s="54" t="n">
        <f aca="false">IF(C_KPI_Benchmark!O125&lt;&gt;"",C_KPI_Benchmark!O125,IF(G125="Higher is better",H125*(1-A_Scoring_Model!$C$16),H125*(1+A_Scoring_Model!$C$16)))</f>
        <v>0.48</v>
      </c>
      <c r="J125" s="55"/>
      <c r="K125" s="55"/>
      <c r="L125" s="55"/>
      <c r="M125" s="55"/>
      <c r="N125" s="56" t="str">
        <f aca="false">IF(J125="","",IF($H125=$I125,IF(OR(AND($G125="Higher is better",J125&gt;=$H125),AND($G125="Lower is better",J125&lt;=$H125)),A_Scoring_Model!$C$14,0),IF($G125="Higher is better",IF(J125&gt;=$H125,A_Scoring_Model!$C$14,IF(J125&lt;$I125,0,A_Scoring_Model!$C$15+(A_Scoring_Model!$C$14-A_Scoring_Model!$C$15)*(J125-$I125)/($H125-$I125))),IF(J125&lt;=$H125,A_Scoring_Model!$C$14,IF(J125&gt;$I125,0,A_Scoring_Model!$C$15+(A_Scoring_Model!$C$14-A_Scoring_Model!$C$15)*($I125-J125)/($I125-$H125))))))</f>
        <v/>
      </c>
      <c r="O125" s="56" t="str">
        <f aca="false">IF(K125="","",IF($H125=$I125,IF(OR(AND($G125="Higher is better",K125&gt;=$H125),AND($G125="Lower is better",K125&lt;=$H125)),A_Scoring_Model!$C$14,0),IF($G125="Higher is better",IF(K125&gt;=$H125,A_Scoring_Model!$C$14,IF(K125&lt;$I125,0,A_Scoring_Model!$C$15+(A_Scoring_Model!$C$14-A_Scoring_Model!$C$15)*(K125-$I125)/($H125-$I125))),IF(K125&lt;=$H125,A_Scoring_Model!$C$14,IF(K125&gt;$I125,0,A_Scoring_Model!$C$15+(A_Scoring_Model!$C$14-A_Scoring_Model!$C$15)*($I125-K125)/($I125-$H125))))))</f>
        <v/>
      </c>
      <c r="P125" s="56" t="str">
        <f aca="false">IF(L125="","",IF($H125=$I125,IF(OR(AND($G125="Higher is better",L125&gt;=$H125),AND($G125="Lower is better",L125&lt;=$H125)),A_Scoring_Model!$C$14,0),IF($G125="Higher is better",IF(L125&gt;=$H125,A_Scoring_Model!$C$14,IF(L125&lt;$I125,0,A_Scoring_Model!$C$15+(A_Scoring_Model!$C$14-A_Scoring_Model!$C$15)*(L125-$I125)/($H125-$I125))),IF(L125&lt;=$H125,A_Scoring_Model!$C$14,IF(L125&gt;$I125,0,A_Scoring_Model!$C$15+(A_Scoring_Model!$C$14-A_Scoring_Model!$C$15)*($I125-L125)/($I125-$H125))))))</f>
        <v/>
      </c>
      <c r="Q125" s="56" t="str">
        <f aca="false">IF(M125="","",IF($H125=$I125,IF(OR(AND($G125="Higher is better",M125&gt;=$H125),AND($G125="Lower is better",M125&lt;=$H125)),A_Scoring_Model!$C$14,0),IF($G125="Higher is better",IF(M125&gt;=$H125,A_Scoring_Model!$C$14,IF(M125&lt;$I125,0,A_Scoring_Model!$C$15+(A_Scoring_Model!$C$14-A_Scoring_Model!$C$15)*(M125-$I125)/($H125-$I125))),IF(M125&lt;=$H125,A_Scoring_Model!$C$14,IF(M125&gt;$I125,0,A_Scoring_Model!$C$15+(A_Scoring_Model!$C$14-A_Scoring_Model!$C$15)*($I125-M125)/($I125-$H125))))))</f>
        <v/>
      </c>
    </row>
    <row r="126" customFormat="false" ht="23.85" hidden="false" customHeight="false" outlineLevel="0" collapsed="false">
      <c r="A126" s="51" t="str">
        <f aca="false">C_KPI_Benchmark!A126</f>
        <v>3.a-D5-14</v>
      </c>
      <c r="B126" s="52" t="str">
        <f aca="false">C_KPI_Benchmark!D126</f>
        <v>3.a</v>
      </c>
      <c r="C126" s="51" t="str">
        <f aca="false">C_KPI_Benchmark!E126</f>
        <v>Scenario + LLM Test Case Gen Agent</v>
      </c>
      <c r="D126" s="52" t="str">
        <f aca="false">C_KPI_Benchmark!F126</f>
        <v>D5</v>
      </c>
      <c r="E126" s="51" t="str">
        <f aca="false">C_KPI_Benchmark!J126</f>
        <v>Accept-without-edit rate</v>
      </c>
      <c r="F126" s="52" t="str">
        <f aca="false">C_KPI_Benchmark!K126</f>
        <v>%</v>
      </c>
      <c r="G126" s="51" t="str">
        <f aca="false">C_KPI_Benchmark!L126</f>
        <v>Higher is better</v>
      </c>
      <c r="H126" s="53" t="n">
        <f aca="false">C_KPI_Benchmark!N126</f>
        <v>0.7</v>
      </c>
      <c r="I126" s="54" t="n">
        <f aca="false">IF(C_KPI_Benchmark!O126&lt;&gt;"",C_KPI_Benchmark!O126,IF(G126="Higher is better",H126*(1-A_Scoring_Model!$C$16),H126*(1+A_Scoring_Model!$C$16)))</f>
        <v>0.56</v>
      </c>
      <c r="J126" s="55"/>
      <c r="K126" s="55"/>
      <c r="L126" s="55"/>
      <c r="M126" s="55"/>
      <c r="N126" s="56" t="str">
        <f aca="false">IF(J126="","",IF($H126=$I126,IF(OR(AND($G126="Higher is better",J126&gt;=$H126),AND($G126="Lower is better",J126&lt;=$H126)),A_Scoring_Model!$C$14,0),IF($G126="Higher is better",IF(J126&gt;=$H126,A_Scoring_Model!$C$14,IF(J126&lt;$I126,0,A_Scoring_Model!$C$15+(A_Scoring_Model!$C$14-A_Scoring_Model!$C$15)*(J126-$I126)/($H126-$I126))),IF(J126&lt;=$H126,A_Scoring_Model!$C$14,IF(J126&gt;$I126,0,A_Scoring_Model!$C$15+(A_Scoring_Model!$C$14-A_Scoring_Model!$C$15)*($I126-J126)/($I126-$H126))))))</f>
        <v/>
      </c>
      <c r="O126" s="56" t="str">
        <f aca="false">IF(K126="","",IF($H126=$I126,IF(OR(AND($G126="Higher is better",K126&gt;=$H126),AND($G126="Lower is better",K126&lt;=$H126)),A_Scoring_Model!$C$14,0),IF($G126="Higher is better",IF(K126&gt;=$H126,A_Scoring_Model!$C$14,IF(K126&lt;$I126,0,A_Scoring_Model!$C$15+(A_Scoring_Model!$C$14-A_Scoring_Model!$C$15)*(K126-$I126)/($H126-$I126))),IF(K126&lt;=$H126,A_Scoring_Model!$C$14,IF(K126&gt;$I126,0,A_Scoring_Model!$C$15+(A_Scoring_Model!$C$14-A_Scoring_Model!$C$15)*($I126-K126)/($I126-$H126))))))</f>
        <v/>
      </c>
      <c r="P126" s="56" t="str">
        <f aca="false">IF(L126="","",IF($H126=$I126,IF(OR(AND($G126="Higher is better",L126&gt;=$H126),AND($G126="Lower is better",L126&lt;=$H126)),A_Scoring_Model!$C$14,0),IF($G126="Higher is better",IF(L126&gt;=$H126,A_Scoring_Model!$C$14,IF(L126&lt;$I126,0,A_Scoring_Model!$C$15+(A_Scoring_Model!$C$14-A_Scoring_Model!$C$15)*(L126-$I126)/($H126-$I126))),IF(L126&lt;=$H126,A_Scoring_Model!$C$14,IF(L126&gt;$I126,0,A_Scoring_Model!$C$15+(A_Scoring_Model!$C$14-A_Scoring_Model!$C$15)*($I126-L126)/($I126-$H126))))))</f>
        <v/>
      </c>
      <c r="Q126" s="56" t="str">
        <f aca="false">IF(M126="","",IF($H126=$I126,IF(OR(AND($G126="Higher is better",M126&gt;=$H126),AND($G126="Lower is better",M126&lt;=$H126)),A_Scoring_Model!$C$14,0),IF($G126="Higher is better",IF(M126&gt;=$H126,A_Scoring_Model!$C$14,IF(M126&lt;$I126,0,A_Scoring_Model!$C$15+(A_Scoring_Model!$C$14-A_Scoring_Model!$C$15)*(M126-$I126)/($H126-$I126))),IF(M126&lt;=$H126,A_Scoring_Model!$C$14,IF(M126&gt;$I126,0,A_Scoring_Model!$C$15+(A_Scoring_Model!$C$14-A_Scoring_Model!$C$15)*($I126-M126)/($I126-$H126))))))</f>
        <v/>
      </c>
    </row>
    <row r="127" customFormat="false" ht="23.85" hidden="false" customHeight="false" outlineLevel="0" collapsed="false">
      <c r="A127" s="51" t="str">
        <f aca="false">C_KPI_Benchmark!A127</f>
        <v>3.a-D6-15</v>
      </c>
      <c r="B127" s="52" t="str">
        <f aca="false">C_KPI_Benchmark!D127</f>
        <v>3.a</v>
      </c>
      <c r="C127" s="51" t="str">
        <f aca="false">C_KPI_Benchmark!E127</f>
        <v>Scenario + LLM Test Case Gen Agent</v>
      </c>
      <c r="D127" s="52" t="str">
        <f aca="false">C_KPI_Benchmark!F127</f>
        <v>D6</v>
      </c>
      <c r="E127" s="51" t="str">
        <f aca="false">C_KPI_Benchmark!J127</f>
        <v>Solution code test coverage</v>
      </c>
      <c r="F127" s="52" t="str">
        <f aca="false">C_KPI_Benchmark!K127</f>
        <v>%</v>
      </c>
      <c r="G127" s="51" t="str">
        <f aca="false">C_KPI_Benchmark!L127</f>
        <v>Higher is better</v>
      </c>
      <c r="H127" s="53" t="n">
        <f aca="false">C_KPI_Benchmark!N127</f>
        <v>0.8</v>
      </c>
      <c r="I127" s="54" t="n">
        <f aca="false">IF(C_KPI_Benchmark!O127&lt;&gt;"",C_KPI_Benchmark!O127,IF(G127="Higher is better",H127*(1-A_Scoring_Model!$C$16),H127*(1+A_Scoring_Model!$C$16)))</f>
        <v>0.6</v>
      </c>
      <c r="J127" s="55"/>
      <c r="K127" s="55"/>
      <c r="L127" s="55"/>
      <c r="M127" s="55"/>
      <c r="N127" s="56" t="str">
        <f aca="false">IF(J127="","",IF($H127=$I127,IF(OR(AND($G127="Higher is better",J127&gt;=$H127),AND($G127="Lower is better",J127&lt;=$H127)),A_Scoring_Model!$C$14,0),IF($G127="Higher is better",IF(J127&gt;=$H127,A_Scoring_Model!$C$14,IF(J127&lt;$I127,0,A_Scoring_Model!$C$15+(A_Scoring_Model!$C$14-A_Scoring_Model!$C$15)*(J127-$I127)/($H127-$I127))),IF(J127&lt;=$H127,A_Scoring_Model!$C$14,IF(J127&gt;$I127,0,A_Scoring_Model!$C$15+(A_Scoring_Model!$C$14-A_Scoring_Model!$C$15)*($I127-J127)/($I127-$H127))))))</f>
        <v/>
      </c>
      <c r="O127" s="56" t="str">
        <f aca="false">IF(K127="","",IF($H127=$I127,IF(OR(AND($G127="Higher is better",K127&gt;=$H127),AND($G127="Lower is better",K127&lt;=$H127)),A_Scoring_Model!$C$14,0),IF($G127="Higher is better",IF(K127&gt;=$H127,A_Scoring_Model!$C$14,IF(K127&lt;$I127,0,A_Scoring_Model!$C$15+(A_Scoring_Model!$C$14-A_Scoring_Model!$C$15)*(K127-$I127)/($H127-$I127))),IF(K127&lt;=$H127,A_Scoring_Model!$C$14,IF(K127&gt;$I127,0,A_Scoring_Model!$C$15+(A_Scoring_Model!$C$14-A_Scoring_Model!$C$15)*($I127-K127)/($I127-$H127))))))</f>
        <v/>
      </c>
      <c r="P127" s="56" t="str">
        <f aca="false">IF(L127="","",IF($H127=$I127,IF(OR(AND($G127="Higher is better",L127&gt;=$H127),AND($G127="Lower is better",L127&lt;=$H127)),A_Scoring_Model!$C$14,0),IF($G127="Higher is better",IF(L127&gt;=$H127,A_Scoring_Model!$C$14,IF(L127&lt;$I127,0,A_Scoring_Model!$C$15+(A_Scoring_Model!$C$14-A_Scoring_Model!$C$15)*(L127-$I127)/($H127-$I127))),IF(L127&lt;=$H127,A_Scoring_Model!$C$14,IF(L127&gt;$I127,0,A_Scoring_Model!$C$15+(A_Scoring_Model!$C$14-A_Scoring_Model!$C$15)*($I127-L127)/($I127-$H127))))))</f>
        <v/>
      </c>
      <c r="Q127" s="56" t="str">
        <f aca="false">IF(M127="","",IF($H127=$I127,IF(OR(AND($G127="Higher is better",M127&gt;=$H127),AND($G127="Lower is better",M127&lt;=$H127)),A_Scoring_Model!$C$14,0),IF($G127="Higher is better",IF(M127&gt;=$H127,A_Scoring_Model!$C$14,IF(M127&lt;$I127,0,A_Scoring_Model!$C$15+(A_Scoring_Model!$C$14-A_Scoring_Model!$C$15)*(M127-$I127)/($H127-$I127))),IF(M127&lt;=$H127,A_Scoring_Model!$C$14,IF(M127&gt;$I127,0,A_Scoring_Model!$C$15+(A_Scoring_Model!$C$14-A_Scoring_Model!$C$15)*($I127-M127)/($I127-$H127))))))</f>
        <v/>
      </c>
    </row>
    <row r="128" customFormat="false" ht="23.85" hidden="false" customHeight="false" outlineLevel="0" collapsed="false">
      <c r="A128" s="51" t="str">
        <f aca="false">C_KPI_Benchmark!A128</f>
        <v>3.a-D6-16</v>
      </c>
      <c r="B128" s="52" t="str">
        <f aca="false">C_KPI_Benchmark!D128</f>
        <v>3.a</v>
      </c>
      <c r="C128" s="51" t="str">
        <f aca="false">C_KPI_Benchmark!E128</f>
        <v>Scenario + LLM Test Case Gen Agent</v>
      </c>
      <c r="D128" s="52" t="str">
        <f aca="false">C_KPI_Benchmark!F128</f>
        <v>D6</v>
      </c>
      <c r="E128" s="51" t="str">
        <f aca="false">C_KPI_Benchmark!J128</f>
        <v>Review Shield critical findings</v>
      </c>
      <c r="F128" s="52" t="str">
        <f aca="false">C_KPI_Benchmark!K128</f>
        <v>count</v>
      </c>
      <c r="G128" s="51" t="str">
        <f aca="false">C_KPI_Benchmark!L128</f>
        <v>Lower is better</v>
      </c>
      <c r="H128" s="62" t="n">
        <f aca="false">C_KPI_Benchmark!N128</f>
        <v>0</v>
      </c>
      <c r="I128" s="63" t="n">
        <f aca="false">IF(C_KPI_Benchmark!O128&lt;&gt;"",C_KPI_Benchmark!O128,IF(G128="Higher is better",H128*(1-A_Scoring_Model!$C$16),H128*(1+A_Scoring_Model!$C$16)))</f>
        <v>0</v>
      </c>
      <c r="J128" s="64"/>
      <c r="K128" s="64"/>
      <c r="L128" s="64"/>
      <c r="M128" s="64"/>
      <c r="N128" s="56" t="str">
        <f aca="false">IF(J128="","",IF($H128=$I128,IF(OR(AND($G128="Higher is better",J128&gt;=$H128),AND($G128="Lower is better",J128&lt;=$H128)),A_Scoring_Model!$C$14,0),IF($G128="Higher is better",IF(J128&gt;=$H128,A_Scoring_Model!$C$14,IF(J128&lt;$I128,0,A_Scoring_Model!$C$15+(A_Scoring_Model!$C$14-A_Scoring_Model!$C$15)*(J128-$I128)/($H128-$I128))),IF(J128&lt;=$H128,A_Scoring_Model!$C$14,IF(J128&gt;$I128,0,A_Scoring_Model!$C$15+(A_Scoring_Model!$C$14-A_Scoring_Model!$C$15)*($I128-J128)/($I128-$H128))))))</f>
        <v/>
      </c>
      <c r="O128" s="56" t="str">
        <f aca="false">IF(K128="","",IF($H128=$I128,IF(OR(AND($G128="Higher is better",K128&gt;=$H128),AND($G128="Lower is better",K128&lt;=$H128)),A_Scoring_Model!$C$14,0),IF($G128="Higher is better",IF(K128&gt;=$H128,A_Scoring_Model!$C$14,IF(K128&lt;$I128,0,A_Scoring_Model!$C$15+(A_Scoring_Model!$C$14-A_Scoring_Model!$C$15)*(K128-$I128)/($H128-$I128))),IF(K128&lt;=$H128,A_Scoring_Model!$C$14,IF(K128&gt;$I128,0,A_Scoring_Model!$C$15+(A_Scoring_Model!$C$14-A_Scoring_Model!$C$15)*($I128-K128)/($I128-$H128))))))</f>
        <v/>
      </c>
      <c r="P128" s="56" t="str">
        <f aca="false">IF(L128="","",IF($H128=$I128,IF(OR(AND($G128="Higher is better",L128&gt;=$H128),AND($G128="Lower is better",L128&lt;=$H128)),A_Scoring_Model!$C$14,0),IF($G128="Higher is better",IF(L128&gt;=$H128,A_Scoring_Model!$C$14,IF(L128&lt;$I128,0,A_Scoring_Model!$C$15+(A_Scoring_Model!$C$14-A_Scoring_Model!$C$15)*(L128-$I128)/($H128-$I128))),IF(L128&lt;=$H128,A_Scoring_Model!$C$14,IF(L128&gt;$I128,0,A_Scoring_Model!$C$15+(A_Scoring_Model!$C$14-A_Scoring_Model!$C$15)*($I128-L128)/($I128-$H128))))))</f>
        <v/>
      </c>
      <c r="Q128" s="56" t="str">
        <f aca="false">IF(M128="","",IF($H128=$I128,IF(OR(AND($G128="Higher is better",M128&gt;=$H128),AND($G128="Lower is better",M128&lt;=$H128)),A_Scoring_Model!$C$14,0),IF($G128="Higher is better",IF(M128&gt;=$H128,A_Scoring_Model!$C$14,IF(M128&lt;$I128,0,A_Scoring_Model!$C$15+(A_Scoring_Model!$C$14-A_Scoring_Model!$C$15)*(M128-$I128)/($H128-$I128))),IF(M128&lt;=$H128,A_Scoring_Model!$C$14,IF(M128&gt;$I128,0,A_Scoring_Model!$C$15+(A_Scoring_Model!$C$14-A_Scoring_Model!$C$15)*($I128-M128)/($I128-$H128))))))</f>
        <v/>
      </c>
    </row>
    <row r="129" customFormat="false" ht="23.85" hidden="false" customHeight="false" outlineLevel="0" collapsed="false">
      <c r="A129" s="51" t="str">
        <f aca="false">C_KPI_Benchmark!A129</f>
        <v>3.a-D6-17</v>
      </c>
      <c r="B129" s="52" t="str">
        <f aca="false">C_KPI_Benchmark!D129</f>
        <v>3.a</v>
      </c>
      <c r="C129" s="51" t="str">
        <f aca="false">C_KPI_Benchmark!E129</f>
        <v>Scenario + LLM Test Case Gen Agent</v>
      </c>
      <c r="D129" s="52" t="str">
        <f aca="false">C_KPI_Benchmark!F129</f>
        <v>D6</v>
      </c>
      <c r="E129" s="51" t="str">
        <f aca="false">C_KPI_Benchmark!J129</f>
        <v>SAST high findings and exposed secrets</v>
      </c>
      <c r="F129" s="52" t="str">
        <f aca="false">C_KPI_Benchmark!K129</f>
        <v>count</v>
      </c>
      <c r="G129" s="51" t="str">
        <f aca="false">C_KPI_Benchmark!L129</f>
        <v>Lower is better</v>
      </c>
      <c r="H129" s="62" t="n">
        <f aca="false">C_KPI_Benchmark!N129</f>
        <v>0</v>
      </c>
      <c r="I129" s="63" t="n">
        <f aca="false">IF(C_KPI_Benchmark!O129&lt;&gt;"",C_KPI_Benchmark!O129,IF(G129="Higher is better",H129*(1-A_Scoring_Model!$C$16),H129*(1+A_Scoring_Model!$C$16)))</f>
        <v>0</v>
      </c>
      <c r="J129" s="64"/>
      <c r="K129" s="64"/>
      <c r="L129" s="64"/>
      <c r="M129" s="64"/>
      <c r="N129" s="56" t="str">
        <f aca="false">IF(J129="","",IF($H129=$I129,IF(OR(AND($G129="Higher is better",J129&gt;=$H129),AND($G129="Lower is better",J129&lt;=$H129)),A_Scoring_Model!$C$14,0),IF($G129="Higher is better",IF(J129&gt;=$H129,A_Scoring_Model!$C$14,IF(J129&lt;$I129,0,A_Scoring_Model!$C$15+(A_Scoring_Model!$C$14-A_Scoring_Model!$C$15)*(J129-$I129)/($H129-$I129))),IF(J129&lt;=$H129,A_Scoring_Model!$C$14,IF(J129&gt;$I129,0,A_Scoring_Model!$C$15+(A_Scoring_Model!$C$14-A_Scoring_Model!$C$15)*($I129-J129)/($I129-$H129))))))</f>
        <v/>
      </c>
      <c r="O129" s="56" t="str">
        <f aca="false">IF(K129="","",IF($H129=$I129,IF(OR(AND($G129="Higher is better",K129&gt;=$H129),AND($G129="Lower is better",K129&lt;=$H129)),A_Scoring_Model!$C$14,0),IF($G129="Higher is better",IF(K129&gt;=$H129,A_Scoring_Model!$C$14,IF(K129&lt;$I129,0,A_Scoring_Model!$C$15+(A_Scoring_Model!$C$14-A_Scoring_Model!$C$15)*(K129-$I129)/($H129-$I129))),IF(K129&lt;=$H129,A_Scoring_Model!$C$14,IF(K129&gt;$I129,0,A_Scoring_Model!$C$15+(A_Scoring_Model!$C$14-A_Scoring_Model!$C$15)*($I129-K129)/($I129-$H129))))))</f>
        <v/>
      </c>
      <c r="P129" s="56" t="str">
        <f aca="false">IF(L129="","",IF($H129=$I129,IF(OR(AND($G129="Higher is better",L129&gt;=$H129),AND($G129="Lower is better",L129&lt;=$H129)),A_Scoring_Model!$C$14,0),IF($G129="Higher is better",IF(L129&gt;=$H129,A_Scoring_Model!$C$14,IF(L129&lt;$I129,0,A_Scoring_Model!$C$15+(A_Scoring_Model!$C$14-A_Scoring_Model!$C$15)*(L129-$I129)/($H129-$I129))),IF(L129&lt;=$H129,A_Scoring_Model!$C$14,IF(L129&gt;$I129,0,A_Scoring_Model!$C$15+(A_Scoring_Model!$C$14-A_Scoring_Model!$C$15)*($I129-L129)/($I129-$H129))))))</f>
        <v/>
      </c>
      <c r="Q129" s="56" t="str">
        <f aca="false">IF(M129="","",IF($H129=$I129,IF(OR(AND($G129="Higher is better",M129&gt;=$H129),AND($G129="Lower is better",M129&lt;=$H129)),A_Scoring_Model!$C$14,0),IF($G129="Higher is better",IF(M129&gt;=$H129,A_Scoring_Model!$C$14,IF(M129&lt;$I129,0,A_Scoring_Model!$C$15+(A_Scoring_Model!$C$14-A_Scoring_Model!$C$15)*(M129-$I129)/($H129-$I129))),IF(M129&lt;=$H129,A_Scoring_Model!$C$14,IF(M129&gt;$I129,0,A_Scoring_Model!$C$15+(A_Scoring_Model!$C$14-A_Scoring_Model!$C$15)*($I129-M129)/($I129-$H129))))))</f>
        <v/>
      </c>
    </row>
    <row r="130" customFormat="false" ht="23.85" hidden="false" customHeight="false" outlineLevel="0" collapsed="false">
      <c r="A130" s="51" t="str">
        <f aca="false">C_KPI_Benchmark!A130</f>
        <v>3.a-D6-18</v>
      </c>
      <c r="B130" s="52" t="str">
        <f aca="false">C_KPI_Benchmark!D130</f>
        <v>3.a</v>
      </c>
      <c r="C130" s="51" t="str">
        <f aca="false">C_KPI_Benchmark!E130</f>
        <v>Scenario + LLM Test Case Gen Agent</v>
      </c>
      <c r="D130" s="52" t="str">
        <f aca="false">C_KPI_Benchmark!F130</f>
        <v>D6</v>
      </c>
      <c r="E130" s="51" t="str">
        <f aca="false">C_KPI_Benchmark!J130</f>
        <v>Documentation pack complete (README, I/O contract, model card, runbook)</v>
      </c>
      <c r="F130" s="52" t="str">
        <f aca="false">C_KPI_Benchmark!K130</f>
        <v>Yes/No</v>
      </c>
      <c r="G130" s="51" t="str">
        <f aca="false">C_KPI_Benchmark!L130</f>
        <v>Higher is better</v>
      </c>
      <c r="H130" s="60" t="n">
        <f aca="false">C_KPI_Benchmark!N130</f>
        <v>1</v>
      </c>
      <c r="I130" s="56" t="n">
        <f aca="false">IF(C_KPI_Benchmark!O130&lt;&gt;"",C_KPI_Benchmark!O130,IF(G130="Higher is better",H130*(1-A_Scoring_Model!$C$16),H130*(1+A_Scoring_Model!$C$16)))</f>
        <v>0.8</v>
      </c>
      <c r="J130" s="61"/>
      <c r="K130" s="61"/>
      <c r="L130" s="61"/>
      <c r="M130" s="61"/>
      <c r="N130" s="56" t="str">
        <f aca="false">IF(J130="","",IF($H130=$I130,IF(OR(AND($G130="Higher is better",J130&gt;=$H130),AND($G130="Lower is better",J130&lt;=$H130)),A_Scoring_Model!$C$14,0),IF($G130="Higher is better",IF(J130&gt;=$H130,A_Scoring_Model!$C$14,IF(J130&lt;$I130,0,A_Scoring_Model!$C$15+(A_Scoring_Model!$C$14-A_Scoring_Model!$C$15)*(J130-$I130)/($H130-$I130))),IF(J130&lt;=$H130,A_Scoring_Model!$C$14,IF(J130&gt;$I130,0,A_Scoring_Model!$C$15+(A_Scoring_Model!$C$14-A_Scoring_Model!$C$15)*($I130-J130)/($I130-$H130))))))</f>
        <v/>
      </c>
      <c r="O130" s="56" t="str">
        <f aca="false">IF(K130="","",IF($H130=$I130,IF(OR(AND($G130="Higher is better",K130&gt;=$H130),AND($G130="Lower is better",K130&lt;=$H130)),A_Scoring_Model!$C$14,0),IF($G130="Higher is better",IF(K130&gt;=$H130,A_Scoring_Model!$C$14,IF(K130&lt;$I130,0,A_Scoring_Model!$C$15+(A_Scoring_Model!$C$14-A_Scoring_Model!$C$15)*(K130-$I130)/($H130-$I130))),IF(K130&lt;=$H130,A_Scoring_Model!$C$14,IF(K130&gt;$I130,0,A_Scoring_Model!$C$15+(A_Scoring_Model!$C$14-A_Scoring_Model!$C$15)*($I130-K130)/($I130-$H130))))))</f>
        <v/>
      </c>
      <c r="P130" s="56" t="str">
        <f aca="false">IF(L130="","",IF($H130=$I130,IF(OR(AND($G130="Higher is better",L130&gt;=$H130),AND($G130="Lower is better",L130&lt;=$H130)),A_Scoring_Model!$C$14,0),IF($G130="Higher is better",IF(L130&gt;=$H130,A_Scoring_Model!$C$14,IF(L130&lt;$I130,0,A_Scoring_Model!$C$15+(A_Scoring_Model!$C$14-A_Scoring_Model!$C$15)*(L130-$I130)/($H130-$I130))),IF(L130&lt;=$H130,A_Scoring_Model!$C$14,IF(L130&gt;$I130,0,A_Scoring_Model!$C$15+(A_Scoring_Model!$C$14-A_Scoring_Model!$C$15)*($I130-L130)/($I130-$H130))))))</f>
        <v/>
      </c>
      <c r="Q130" s="56" t="str">
        <f aca="false">IF(M130="","",IF($H130=$I130,IF(OR(AND($G130="Higher is better",M130&gt;=$H130),AND($G130="Lower is better",M130&lt;=$H130)),A_Scoring_Model!$C$14,0),IF($G130="Higher is better",IF(M130&gt;=$H130,A_Scoring_Model!$C$14,IF(M130&lt;$I130,0,A_Scoring_Model!$C$15+(A_Scoring_Model!$C$14-A_Scoring_Model!$C$15)*(M130-$I130)/($H130-$I130))),IF(M130&lt;=$H130,A_Scoring_Model!$C$14,IF(M130&gt;$I130,0,A_Scoring_Model!$C$15+(A_Scoring_Model!$C$14-A_Scoring_Model!$C$15)*($I130-M130)/($I130-$H130))))))</f>
        <v/>
      </c>
    </row>
    <row r="131" customFormat="false" ht="23.85" hidden="false" customHeight="false" outlineLevel="0" collapsed="false">
      <c r="A131" s="51" t="str">
        <f aca="false">C_KPI_Benchmark!A131</f>
        <v>3.a-D6-19</v>
      </c>
      <c r="B131" s="52" t="str">
        <f aca="false">C_KPI_Benchmark!D131</f>
        <v>3.a</v>
      </c>
      <c r="C131" s="51" t="str">
        <f aca="false">C_KPI_Benchmark!E131</f>
        <v>Scenario + LLM Test Case Gen Agent</v>
      </c>
      <c r="D131" s="52" t="str">
        <f aca="false">C_KPI_Benchmark!F131</f>
        <v>D6</v>
      </c>
      <c r="E131" s="51" t="str">
        <f aca="false">C_KPI_Benchmark!J131</f>
        <v>Named owner and support SLA</v>
      </c>
      <c r="F131" s="52" t="str">
        <f aca="false">C_KPI_Benchmark!K131</f>
        <v>Yes/No</v>
      </c>
      <c r="G131" s="51" t="str">
        <f aca="false">C_KPI_Benchmark!L131</f>
        <v>Higher is better</v>
      </c>
      <c r="H131" s="60" t="n">
        <f aca="false">C_KPI_Benchmark!N131</f>
        <v>1</v>
      </c>
      <c r="I131" s="56" t="n">
        <f aca="false">IF(C_KPI_Benchmark!O131&lt;&gt;"",C_KPI_Benchmark!O131,IF(G131="Higher is better",H131*(1-A_Scoring_Model!$C$16),H131*(1+A_Scoring_Model!$C$16)))</f>
        <v>0.8</v>
      </c>
      <c r="J131" s="61"/>
      <c r="K131" s="61"/>
      <c r="L131" s="61"/>
      <c r="M131" s="61"/>
      <c r="N131" s="56" t="str">
        <f aca="false">IF(J131="","",IF($H131=$I131,IF(OR(AND($G131="Higher is better",J131&gt;=$H131),AND($G131="Lower is better",J131&lt;=$H131)),A_Scoring_Model!$C$14,0),IF($G131="Higher is better",IF(J131&gt;=$H131,A_Scoring_Model!$C$14,IF(J131&lt;$I131,0,A_Scoring_Model!$C$15+(A_Scoring_Model!$C$14-A_Scoring_Model!$C$15)*(J131-$I131)/($H131-$I131))),IF(J131&lt;=$H131,A_Scoring_Model!$C$14,IF(J131&gt;$I131,0,A_Scoring_Model!$C$15+(A_Scoring_Model!$C$14-A_Scoring_Model!$C$15)*($I131-J131)/($I131-$H131))))))</f>
        <v/>
      </c>
      <c r="O131" s="56" t="str">
        <f aca="false">IF(K131="","",IF($H131=$I131,IF(OR(AND($G131="Higher is better",K131&gt;=$H131),AND($G131="Lower is better",K131&lt;=$H131)),A_Scoring_Model!$C$14,0),IF($G131="Higher is better",IF(K131&gt;=$H131,A_Scoring_Model!$C$14,IF(K131&lt;$I131,0,A_Scoring_Model!$C$15+(A_Scoring_Model!$C$14-A_Scoring_Model!$C$15)*(K131-$I131)/($H131-$I131))),IF(K131&lt;=$H131,A_Scoring_Model!$C$14,IF(K131&gt;$I131,0,A_Scoring_Model!$C$15+(A_Scoring_Model!$C$14-A_Scoring_Model!$C$15)*($I131-K131)/($I131-$H131))))))</f>
        <v/>
      </c>
      <c r="P131" s="56" t="str">
        <f aca="false">IF(L131="","",IF($H131=$I131,IF(OR(AND($G131="Higher is better",L131&gt;=$H131),AND($G131="Lower is better",L131&lt;=$H131)),A_Scoring_Model!$C$14,0),IF($G131="Higher is better",IF(L131&gt;=$H131,A_Scoring_Model!$C$14,IF(L131&lt;$I131,0,A_Scoring_Model!$C$15+(A_Scoring_Model!$C$14-A_Scoring_Model!$C$15)*(L131-$I131)/($H131-$I131))),IF(L131&lt;=$H131,A_Scoring_Model!$C$14,IF(L131&gt;$I131,0,A_Scoring_Model!$C$15+(A_Scoring_Model!$C$14-A_Scoring_Model!$C$15)*($I131-L131)/($I131-$H131))))))</f>
        <v/>
      </c>
      <c r="Q131" s="56" t="str">
        <f aca="false">IF(M131="","",IF($H131=$I131,IF(OR(AND($G131="Higher is better",M131&gt;=$H131),AND($G131="Lower is better",M131&lt;=$H131)),A_Scoring_Model!$C$14,0),IF($G131="Higher is better",IF(M131&gt;=$H131,A_Scoring_Model!$C$14,IF(M131&lt;$I131,0,A_Scoring_Model!$C$15+(A_Scoring_Model!$C$14-A_Scoring_Model!$C$15)*(M131-$I131)/($H131-$I131))),IF(M131&lt;=$H131,A_Scoring_Model!$C$14,IF(M131&gt;$I131,0,A_Scoring_Model!$C$15+(A_Scoring_Model!$C$14-A_Scoring_Model!$C$15)*($I131-M131)/($I131-$H131))))))</f>
        <v/>
      </c>
    </row>
    <row r="132" customFormat="false" ht="15" hidden="false" customHeight="false" outlineLevel="0" collapsed="false">
      <c r="A132" s="51" t="str">
        <f aca="false">C_KPI_Benchmark!A132</f>
        <v>3.b-D1-01</v>
      </c>
      <c r="B132" s="52" t="str">
        <f aca="false">C_KPI_Benchmark!D132</f>
        <v>3.b</v>
      </c>
      <c r="C132" s="51" t="str">
        <f aca="false">C_KPI_Benchmark!E132</f>
        <v>BDD Writer &amp; Data Synth Agent</v>
      </c>
      <c r="D132" s="52" t="str">
        <f aca="false">C_KPI_Benchmark!F132</f>
        <v>D1</v>
      </c>
      <c r="E132" s="51" t="str">
        <f aca="false">C_KPI_Benchmark!J132</f>
        <v>Gherkin lint pass</v>
      </c>
      <c r="F132" s="52" t="str">
        <f aca="false">C_KPI_Benchmark!K132</f>
        <v>%</v>
      </c>
      <c r="G132" s="51" t="str">
        <f aca="false">C_KPI_Benchmark!L132</f>
        <v>Higher is better</v>
      </c>
      <c r="H132" s="53" t="n">
        <f aca="false">C_KPI_Benchmark!N132</f>
        <v>1</v>
      </c>
      <c r="I132" s="54" t="n">
        <f aca="false">IF(C_KPI_Benchmark!O132&lt;&gt;"",C_KPI_Benchmark!O132,IF(G132="Higher is better",H132*(1-A_Scoring_Model!$C$16),H132*(1+A_Scoring_Model!$C$16)))</f>
        <v>0.98</v>
      </c>
      <c r="J132" s="55"/>
      <c r="K132" s="55"/>
      <c r="L132" s="55"/>
      <c r="M132" s="55"/>
      <c r="N132" s="56" t="str">
        <f aca="false">IF(J132="","",IF($H132=$I132,IF(OR(AND($G132="Higher is better",J132&gt;=$H132),AND($G132="Lower is better",J132&lt;=$H132)),A_Scoring_Model!$C$14,0),IF($G132="Higher is better",IF(J132&gt;=$H132,A_Scoring_Model!$C$14,IF(J132&lt;$I132,0,A_Scoring_Model!$C$15+(A_Scoring_Model!$C$14-A_Scoring_Model!$C$15)*(J132-$I132)/($H132-$I132))),IF(J132&lt;=$H132,A_Scoring_Model!$C$14,IF(J132&gt;$I132,0,A_Scoring_Model!$C$15+(A_Scoring_Model!$C$14-A_Scoring_Model!$C$15)*($I132-J132)/($I132-$H132))))))</f>
        <v/>
      </c>
      <c r="O132" s="56" t="str">
        <f aca="false">IF(K132="","",IF($H132=$I132,IF(OR(AND($G132="Higher is better",K132&gt;=$H132),AND($G132="Lower is better",K132&lt;=$H132)),A_Scoring_Model!$C$14,0),IF($G132="Higher is better",IF(K132&gt;=$H132,A_Scoring_Model!$C$14,IF(K132&lt;$I132,0,A_Scoring_Model!$C$15+(A_Scoring_Model!$C$14-A_Scoring_Model!$C$15)*(K132-$I132)/($H132-$I132))),IF(K132&lt;=$H132,A_Scoring_Model!$C$14,IF(K132&gt;$I132,0,A_Scoring_Model!$C$15+(A_Scoring_Model!$C$14-A_Scoring_Model!$C$15)*($I132-K132)/($I132-$H132))))))</f>
        <v/>
      </c>
      <c r="P132" s="56" t="str">
        <f aca="false">IF(L132="","",IF($H132=$I132,IF(OR(AND($G132="Higher is better",L132&gt;=$H132),AND($G132="Lower is better",L132&lt;=$H132)),A_Scoring_Model!$C$14,0),IF($G132="Higher is better",IF(L132&gt;=$H132,A_Scoring_Model!$C$14,IF(L132&lt;$I132,0,A_Scoring_Model!$C$15+(A_Scoring_Model!$C$14-A_Scoring_Model!$C$15)*(L132-$I132)/($H132-$I132))),IF(L132&lt;=$H132,A_Scoring_Model!$C$14,IF(L132&gt;$I132,0,A_Scoring_Model!$C$15+(A_Scoring_Model!$C$14-A_Scoring_Model!$C$15)*($I132-L132)/($I132-$H132))))))</f>
        <v/>
      </c>
      <c r="Q132" s="56" t="str">
        <f aca="false">IF(M132="","",IF($H132=$I132,IF(OR(AND($G132="Higher is better",M132&gt;=$H132),AND($G132="Lower is better",M132&lt;=$H132)),A_Scoring_Model!$C$14,0),IF($G132="Higher is better",IF(M132&gt;=$H132,A_Scoring_Model!$C$14,IF(M132&lt;$I132,0,A_Scoring_Model!$C$15+(A_Scoring_Model!$C$14-A_Scoring_Model!$C$15)*(M132-$I132)/($H132-$I132))),IF(M132&lt;=$H132,A_Scoring_Model!$C$14,IF(M132&gt;$I132,0,A_Scoring_Model!$C$15+(A_Scoring_Model!$C$14-A_Scoring_Model!$C$15)*($I132-M132)/($I132-$H132))))))</f>
        <v/>
      </c>
    </row>
    <row r="133" customFormat="false" ht="15" hidden="false" customHeight="false" outlineLevel="0" collapsed="false">
      <c r="A133" s="51" t="str">
        <f aca="false">C_KPI_Benchmark!A133</f>
        <v>3.b-D1-02</v>
      </c>
      <c r="B133" s="52" t="str">
        <f aca="false">C_KPI_Benchmark!D133</f>
        <v>3.b</v>
      </c>
      <c r="C133" s="51" t="str">
        <f aca="false">C_KPI_Benchmark!E133</f>
        <v>BDD Writer &amp; Data Synth Agent</v>
      </c>
      <c r="D133" s="52" t="str">
        <f aca="false">C_KPI_Benchmark!F133</f>
        <v>D1</v>
      </c>
      <c r="E133" s="51" t="str">
        <f aca="false">C_KPI_Benchmark!J133</f>
        <v>Step-definition reuse ratio</v>
      </c>
      <c r="F133" s="52" t="str">
        <f aca="false">C_KPI_Benchmark!K133</f>
        <v>%</v>
      </c>
      <c r="G133" s="51" t="str">
        <f aca="false">C_KPI_Benchmark!L133</f>
        <v>Higher is better</v>
      </c>
      <c r="H133" s="53" t="n">
        <f aca="false">C_KPI_Benchmark!N133</f>
        <v>0.6</v>
      </c>
      <c r="I133" s="54" t="n">
        <f aca="false">IF(C_KPI_Benchmark!O133&lt;&gt;"",C_KPI_Benchmark!O133,IF(G133="Higher is better",H133*(1-A_Scoring_Model!$C$16),H133*(1+A_Scoring_Model!$C$16)))</f>
        <v>0.4</v>
      </c>
      <c r="J133" s="55"/>
      <c r="K133" s="55"/>
      <c r="L133" s="55"/>
      <c r="M133" s="55"/>
      <c r="N133" s="56" t="str">
        <f aca="false">IF(J133="","",IF($H133=$I133,IF(OR(AND($G133="Higher is better",J133&gt;=$H133),AND($G133="Lower is better",J133&lt;=$H133)),A_Scoring_Model!$C$14,0),IF($G133="Higher is better",IF(J133&gt;=$H133,A_Scoring_Model!$C$14,IF(J133&lt;$I133,0,A_Scoring_Model!$C$15+(A_Scoring_Model!$C$14-A_Scoring_Model!$C$15)*(J133-$I133)/($H133-$I133))),IF(J133&lt;=$H133,A_Scoring_Model!$C$14,IF(J133&gt;$I133,0,A_Scoring_Model!$C$15+(A_Scoring_Model!$C$14-A_Scoring_Model!$C$15)*($I133-J133)/($I133-$H133))))))</f>
        <v/>
      </c>
      <c r="O133" s="56" t="str">
        <f aca="false">IF(K133="","",IF($H133=$I133,IF(OR(AND($G133="Higher is better",K133&gt;=$H133),AND($G133="Lower is better",K133&lt;=$H133)),A_Scoring_Model!$C$14,0),IF($G133="Higher is better",IF(K133&gt;=$H133,A_Scoring_Model!$C$14,IF(K133&lt;$I133,0,A_Scoring_Model!$C$15+(A_Scoring_Model!$C$14-A_Scoring_Model!$C$15)*(K133-$I133)/($H133-$I133))),IF(K133&lt;=$H133,A_Scoring_Model!$C$14,IF(K133&gt;$I133,0,A_Scoring_Model!$C$15+(A_Scoring_Model!$C$14-A_Scoring_Model!$C$15)*($I133-K133)/($I133-$H133))))))</f>
        <v/>
      </c>
      <c r="P133" s="56" t="str">
        <f aca="false">IF(L133="","",IF($H133=$I133,IF(OR(AND($G133="Higher is better",L133&gt;=$H133),AND($G133="Lower is better",L133&lt;=$H133)),A_Scoring_Model!$C$14,0),IF($G133="Higher is better",IF(L133&gt;=$H133,A_Scoring_Model!$C$14,IF(L133&lt;$I133,0,A_Scoring_Model!$C$15+(A_Scoring_Model!$C$14-A_Scoring_Model!$C$15)*(L133-$I133)/($H133-$I133))),IF(L133&lt;=$H133,A_Scoring_Model!$C$14,IF(L133&gt;$I133,0,A_Scoring_Model!$C$15+(A_Scoring_Model!$C$14-A_Scoring_Model!$C$15)*($I133-L133)/($I133-$H133))))))</f>
        <v/>
      </c>
      <c r="Q133" s="56" t="str">
        <f aca="false">IF(M133="","",IF($H133=$I133,IF(OR(AND($G133="Higher is better",M133&gt;=$H133),AND($G133="Lower is better",M133&lt;=$H133)),A_Scoring_Model!$C$14,0),IF($G133="Higher is better",IF(M133&gt;=$H133,A_Scoring_Model!$C$14,IF(M133&lt;$I133,0,A_Scoring_Model!$C$15+(A_Scoring_Model!$C$14-A_Scoring_Model!$C$15)*(M133-$I133)/($H133-$I133))),IF(M133&lt;=$H133,A_Scoring_Model!$C$14,IF(M133&gt;$I133,0,A_Scoring_Model!$C$15+(A_Scoring_Model!$C$14-A_Scoring_Model!$C$15)*($I133-M133)/($I133-$H133))))))</f>
        <v/>
      </c>
    </row>
    <row r="134" customFormat="false" ht="15" hidden="false" customHeight="false" outlineLevel="0" collapsed="false">
      <c r="A134" s="51" t="str">
        <f aca="false">C_KPI_Benchmark!A134</f>
        <v>3.b-D1-03</v>
      </c>
      <c r="B134" s="52" t="str">
        <f aca="false">C_KPI_Benchmark!D134</f>
        <v>3.b</v>
      </c>
      <c r="C134" s="51" t="str">
        <f aca="false">C_KPI_Benchmark!E134</f>
        <v>BDD Writer &amp; Data Synth Agent</v>
      </c>
      <c r="D134" s="52" t="str">
        <f aca="false">C_KPI_Benchmark!F134</f>
        <v>D1</v>
      </c>
      <c r="E134" s="51" t="str">
        <f aca="false">C_KPI_Benchmark!J134</f>
        <v>Synthetic data constraint validity</v>
      </c>
      <c r="F134" s="52" t="str">
        <f aca="false">C_KPI_Benchmark!K134</f>
        <v>%</v>
      </c>
      <c r="G134" s="51" t="str">
        <f aca="false">C_KPI_Benchmark!L134</f>
        <v>Higher is better</v>
      </c>
      <c r="H134" s="53" t="n">
        <f aca="false">C_KPI_Benchmark!N134</f>
        <v>0.99</v>
      </c>
      <c r="I134" s="54" t="n">
        <f aca="false">IF(C_KPI_Benchmark!O134&lt;&gt;"",C_KPI_Benchmark!O134,IF(G134="Higher is better",H134*(1-A_Scoring_Model!$C$16),H134*(1+A_Scoring_Model!$C$16)))</f>
        <v>0.97</v>
      </c>
      <c r="J134" s="55"/>
      <c r="K134" s="55"/>
      <c r="L134" s="55"/>
      <c r="M134" s="55"/>
      <c r="N134" s="56" t="str">
        <f aca="false">IF(J134="","",IF($H134=$I134,IF(OR(AND($G134="Higher is better",J134&gt;=$H134),AND($G134="Lower is better",J134&lt;=$H134)),A_Scoring_Model!$C$14,0),IF($G134="Higher is better",IF(J134&gt;=$H134,A_Scoring_Model!$C$14,IF(J134&lt;$I134,0,A_Scoring_Model!$C$15+(A_Scoring_Model!$C$14-A_Scoring_Model!$C$15)*(J134-$I134)/($H134-$I134))),IF(J134&lt;=$H134,A_Scoring_Model!$C$14,IF(J134&gt;$I134,0,A_Scoring_Model!$C$15+(A_Scoring_Model!$C$14-A_Scoring_Model!$C$15)*($I134-J134)/($I134-$H134))))))</f>
        <v/>
      </c>
      <c r="O134" s="56" t="str">
        <f aca="false">IF(K134="","",IF($H134=$I134,IF(OR(AND($G134="Higher is better",K134&gt;=$H134),AND($G134="Lower is better",K134&lt;=$H134)),A_Scoring_Model!$C$14,0),IF($G134="Higher is better",IF(K134&gt;=$H134,A_Scoring_Model!$C$14,IF(K134&lt;$I134,0,A_Scoring_Model!$C$15+(A_Scoring_Model!$C$14-A_Scoring_Model!$C$15)*(K134-$I134)/($H134-$I134))),IF(K134&lt;=$H134,A_Scoring_Model!$C$14,IF(K134&gt;$I134,0,A_Scoring_Model!$C$15+(A_Scoring_Model!$C$14-A_Scoring_Model!$C$15)*($I134-K134)/($I134-$H134))))))</f>
        <v/>
      </c>
      <c r="P134" s="56" t="str">
        <f aca="false">IF(L134="","",IF($H134=$I134,IF(OR(AND($G134="Higher is better",L134&gt;=$H134),AND($G134="Lower is better",L134&lt;=$H134)),A_Scoring_Model!$C$14,0),IF($G134="Higher is better",IF(L134&gt;=$H134,A_Scoring_Model!$C$14,IF(L134&lt;$I134,0,A_Scoring_Model!$C$15+(A_Scoring_Model!$C$14-A_Scoring_Model!$C$15)*(L134-$I134)/($H134-$I134))),IF(L134&lt;=$H134,A_Scoring_Model!$C$14,IF(L134&gt;$I134,0,A_Scoring_Model!$C$15+(A_Scoring_Model!$C$14-A_Scoring_Model!$C$15)*($I134-L134)/($I134-$H134))))))</f>
        <v/>
      </c>
      <c r="Q134" s="56" t="str">
        <f aca="false">IF(M134="","",IF($H134=$I134,IF(OR(AND($G134="Higher is better",M134&gt;=$H134),AND($G134="Lower is better",M134&lt;=$H134)),A_Scoring_Model!$C$14,0),IF($G134="Higher is better",IF(M134&gt;=$H134,A_Scoring_Model!$C$14,IF(M134&lt;$I134,0,A_Scoring_Model!$C$15+(A_Scoring_Model!$C$14-A_Scoring_Model!$C$15)*(M134-$I134)/($H134-$I134))),IF(M134&lt;=$H134,A_Scoring_Model!$C$14,IF(M134&gt;$I134,0,A_Scoring_Model!$C$15+(A_Scoring_Model!$C$14-A_Scoring_Model!$C$15)*($I134-M134)/($I134-$H134))))))</f>
        <v/>
      </c>
    </row>
    <row r="135" customFormat="false" ht="15" hidden="false" customHeight="false" outlineLevel="0" collapsed="false">
      <c r="A135" s="51" t="str">
        <f aca="false">C_KPI_Benchmark!A135</f>
        <v>3.b-D1-04</v>
      </c>
      <c r="B135" s="52" t="str">
        <f aca="false">C_KPI_Benchmark!D135</f>
        <v>3.b</v>
      </c>
      <c r="C135" s="51" t="str">
        <f aca="false">C_KPI_Benchmark!E135</f>
        <v>BDD Writer &amp; Data Synth Agent</v>
      </c>
      <c r="D135" s="52" t="str">
        <f aca="false">C_KPI_Benchmark!F135</f>
        <v>D1</v>
      </c>
      <c r="E135" s="51" t="str">
        <f aca="false">C_KPI_Benchmark!J135</f>
        <v>Boundary-value coverage</v>
      </c>
      <c r="F135" s="52" t="str">
        <f aca="false">C_KPI_Benchmark!K135</f>
        <v>%</v>
      </c>
      <c r="G135" s="51" t="str">
        <f aca="false">C_KPI_Benchmark!L135</f>
        <v>Higher is better</v>
      </c>
      <c r="H135" s="53" t="n">
        <f aca="false">C_KPI_Benchmark!N135</f>
        <v>0.95</v>
      </c>
      <c r="I135" s="54" t="n">
        <f aca="false">IF(C_KPI_Benchmark!O135&lt;&gt;"",C_KPI_Benchmark!O135,IF(G135="Higher is better",H135*(1-A_Scoring_Model!$C$16),H135*(1+A_Scoring_Model!$C$16)))</f>
        <v>0.85</v>
      </c>
      <c r="J135" s="55"/>
      <c r="K135" s="55"/>
      <c r="L135" s="55"/>
      <c r="M135" s="55"/>
      <c r="N135" s="56" t="str">
        <f aca="false">IF(J135="","",IF($H135=$I135,IF(OR(AND($G135="Higher is better",J135&gt;=$H135),AND($G135="Lower is better",J135&lt;=$H135)),A_Scoring_Model!$C$14,0),IF($G135="Higher is better",IF(J135&gt;=$H135,A_Scoring_Model!$C$14,IF(J135&lt;$I135,0,A_Scoring_Model!$C$15+(A_Scoring_Model!$C$14-A_Scoring_Model!$C$15)*(J135-$I135)/($H135-$I135))),IF(J135&lt;=$H135,A_Scoring_Model!$C$14,IF(J135&gt;$I135,0,A_Scoring_Model!$C$15+(A_Scoring_Model!$C$14-A_Scoring_Model!$C$15)*($I135-J135)/($I135-$H135))))))</f>
        <v/>
      </c>
      <c r="O135" s="56" t="str">
        <f aca="false">IF(K135="","",IF($H135=$I135,IF(OR(AND($G135="Higher is better",K135&gt;=$H135),AND($G135="Lower is better",K135&lt;=$H135)),A_Scoring_Model!$C$14,0),IF($G135="Higher is better",IF(K135&gt;=$H135,A_Scoring_Model!$C$14,IF(K135&lt;$I135,0,A_Scoring_Model!$C$15+(A_Scoring_Model!$C$14-A_Scoring_Model!$C$15)*(K135-$I135)/($H135-$I135))),IF(K135&lt;=$H135,A_Scoring_Model!$C$14,IF(K135&gt;$I135,0,A_Scoring_Model!$C$15+(A_Scoring_Model!$C$14-A_Scoring_Model!$C$15)*($I135-K135)/($I135-$H135))))))</f>
        <v/>
      </c>
      <c r="P135" s="56" t="str">
        <f aca="false">IF(L135="","",IF($H135=$I135,IF(OR(AND($G135="Higher is better",L135&gt;=$H135),AND($G135="Lower is better",L135&lt;=$H135)),A_Scoring_Model!$C$14,0),IF($G135="Higher is better",IF(L135&gt;=$H135,A_Scoring_Model!$C$14,IF(L135&lt;$I135,0,A_Scoring_Model!$C$15+(A_Scoring_Model!$C$14-A_Scoring_Model!$C$15)*(L135-$I135)/($H135-$I135))),IF(L135&lt;=$H135,A_Scoring_Model!$C$14,IF(L135&gt;$I135,0,A_Scoring_Model!$C$15+(A_Scoring_Model!$C$14-A_Scoring_Model!$C$15)*($I135-L135)/($I135-$H135))))))</f>
        <v/>
      </c>
      <c r="Q135" s="56" t="str">
        <f aca="false">IF(M135="","",IF($H135=$I135,IF(OR(AND($G135="Higher is better",M135&gt;=$H135),AND($G135="Lower is better",M135&lt;=$H135)),A_Scoring_Model!$C$14,0),IF($G135="Higher is better",IF(M135&gt;=$H135,A_Scoring_Model!$C$14,IF(M135&lt;$I135,0,A_Scoring_Model!$C$15+(A_Scoring_Model!$C$14-A_Scoring_Model!$C$15)*(M135-$I135)/($H135-$I135))),IF(M135&lt;=$H135,A_Scoring_Model!$C$14,IF(M135&gt;$I135,0,A_Scoring_Model!$C$15+(A_Scoring_Model!$C$14-A_Scoring_Model!$C$15)*($I135-M135)/($I135-$H135))))))</f>
        <v/>
      </c>
    </row>
    <row r="136" customFormat="false" ht="23.85" hidden="false" customHeight="false" outlineLevel="0" collapsed="false">
      <c r="A136" s="51" t="str">
        <f aca="false">C_KPI_Benchmark!A136</f>
        <v>3.b-D2-05</v>
      </c>
      <c r="B136" s="52" t="str">
        <f aca="false">C_KPI_Benchmark!D136</f>
        <v>3.b</v>
      </c>
      <c r="C136" s="51" t="str">
        <f aca="false">C_KPI_Benchmark!E136</f>
        <v>BDD Writer &amp; Data Synth Agent</v>
      </c>
      <c r="D136" s="52" t="str">
        <f aca="false">C_KPI_Benchmark!F136</f>
        <v>D2</v>
      </c>
      <c r="E136" s="51" t="str">
        <f aca="false">C_KPI_Benchmark!J136</f>
        <v>Generators driven by JSON Schema / NVMe structure definitions</v>
      </c>
      <c r="F136" s="52" t="str">
        <f aca="false">C_KPI_Benchmark!K136</f>
        <v>Yes/No</v>
      </c>
      <c r="G136" s="51" t="str">
        <f aca="false">C_KPI_Benchmark!L136</f>
        <v>Higher is better</v>
      </c>
      <c r="H136" s="60" t="n">
        <f aca="false">C_KPI_Benchmark!N136</f>
        <v>1</v>
      </c>
      <c r="I136" s="56" t="n">
        <f aca="false">IF(C_KPI_Benchmark!O136&lt;&gt;"",C_KPI_Benchmark!O136,IF(G136="Higher is better",H136*(1-A_Scoring_Model!$C$16),H136*(1+A_Scoring_Model!$C$16)))</f>
        <v>0.8</v>
      </c>
      <c r="J136" s="61"/>
      <c r="K136" s="61"/>
      <c r="L136" s="61"/>
      <c r="M136" s="61"/>
      <c r="N136" s="56" t="str">
        <f aca="false">IF(J136="","",IF($H136=$I136,IF(OR(AND($G136="Higher is better",J136&gt;=$H136),AND($G136="Lower is better",J136&lt;=$H136)),A_Scoring_Model!$C$14,0),IF($G136="Higher is better",IF(J136&gt;=$H136,A_Scoring_Model!$C$14,IF(J136&lt;$I136,0,A_Scoring_Model!$C$15+(A_Scoring_Model!$C$14-A_Scoring_Model!$C$15)*(J136-$I136)/($H136-$I136))),IF(J136&lt;=$H136,A_Scoring_Model!$C$14,IF(J136&gt;$I136,0,A_Scoring_Model!$C$15+(A_Scoring_Model!$C$14-A_Scoring_Model!$C$15)*($I136-J136)/($I136-$H136))))))</f>
        <v/>
      </c>
      <c r="O136" s="56" t="str">
        <f aca="false">IF(K136="","",IF($H136=$I136,IF(OR(AND($G136="Higher is better",K136&gt;=$H136),AND($G136="Lower is better",K136&lt;=$H136)),A_Scoring_Model!$C$14,0),IF($G136="Higher is better",IF(K136&gt;=$H136,A_Scoring_Model!$C$14,IF(K136&lt;$I136,0,A_Scoring_Model!$C$15+(A_Scoring_Model!$C$14-A_Scoring_Model!$C$15)*(K136-$I136)/($H136-$I136))),IF(K136&lt;=$H136,A_Scoring_Model!$C$14,IF(K136&gt;$I136,0,A_Scoring_Model!$C$15+(A_Scoring_Model!$C$14-A_Scoring_Model!$C$15)*($I136-K136)/($I136-$H136))))))</f>
        <v/>
      </c>
      <c r="P136" s="56" t="str">
        <f aca="false">IF(L136="","",IF($H136=$I136,IF(OR(AND($G136="Higher is better",L136&gt;=$H136),AND($G136="Lower is better",L136&lt;=$H136)),A_Scoring_Model!$C$14,0),IF($G136="Higher is better",IF(L136&gt;=$H136,A_Scoring_Model!$C$14,IF(L136&lt;$I136,0,A_Scoring_Model!$C$15+(A_Scoring_Model!$C$14-A_Scoring_Model!$C$15)*(L136-$I136)/($H136-$I136))),IF(L136&lt;=$H136,A_Scoring_Model!$C$14,IF(L136&gt;$I136,0,A_Scoring_Model!$C$15+(A_Scoring_Model!$C$14-A_Scoring_Model!$C$15)*($I136-L136)/($I136-$H136))))))</f>
        <v/>
      </c>
      <c r="Q136" s="56" t="str">
        <f aca="false">IF(M136="","",IF($H136=$I136,IF(OR(AND($G136="Higher is better",M136&gt;=$H136),AND($G136="Lower is better",M136&lt;=$H136)),A_Scoring_Model!$C$14,0),IF($G136="Higher is better",IF(M136&gt;=$H136,A_Scoring_Model!$C$14,IF(M136&lt;$I136,0,A_Scoring_Model!$C$15+(A_Scoring_Model!$C$14-A_Scoring_Model!$C$15)*(M136-$I136)/($H136-$I136))),IF(M136&lt;=$H136,A_Scoring_Model!$C$14,IF(M136&gt;$I136,0,A_Scoring_Model!$C$15+(A_Scoring_Model!$C$14-A_Scoring_Model!$C$15)*($I136-M136)/($I136-$H136))))))</f>
        <v/>
      </c>
    </row>
    <row r="137" customFormat="false" ht="23.85" hidden="false" customHeight="false" outlineLevel="0" collapsed="false">
      <c r="A137" s="51" t="str">
        <f aca="false">C_KPI_Benchmark!A137</f>
        <v>3.b-D2-06</v>
      </c>
      <c r="B137" s="52" t="str">
        <f aca="false">C_KPI_Benchmark!D137</f>
        <v>3.b</v>
      </c>
      <c r="C137" s="51" t="str">
        <f aca="false">C_KPI_Benchmark!E137</f>
        <v>BDD Writer &amp; Data Synth Agent</v>
      </c>
      <c r="D137" s="52" t="str">
        <f aca="false">C_KPI_Benchmark!F137</f>
        <v>D2</v>
      </c>
      <c r="E137" s="51" t="str">
        <f aca="false">C_KPI_Benchmark!J137</f>
        <v>Product lines supported with ≤10% efficacy drop (NVMe SSD, UFS, eMMC/uSD, PSSD)</v>
      </c>
      <c r="F137" s="52" t="str">
        <f aca="false">C_KPI_Benchmark!K137</f>
        <v>count</v>
      </c>
      <c r="G137" s="51" t="str">
        <f aca="false">C_KPI_Benchmark!L137</f>
        <v>Higher is better</v>
      </c>
      <c r="H137" s="62" t="n">
        <f aca="false">C_KPI_Benchmark!N137</f>
        <v>3</v>
      </c>
      <c r="I137" s="63" t="n">
        <f aca="false">IF(C_KPI_Benchmark!O137&lt;&gt;"",C_KPI_Benchmark!O137,IF(G137="Higher is better",H137*(1-A_Scoring_Model!$C$16),H137*(1+A_Scoring_Model!$C$16)))</f>
        <v>2</v>
      </c>
      <c r="J137" s="64"/>
      <c r="K137" s="64"/>
      <c r="L137" s="64"/>
      <c r="M137" s="64"/>
      <c r="N137" s="56" t="str">
        <f aca="false">IF(J137="","",IF($H137=$I137,IF(OR(AND($G137="Higher is better",J137&gt;=$H137),AND($G137="Lower is better",J137&lt;=$H137)),A_Scoring_Model!$C$14,0),IF($G137="Higher is better",IF(J137&gt;=$H137,A_Scoring_Model!$C$14,IF(J137&lt;$I137,0,A_Scoring_Model!$C$15+(A_Scoring_Model!$C$14-A_Scoring_Model!$C$15)*(J137-$I137)/($H137-$I137))),IF(J137&lt;=$H137,A_Scoring_Model!$C$14,IF(J137&gt;$I137,0,A_Scoring_Model!$C$15+(A_Scoring_Model!$C$14-A_Scoring_Model!$C$15)*($I137-J137)/($I137-$H137))))))</f>
        <v/>
      </c>
      <c r="O137" s="56" t="str">
        <f aca="false">IF(K137="","",IF($H137=$I137,IF(OR(AND($G137="Higher is better",K137&gt;=$H137),AND($G137="Lower is better",K137&lt;=$H137)),A_Scoring_Model!$C$14,0),IF($G137="Higher is better",IF(K137&gt;=$H137,A_Scoring_Model!$C$14,IF(K137&lt;$I137,0,A_Scoring_Model!$C$15+(A_Scoring_Model!$C$14-A_Scoring_Model!$C$15)*(K137-$I137)/($H137-$I137))),IF(K137&lt;=$H137,A_Scoring_Model!$C$14,IF(K137&gt;$I137,0,A_Scoring_Model!$C$15+(A_Scoring_Model!$C$14-A_Scoring_Model!$C$15)*($I137-K137)/($I137-$H137))))))</f>
        <v/>
      </c>
      <c r="P137" s="56" t="str">
        <f aca="false">IF(L137="","",IF($H137=$I137,IF(OR(AND($G137="Higher is better",L137&gt;=$H137),AND($G137="Lower is better",L137&lt;=$H137)),A_Scoring_Model!$C$14,0),IF($G137="Higher is better",IF(L137&gt;=$H137,A_Scoring_Model!$C$14,IF(L137&lt;$I137,0,A_Scoring_Model!$C$15+(A_Scoring_Model!$C$14-A_Scoring_Model!$C$15)*(L137-$I137)/($H137-$I137))),IF(L137&lt;=$H137,A_Scoring_Model!$C$14,IF(L137&gt;$I137,0,A_Scoring_Model!$C$15+(A_Scoring_Model!$C$14-A_Scoring_Model!$C$15)*($I137-L137)/($I137-$H137))))))</f>
        <v/>
      </c>
      <c r="Q137" s="56" t="str">
        <f aca="false">IF(M137="","",IF($H137=$I137,IF(OR(AND($G137="Higher is better",M137&gt;=$H137),AND($G137="Lower is better",M137&lt;=$H137)),A_Scoring_Model!$C$14,0),IF($G137="Higher is better",IF(M137&gt;=$H137,A_Scoring_Model!$C$14,IF(M137&lt;$I137,0,A_Scoring_Model!$C$15+(A_Scoring_Model!$C$14-A_Scoring_Model!$C$15)*(M137-$I137)/($H137-$I137))),IF(M137&lt;=$H137,A_Scoring_Model!$C$14,IF(M137&gt;$I137,0,A_Scoring_Model!$C$15+(A_Scoring_Model!$C$14-A_Scoring_Model!$C$15)*($I137-M137)/($I137-$H137))))))</f>
        <v/>
      </c>
    </row>
    <row r="138" customFormat="false" ht="15" hidden="false" customHeight="false" outlineLevel="0" collapsed="false">
      <c r="A138" s="51" t="str">
        <f aca="false">C_KPI_Benchmark!A138</f>
        <v>3.b-D2-07</v>
      </c>
      <c r="B138" s="52" t="str">
        <f aca="false">C_KPI_Benchmark!D138</f>
        <v>3.b</v>
      </c>
      <c r="C138" s="51" t="str">
        <f aca="false">C_KPI_Benchmark!E138</f>
        <v>BDD Writer &amp; Data Synth Agent</v>
      </c>
      <c r="D138" s="52" t="str">
        <f aca="false">C_KPI_Benchmark!F138</f>
        <v>D2</v>
      </c>
      <c r="E138" s="51" t="str">
        <f aca="false">C_KPI_Benchmark!J138</f>
        <v>Uses Zion shared services instead of re-implementing them</v>
      </c>
      <c r="F138" s="52" t="str">
        <f aca="false">C_KPI_Benchmark!K138</f>
        <v>Yes/No</v>
      </c>
      <c r="G138" s="51" t="str">
        <f aca="false">C_KPI_Benchmark!L138</f>
        <v>Higher is better</v>
      </c>
      <c r="H138" s="60" t="n">
        <f aca="false">C_KPI_Benchmark!N138</f>
        <v>1</v>
      </c>
      <c r="I138" s="56" t="n">
        <f aca="false">IF(C_KPI_Benchmark!O138&lt;&gt;"",C_KPI_Benchmark!O138,IF(G138="Higher is better",H138*(1-A_Scoring_Model!$C$16),H138*(1+A_Scoring_Model!$C$16)))</f>
        <v>0.8</v>
      </c>
      <c r="J138" s="61"/>
      <c r="K138" s="61"/>
      <c r="L138" s="61"/>
      <c r="M138" s="61"/>
      <c r="N138" s="56" t="str">
        <f aca="false">IF(J138="","",IF($H138=$I138,IF(OR(AND($G138="Higher is better",J138&gt;=$H138),AND($G138="Lower is better",J138&lt;=$H138)),A_Scoring_Model!$C$14,0),IF($G138="Higher is better",IF(J138&gt;=$H138,A_Scoring_Model!$C$14,IF(J138&lt;$I138,0,A_Scoring_Model!$C$15+(A_Scoring_Model!$C$14-A_Scoring_Model!$C$15)*(J138-$I138)/($H138-$I138))),IF(J138&lt;=$H138,A_Scoring_Model!$C$14,IF(J138&gt;$I138,0,A_Scoring_Model!$C$15+(A_Scoring_Model!$C$14-A_Scoring_Model!$C$15)*($I138-J138)/($I138-$H138))))))</f>
        <v/>
      </c>
      <c r="O138" s="56" t="str">
        <f aca="false">IF(K138="","",IF($H138=$I138,IF(OR(AND($G138="Higher is better",K138&gt;=$H138),AND($G138="Lower is better",K138&lt;=$H138)),A_Scoring_Model!$C$14,0),IF($G138="Higher is better",IF(K138&gt;=$H138,A_Scoring_Model!$C$14,IF(K138&lt;$I138,0,A_Scoring_Model!$C$15+(A_Scoring_Model!$C$14-A_Scoring_Model!$C$15)*(K138-$I138)/($H138-$I138))),IF(K138&lt;=$H138,A_Scoring_Model!$C$14,IF(K138&gt;$I138,0,A_Scoring_Model!$C$15+(A_Scoring_Model!$C$14-A_Scoring_Model!$C$15)*($I138-K138)/($I138-$H138))))))</f>
        <v/>
      </c>
      <c r="P138" s="56" t="str">
        <f aca="false">IF(L138="","",IF($H138=$I138,IF(OR(AND($G138="Higher is better",L138&gt;=$H138),AND($G138="Lower is better",L138&lt;=$H138)),A_Scoring_Model!$C$14,0),IF($G138="Higher is better",IF(L138&gt;=$H138,A_Scoring_Model!$C$14,IF(L138&lt;$I138,0,A_Scoring_Model!$C$15+(A_Scoring_Model!$C$14-A_Scoring_Model!$C$15)*(L138-$I138)/($H138-$I138))),IF(L138&lt;=$H138,A_Scoring_Model!$C$14,IF(L138&gt;$I138,0,A_Scoring_Model!$C$15+(A_Scoring_Model!$C$14-A_Scoring_Model!$C$15)*($I138-L138)/($I138-$H138))))))</f>
        <v/>
      </c>
      <c r="Q138" s="56" t="str">
        <f aca="false">IF(M138="","",IF($H138=$I138,IF(OR(AND($G138="Higher is better",M138&gt;=$H138),AND($G138="Lower is better",M138&lt;=$H138)),A_Scoring_Model!$C$14,0),IF($G138="Higher is better",IF(M138&gt;=$H138,A_Scoring_Model!$C$14,IF(M138&lt;$I138,0,A_Scoring_Model!$C$15+(A_Scoring_Model!$C$14-A_Scoring_Model!$C$15)*(M138-$I138)/($H138-$I138))),IF(M138&lt;=$H138,A_Scoring_Model!$C$14,IF(M138&gt;$I138,0,A_Scoring_Model!$C$15+(A_Scoring_Model!$C$14-A_Scoring_Model!$C$15)*($I138-M138)/($I138-$H138))))))</f>
        <v/>
      </c>
    </row>
    <row r="139" customFormat="false" ht="15" hidden="false" customHeight="false" outlineLevel="0" collapsed="false">
      <c r="A139" s="51" t="str">
        <f aca="false">C_KPI_Benchmark!A139</f>
        <v>3.b-D3-08</v>
      </c>
      <c r="B139" s="52" t="str">
        <f aca="false">C_KPI_Benchmark!D139</f>
        <v>3.b</v>
      </c>
      <c r="C139" s="51" t="str">
        <f aca="false">C_KPI_Benchmark!E139</f>
        <v>BDD Writer &amp; Data Synth Agent</v>
      </c>
      <c r="D139" s="52" t="str">
        <f aca="false">C_KPI_Benchmark!F139</f>
        <v>D3</v>
      </c>
      <c r="E139" s="51" t="str">
        <f aca="false">C_KPI_Benchmark!J139</f>
        <v>Time to generate 1M records</v>
      </c>
      <c r="F139" s="52" t="str">
        <f aca="false">C_KPI_Benchmark!K139</f>
        <v>min</v>
      </c>
      <c r="G139" s="51" t="str">
        <f aca="false">C_KPI_Benchmark!L139</f>
        <v>Lower is better</v>
      </c>
      <c r="H139" s="62" t="n">
        <f aca="false">C_KPI_Benchmark!N139</f>
        <v>10</v>
      </c>
      <c r="I139" s="63" t="n">
        <f aca="false">IF(C_KPI_Benchmark!O139&lt;&gt;"",C_KPI_Benchmark!O139,IF(G139="Higher is better",H139*(1-A_Scoring_Model!$C$16),H139*(1+A_Scoring_Model!$C$16)))</f>
        <v>12</v>
      </c>
      <c r="J139" s="64"/>
      <c r="K139" s="64"/>
      <c r="L139" s="64"/>
      <c r="M139" s="64"/>
      <c r="N139" s="56" t="str">
        <f aca="false">IF(J139="","",IF($H139=$I139,IF(OR(AND($G139="Higher is better",J139&gt;=$H139),AND($G139="Lower is better",J139&lt;=$H139)),A_Scoring_Model!$C$14,0),IF($G139="Higher is better",IF(J139&gt;=$H139,A_Scoring_Model!$C$14,IF(J139&lt;$I139,0,A_Scoring_Model!$C$15+(A_Scoring_Model!$C$14-A_Scoring_Model!$C$15)*(J139-$I139)/($H139-$I139))),IF(J139&lt;=$H139,A_Scoring_Model!$C$14,IF(J139&gt;$I139,0,A_Scoring_Model!$C$15+(A_Scoring_Model!$C$14-A_Scoring_Model!$C$15)*($I139-J139)/($I139-$H139))))))</f>
        <v/>
      </c>
      <c r="O139" s="56" t="str">
        <f aca="false">IF(K139="","",IF($H139=$I139,IF(OR(AND($G139="Higher is better",K139&gt;=$H139),AND($G139="Lower is better",K139&lt;=$H139)),A_Scoring_Model!$C$14,0),IF($G139="Higher is better",IF(K139&gt;=$H139,A_Scoring_Model!$C$14,IF(K139&lt;$I139,0,A_Scoring_Model!$C$15+(A_Scoring_Model!$C$14-A_Scoring_Model!$C$15)*(K139-$I139)/($H139-$I139))),IF(K139&lt;=$H139,A_Scoring_Model!$C$14,IF(K139&gt;$I139,0,A_Scoring_Model!$C$15+(A_Scoring_Model!$C$14-A_Scoring_Model!$C$15)*($I139-K139)/($I139-$H139))))))</f>
        <v/>
      </c>
      <c r="P139" s="56" t="str">
        <f aca="false">IF(L139="","",IF($H139=$I139,IF(OR(AND($G139="Higher is better",L139&gt;=$H139),AND($G139="Lower is better",L139&lt;=$H139)),A_Scoring_Model!$C$14,0),IF($G139="Higher is better",IF(L139&gt;=$H139,A_Scoring_Model!$C$14,IF(L139&lt;$I139,0,A_Scoring_Model!$C$15+(A_Scoring_Model!$C$14-A_Scoring_Model!$C$15)*(L139-$I139)/($H139-$I139))),IF(L139&lt;=$H139,A_Scoring_Model!$C$14,IF(L139&gt;$I139,0,A_Scoring_Model!$C$15+(A_Scoring_Model!$C$14-A_Scoring_Model!$C$15)*($I139-L139)/($I139-$H139))))))</f>
        <v/>
      </c>
      <c r="Q139" s="56" t="str">
        <f aca="false">IF(M139="","",IF($H139=$I139,IF(OR(AND($G139="Higher is better",M139&gt;=$H139),AND($G139="Lower is better",M139&lt;=$H139)),A_Scoring_Model!$C$14,0),IF($G139="Higher is better",IF(M139&gt;=$H139,A_Scoring_Model!$C$14,IF(M139&lt;$I139,0,A_Scoring_Model!$C$15+(A_Scoring_Model!$C$14-A_Scoring_Model!$C$15)*(M139-$I139)/($H139-$I139))),IF(M139&lt;=$H139,A_Scoring_Model!$C$14,IF(M139&gt;$I139,0,A_Scoring_Model!$C$15+(A_Scoring_Model!$C$14-A_Scoring_Model!$C$15)*($I139-M139)/($I139-$H139))))))</f>
        <v/>
      </c>
    </row>
    <row r="140" customFormat="false" ht="15" hidden="false" customHeight="false" outlineLevel="0" collapsed="false">
      <c r="A140" s="51" t="str">
        <f aca="false">C_KPI_Benchmark!A140</f>
        <v>3.b-D3-09</v>
      </c>
      <c r="B140" s="52" t="str">
        <f aca="false">C_KPI_Benchmark!D140</f>
        <v>3.b</v>
      </c>
      <c r="C140" s="51" t="str">
        <f aca="false">C_KPI_Benchmark!E140</f>
        <v>BDD Writer &amp; Data Synth Agent</v>
      </c>
      <c r="D140" s="52" t="str">
        <f aca="false">C_KPI_Benchmark!F140</f>
        <v>D3</v>
      </c>
      <c r="E140" s="51" t="str">
        <f aca="false">C_KPI_Benchmark!J140</f>
        <v>Latency degradation at 10× load</v>
      </c>
      <c r="F140" s="52" t="str">
        <f aca="false">C_KPI_Benchmark!K140</f>
        <v>%</v>
      </c>
      <c r="G140" s="51" t="str">
        <f aca="false">C_KPI_Benchmark!L140</f>
        <v>Lower is better</v>
      </c>
      <c r="H140" s="53" t="n">
        <f aca="false">C_KPI_Benchmark!N140</f>
        <v>0.2</v>
      </c>
      <c r="I140" s="54" t="n">
        <f aca="false">IF(C_KPI_Benchmark!O140&lt;&gt;"",C_KPI_Benchmark!O140,IF(G140="Higher is better",H140*(1-A_Scoring_Model!$C$16),H140*(1+A_Scoring_Model!$C$16)))</f>
        <v>0.4</v>
      </c>
      <c r="J140" s="55"/>
      <c r="K140" s="55"/>
      <c r="L140" s="55"/>
      <c r="M140" s="55"/>
      <c r="N140" s="56" t="str">
        <f aca="false">IF(J140="","",IF($H140=$I140,IF(OR(AND($G140="Higher is better",J140&gt;=$H140),AND($G140="Lower is better",J140&lt;=$H140)),A_Scoring_Model!$C$14,0),IF($G140="Higher is better",IF(J140&gt;=$H140,A_Scoring_Model!$C$14,IF(J140&lt;$I140,0,A_Scoring_Model!$C$15+(A_Scoring_Model!$C$14-A_Scoring_Model!$C$15)*(J140-$I140)/($H140-$I140))),IF(J140&lt;=$H140,A_Scoring_Model!$C$14,IF(J140&gt;$I140,0,A_Scoring_Model!$C$15+(A_Scoring_Model!$C$14-A_Scoring_Model!$C$15)*($I140-J140)/($I140-$H140))))))</f>
        <v/>
      </c>
      <c r="O140" s="56" t="str">
        <f aca="false">IF(K140="","",IF($H140=$I140,IF(OR(AND($G140="Higher is better",K140&gt;=$H140),AND($G140="Lower is better",K140&lt;=$H140)),A_Scoring_Model!$C$14,0),IF($G140="Higher is better",IF(K140&gt;=$H140,A_Scoring_Model!$C$14,IF(K140&lt;$I140,0,A_Scoring_Model!$C$15+(A_Scoring_Model!$C$14-A_Scoring_Model!$C$15)*(K140-$I140)/($H140-$I140))),IF(K140&lt;=$H140,A_Scoring_Model!$C$14,IF(K140&gt;$I140,0,A_Scoring_Model!$C$15+(A_Scoring_Model!$C$14-A_Scoring_Model!$C$15)*($I140-K140)/($I140-$H140))))))</f>
        <v/>
      </c>
      <c r="P140" s="56" t="str">
        <f aca="false">IF(L140="","",IF($H140=$I140,IF(OR(AND($G140="Higher is better",L140&gt;=$H140),AND($G140="Lower is better",L140&lt;=$H140)),A_Scoring_Model!$C$14,0),IF($G140="Higher is better",IF(L140&gt;=$H140,A_Scoring_Model!$C$14,IF(L140&lt;$I140,0,A_Scoring_Model!$C$15+(A_Scoring_Model!$C$14-A_Scoring_Model!$C$15)*(L140-$I140)/($H140-$I140))),IF(L140&lt;=$H140,A_Scoring_Model!$C$14,IF(L140&gt;$I140,0,A_Scoring_Model!$C$15+(A_Scoring_Model!$C$14-A_Scoring_Model!$C$15)*($I140-L140)/($I140-$H140))))))</f>
        <v/>
      </c>
      <c r="Q140" s="56" t="str">
        <f aca="false">IF(M140="","",IF($H140=$I140,IF(OR(AND($G140="Higher is better",M140&gt;=$H140),AND($G140="Lower is better",M140&lt;=$H140)),A_Scoring_Model!$C$14,0),IF($G140="Higher is better",IF(M140&gt;=$H140,A_Scoring_Model!$C$14,IF(M140&lt;$I140,0,A_Scoring_Model!$C$15+(A_Scoring_Model!$C$14-A_Scoring_Model!$C$15)*(M140-$I140)/($H140-$I140))),IF(M140&lt;=$H140,A_Scoring_Model!$C$14,IF(M140&gt;$I140,0,A_Scoring_Model!$C$15+(A_Scoring_Model!$C$14-A_Scoring_Model!$C$15)*($I140-M140)/($I140-$H140))))))</f>
        <v/>
      </c>
    </row>
    <row r="141" customFormat="false" ht="15" hidden="false" customHeight="false" outlineLevel="0" collapsed="false">
      <c r="A141" s="51" t="str">
        <f aca="false">C_KPI_Benchmark!A141</f>
        <v>3.b-D4-10</v>
      </c>
      <c r="B141" s="52" t="str">
        <f aca="false">C_KPI_Benchmark!D141</f>
        <v>3.b</v>
      </c>
      <c r="C141" s="51" t="str">
        <f aca="false">C_KPI_Benchmark!E141</f>
        <v>BDD Writer &amp; Data Synth Agent</v>
      </c>
      <c r="D141" s="52" t="str">
        <f aca="false">C_KPI_Benchmark!F141</f>
        <v>D4</v>
      </c>
      <c r="E141" s="51" t="str">
        <f aca="false">C_KPI_Benchmark!J141</f>
        <v>Real customer / PII records in output</v>
      </c>
      <c r="F141" s="52" t="str">
        <f aca="false">C_KPI_Benchmark!K141</f>
        <v>count</v>
      </c>
      <c r="G141" s="51" t="str">
        <f aca="false">C_KPI_Benchmark!L141</f>
        <v>Lower is better</v>
      </c>
      <c r="H141" s="62" t="n">
        <f aca="false">C_KPI_Benchmark!N141</f>
        <v>0</v>
      </c>
      <c r="I141" s="63" t="n">
        <f aca="false">IF(C_KPI_Benchmark!O141&lt;&gt;"",C_KPI_Benchmark!O141,IF(G141="Higher is better",H141*(1-A_Scoring_Model!$C$16),H141*(1+A_Scoring_Model!$C$16)))</f>
        <v>0</v>
      </c>
      <c r="J141" s="64"/>
      <c r="K141" s="64"/>
      <c r="L141" s="64"/>
      <c r="M141" s="64"/>
      <c r="N141" s="56" t="str">
        <f aca="false">IF(J141="","",IF($H141=$I141,IF(OR(AND($G141="Higher is better",J141&gt;=$H141),AND($G141="Lower is better",J141&lt;=$H141)),A_Scoring_Model!$C$14,0),IF($G141="Higher is better",IF(J141&gt;=$H141,A_Scoring_Model!$C$14,IF(J141&lt;$I141,0,A_Scoring_Model!$C$15+(A_Scoring_Model!$C$14-A_Scoring_Model!$C$15)*(J141-$I141)/($H141-$I141))),IF(J141&lt;=$H141,A_Scoring_Model!$C$14,IF(J141&gt;$I141,0,A_Scoring_Model!$C$15+(A_Scoring_Model!$C$14-A_Scoring_Model!$C$15)*($I141-J141)/($I141-$H141))))))</f>
        <v/>
      </c>
      <c r="O141" s="56" t="str">
        <f aca="false">IF(K141="","",IF($H141=$I141,IF(OR(AND($G141="Higher is better",K141&gt;=$H141),AND($G141="Lower is better",K141&lt;=$H141)),A_Scoring_Model!$C$14,0),IF($G141="Higher is better",IF(K141&gt;=$H141,A_Scoring_Model!$C$14,IF(K141&lt;$I141,0,A_Scoring_Model!$C$15+(A_Scoring_Model!$C$14-A_Scoring_Model!$C$15)*(K141-$I141)/($H141-$I141))),IF(K141&lt;=$H141,A_Scoring_Model!$C$14,IF(K141&gt;$I141,0,A_Scoring_Model!$C$15+(A_Scoring_Model!$C$14-A_Scoring_Model!$C$15)*($I141-K141)/($I141-$H141))))))</f>
        <v/>
      </c>
      <c r="P141" s="56" t="str">
        <f aca="false">IF(L141="","",IF($H141=$I141,IF(OR(AND($G141="Higher is better",L141&gt;=$H141),AND($G141="Lower is better",L141&lt;=$H141)),A_Scoring_Model!$C$14,0),IF($G141="Higher is better",IF(L141&gt;=$H141,A_Scoring_Model!$C$14,IF(L141&lt;$I141,0,A_Scoring_Model!$C$15+(A_Scoring_Model!$C$14-A_Scoring_Model!$C$15)*(L141-$I141)/($H141-$I141))),IF(L141&lt;=$H141,A_Scoring_Model!$C$14,IF(L141&gt;$I141,0,A_Scoring_Model!$C$15+(A_Scoring_Model!$C$14-A_Scoring_Model!$C$15)*($I141-L141)/($I141-$H141))))))</f>
        <v/>
      </c>
      <c r="Q141" s="56" t="str">
        <f aca="false">IF(M141="","",IF($H141=$I141,IF(OR(AND($G141="Higher is better",M141&gt;=$H141),AND($G141="Lower is better",M141&lt;=$H141)),A_Scoring_Model!$C$14,0),IF($G141="Higher is better",IF(M141&gt;=$H141,A_Scoring_Model!$C$14,IF(M141&lt;$I141,0,A_Scoring_Model!$C$15+(A_Scoring_Model!$C$14-A_Scoring_Model!$C$15)*(M141-$I141)/($H141-$I141))),IF(M141&lt;=$H141,A_Scoring_Model!$C$14,IF(M141&gt;$I141,0,A_Scoring_Model!$C$15+(A_Scoring_Model!$C$14-A_Scoring_Model!$C$15)*($I141-M141)/($I141-$H141))))))</f>
        <v/>
      </c>
    </row>
    <row r="142" customFormat="false" ht="15" hidden="false" customHeight="false" outlineLevel="0" collapsed="false">
      <c r="A142" s="51" t="str">
        <f aca="false">C_KPI_Benchmark!A142</f>
        <v>3.b-D4-11</v>
      </c>
      <c r="B142" s="52" t="str">
        <f aca="false">C_KPI_Benchmark!D142</f>
        <v>3.b</v>
      </c>
      <c r="C142" s="51" t="str">
        <f aca="false">C_KPI_Benchmark!E142</f>
        <v>BDD Writer &amp; Data Synth Agent</v>
      </c>
      <c r="D142" s="52" t="str">
        <f aca="false">C_KPI_Benchmark!F142</f>
        <v>D4</v>
      </c>
      <c r="E142" s="51" t="str">
        <f aca="false">C_KPI_Benchmark!J142</f>
        <v>Service availability</v>
      </c>
      <c r="F142" s="52" t="str">
        <f aca="false">C_KPI_Benchmark!K142</f>
        <v>%</v>
      </c>
      <c r="G142" s="51" t="str">
        <f aca="false">C_KPI_Benchmark!L142</f>
        <v>Higher is better</v>
      </c>
      <c r="H142" s="53" t="n">
        <f aca="false">C_KPI_Benchmark!N142</f>
        <v>0.995</v>
      </c>
      <c r="I142" s="54" t="n">
        <f aca="false">IF(C_KPI_Benchmark!O142&lt;&gt;"",C_KPI_Benchmark!O142,IF(G142="Higher is better",H142*(1-A_Scoring_Model!$C$16),H142*(1+A_Scoring_Model!$C$16)))</f>
        <v>0.99</v>
      </c>
      <c r="J142" s="55"/>
      <c r="K142" s="55"/>
      <c r="L142" s="55"/>
      <c r="M142" s="55"/>
      <c r="N142" s="56" t="str">
        <f aca="false">IF(J142="","",IF($H142=$I142,IF(OR(AND($G142="Higher is better",J142&gt;=$H142),AND($G142="Lower is better",J142&lt;=$H142)),A_Scoring_Model!$C$14,0),IF($G142="Higher is better",IF(J142&gt;=$H142,A_Scoring_Model!$C$14,IF(J142&lt;$I142,0,A_Scoring_Model!$C$15+(A_Scoring_Model!$C$14-A_Scoring_Model!$C$15)*(J142-$I142)/($H142-$I142))),IF(J142&lt;=$H142,A_Scoring_Model!$C$14,IF(J142&gt;$I142,0,A_Scoring_Model!$C$15+(A_Scoring_Model!$C$14-A_Scoring_Model!$C$15)*($I142-J142)/($I142-$H142))))))</f>
        <v/>
      </c>
      <c r="O142" s="56" t="str">
        <f aca="false">IF(K142="","",IF($H142=$I142,IF(OR(AND($G142="Higher is better",K142&gt;=$H142),AND($G142="Lower is better",K142&lt;=$H142)),A_Scoring_Model!$C$14,0),IF($G142="Higher is better",IF(K142&gt;=$H142,A_Scoring_Model!$C$14,IF(K142&lt;$I142,0,A_Scoring_Model!$C$15+(A_Scoring_Model!$C$14-A_Scoring_Model!$C$15)*(K142-$I142)/($H142-$I142))),IF(K142&lt;=$H142,A_Scoring_Model!$C$14,IF(K142&gt;$I142,0,A_Scoring_Model!$C$15+(A_Scoring_Model!$C$14-A_Scoring_Model!$C$15)*($I142-K142)/($I142-$H142))))))</f>
        <v/>
      </c>
      <c r="P142" s="56" t="str">
        <f aca="false">IF(L142="","",IF($H142=$I142,IF(OR(AND($G142="Higher is better",L142&gt;=$H142),AND($G142="Lower is better",L142&lt;=$H142)),A_Scoring_Model!$C$14,0),IF($G142="Higher is better",IF(L142&gt;=$H142,A_Scoring_Model!$C$14,IF(L142&lt;$I142,0,A_Scoring_Model!$C$15+(A_Scoring_Model!$C$14-A_Scoring_Model!$C$15)*(L142-$I142)/($H142-$I142))),IF(L142&lt;=$H142,A_Scoring_Model!$C$14,IF(L142&gt;$I142,0,A_Scoring_Model!$C$15+(A_Scoring_Model!$C$14-A_Scoring_Model!$C$15)*($I142-L142)/($I142-$H142))))))</f>
        <v/>
      </c>
      <c r="Q142" s="56" t="str">
        <f aca="false">IF(M142="","",IF($H142=$I142,IF(OR(AND($G142="Higher is better",M142&gt;=$H142),AND($G142="Lower is better",M142&lt;=$H142)),A_Scoring_Model!$C$14,0),IF($G142="Higher is better",IF(M142&gt;=$H142,A_Scoring_Model!$C$14,IF(M142&lt;$I142,0,A_Scoring_Model!$C$15+(A_Scoring_Model!$C$14-A_Scoring_Model!$C$15)*(M142-$I142)/($H142-$I142))),IF(M142&lt;=$H142,A_Scoring_Model!$C$14,IF(M142&gt;$I142,0,A_Scoring_Model!$C$15+(A_Scoring_Model!$C$14-A_Scoring_Model!$C$15)*($I142-M142)/($I142-$H142))))))</f>
        <v/>
      </c>
    </row>
    <row r="143" customFormat="false" ht="15" hidden="false" customHeight="false" outlineLevel="0" collapsed="false">
      <c r="A143" s="51" t="str">
        <f aca="false">C_KPI_Benchmark!A143</f>
        <v>3.b-D5-12</v>
      </c>
      <c r="B143" s="52" t="str">
        <f aca="false">C_KPI_Benchmark!D143</f>
        <v>3.b</v>
      </c>
      <c r="C143" s="51" t="str">
        <f aca="false">C_KPI_Benchmark!E143</f>
        <v>BDD Writer &amp; Data Synth Agent</v>
      </c>
      <c r="D143" s="52" t="str">
        <f aca="false">C_KPI_Benchmark!F143</f>
        <v>D5</v>
      </c>
      <c r="E143" s="51" t="str">
        <f aca="false">C_KPI_Benchmark!J143</f>
        <v>Test data prep time reduction</v>
      </c>
      <c r="F143" s="52" t="str">
        <f aca="false">C_KPI_Benchmark!K143</f>
        <v>%</v>
      </c>
      <c r="G143" s="51" t="str">
        <f aca="false">C_KPI_Benchmark!L143</f>
        <v>Higher is better</v>
      </c>
      <c r="H143" s="53" t="n">
        <f aca="false">C_KPI_Benchmark!N143</f>
        <v>0.7</v>
      </c>
      <c r="I143" s="54" t="n">
        <f aca="false">IF(C_KPI_Benchmark!O143&lt;&gt;"",C_KPI_Benchmark!O143,IF(G143="Higher is better",H143*(1-A_Scoring_Model!$C$16),H143*(1+A_Scoring_Model!$C$16)))</f>
        <v>0.56</v>
      </c>
      <c r="J143" s="55"/>
      <c r="K143" s="55"/>
      <c r="L143" s="55"/>
      <c r="M143" s="55"/>
      <c r="N143" s="56" t="str">
        <f aca="false">IF(J143="","",IF($H143=$I143,IF(OR(AND($G143="Higher is better",J143&gt;=$H143),AND($G143="Lower is better",J143&lt;=$H143)),A_Scoring_Model!$C$14,0),IF($G143="Higher is better",IF(J143&gt;=$H143,A_Scoring_Model!$C$14,IF(J143&lt;$I143,0,A_Scoring_Model!$C$15+(A_Scoring_Model!$C$14-A_Scoring_Model!$C$15)*(J143-$I143)/($H143-$I143))),IF(J143&lt;=$H143,A_Scoring_Model!$C$14,IF(J143&gt;$I143,0,A_Scoring_Model!$C$15+(A_Scoring_Model!$C$14-A_Scoring_Model!$C$15)*($I143-J143)/($I143-$H143))))))</f>
        <v/>
      </c>
      <c r="O143" s="56" t="str">
        <f aca="false">IF(K143="","",IF($H143=$I143,IF(OR(AND($G143="Higher is better",K143&gt;=$H143),AND($G143="Lower is better",K143&lt;=$H143)),A_Scoring_Model!$C$14,0),IF($G143="Higher is better",IF(K143&gt;=$H143,A_Scoring_Model!$C$14,IF(K143&lt;$I143,0,A_Scoring_Model!$C$15+(A_Scoring_Model!$C$14-A_Scoring_Model!$C$15)*(K143-$I143)/($H143-$I143))),IF(K143&lt;=$H143,A_Scoring_Model!$C$14,IF(K143&gt;$I143,0,A_Scoring_Model!$C$15+(A_Scoring_Model!$C$14-A_Scoring_Model!$C$15)*($I143-K143)/($I143-$H143))))))</f>
        <v/>
      </c>
      <c r="P143" s="56" t="str">
        <f aca="false">IF(L143="","",IF($H143=$I143,IF(OR(AND($G143="Higher is better",L143&gt;=$H143),AND($G143="Lower is better",L143&lt;=$H143)),A_Scoring_Model!$C$14,0),IF($G143="Higher is better",IF(L143&gt;=$H143,A_Scoring_Model!$C$14,IF(L143&lt;$I143,0,A_Scoring_Model!$C$15+(A_Scoring_Model!$C$14-A_Scoring_Model!$C$15)*(L143-$I143)/($H143-$I143))),IF(L143&lt;=$H143,A_Scoring_Model!$C$14,IF(L143&gt;$I143,0,A_Scoring_Model!$C$15+(A_Scoring_Model!$C$14-A_Scoring_Model!$C$15)*($I143-L143)/($I143-$H143))))))</f>
        <v/>
      </c>
      <c r="Q143" s="56" t="str">
        <f aca="false">IF(M143="","",IF($H143=$I143,IF(OR(AND($G143="Higher is better",M143&gt;=$H143),AND($G143="Lower is better",M143&lt;=$H143)),A_Scoring_Model!$C$14,0),IF($G143="Higher is better",IF(M143&gt;=$H143,A_Scoring_Model!$C$14,IF(M143&lt;$I143,0,A_Scoring_Model!$C$15+(A_Scoring_Model!$C$14-A_Scoring_Model!$C$15)*(M143-$I143)/($H143-$I143))),IF(M143&lt;=$H143,A_Scoring_Model!$C$14,IF(M143&gt;$I143,0,A_Scoring_Model!$C$15+(A_Scoring_Model!$C$14-A_Scoring_Model!$C$15)*($I143-M143)/($I143-$H143))))))</f>
        <v/>
      </c>
    </row>
    <row r="144" customFormat="false" ht="15" hidden="false" customHeight="false" outlineLevel="0" collapsed="false">
      <c r="A144" s="51" t="str">
        <f aca="false">C_KPI_Benchmark!A144</f>
        <v>3.b-D6-13</v>
      </c>
      <c r="B144" s="52" t="str">
        <f aca="false">C_KPI_Benchmark!D144</f>
        <v>3.b</v>
      </c>
      <c r="C144" s="51" t="str">
        <f aca="false">C_KPI_Benchmark!E144</f>
        <v>BDD Writer &amp; Data Synth Agent</v>
      </c>
      <c r="D144" s="52" t="str">
        <f aca="false">C_KPI_Benchmark!F144</f>
        <v>D6</v>
      </c>
      <c r="E144" s="51" t="str">
        <f aca="false">C_KPI_Benchmark!J144</f>
        <v>Solution code test coverage</v>
      </c>
      <c r="F144" s="52" t="str">
        <f aca="false">C_KPI_Benchmark!K144</f>
        <v>%</v>
      </c>
      <c r="G144" s="51" t="str">
        <f aca="false">C_KPI_Benchmark!L144</f>
        <v>Higher is better</v>
      </c>
      <c r="H144" s="53" t="n">
        <f aca="false">C_KPI_Benchmark!N144</f>
        <v>0.8</v>
      </c>
      <c r="I144" s="54" t="n">
        <f aca="false">IF(C_KPI_Benchmark!O144&lt;&gt;"",C_KPI_Benchmark!O144,IF(G144="Higher is better",H144*(1-A_Scoring_Model!$C$16),H144*(1+A_Scoring_Model!$C$16)))</f>
        <v>0.6</v>
      </c>
      <c r="J144" s="55"/>
      <c r="K144" s="55"/>
      <c r="L144" s="55"/>
      <c r="M144" s="55"/>
      <c r="N144" s="56" t="str">
        <f aca="false">IF(J144="","",IF($H144=$I144,IF(OR(AND($G144="Higher is better",J144&gt;=$H144),AND($G144="Lower is better",J144&lt;=$H144)),A_Scoring_Model!$C$14,0),IF($G144="Higher is better",IF(J144&gt;=$H144,A_Scoring_Model!$C$14,IF(J144&lt;$I144,0,A_Scoring_Model!$C$15+(A_Scoring_Model!$C$14-A_Scoring_Model!$C$15)*(J144-$I144)/($H144-$I144))),IF(J144&lt;=$H144,A_Scoring_Model!$C$14,IF(J144&gt;$I144,0,A_Scoring_Model!$C$15+(A_Scoring_Model!$C$14-A_Scoring_Model!$C$15)*($I144-J144)/($I144-$H144))))))</f>
        <v/>
      </c>
      <c r="O144" s="56" t="str">
        <f aca="false">IF(K144="","",IF($H144=$I144,IF(OR(AND($G144="Higher is better",K144&gt;=$H144),AND($G144="Lower is better",K144&lt;=$H144)),A_Scoring_Model!$C$14,0),IF($G144="Higher is better",IF(K144&gt;=$H144,A_Scoring_Model!$C$14,IF(K144&lt;$I144,0,A_Scoring_Model!$C$15+(A_Scoring_Model!$C$14-A_Scoring_Model!$C$15)*(K144-$I144)/($H144-$I144))),IF(K144&lt;=$H144,A_Scoring_Model!$C$14,IF(K144&gt;$I144,0,A_Scoring_Model!$C$15+(A_Scoring_Model!$C$14-A_Scoring_Model!$C$15)*($I144-K144)/($I144-$H144))))))</f>
        <v/>
      </c>
      <c r="P144" s="56" t="str">
        <f aca="false">IF(L144="","",IF($H144=$I144,IF(OR(AND($G144="Higher is better",L144&gt;=$H144),AND($G144="Lower is better",L144&lt;=$H144)),A_Scoring_Model!$C$14,0),IF($G144="Higher is better",IF(L144&gt;=$H144,A_Scoring_Model!$C$14,IF(L144&lt;$I144,0,A_Scoring_Model!$C$15+(A_Scoring_Model!$C$14-A_Scoring_Model!$C$15)*(L144-$I144)/($H144-$I144))),IF(L144&lt;=$H144,A_Scoring_Model!$C$14,IF(L144&gt;$I144,0,A_Scoring_Model!$C$15+(A_Scoring_Model!$C$14-A_Scoring_Model!$C$15)*($I144-L144)/($I144-$H144))))))</f>
        <v/>
      </c>
      <c r="Q144" s="56" t="str">
        <f aca="false">IF(M144="","",IF($H144=$I144,IF(OR(AND($G144="Higher is better",M144&gt;=$H144),AND($G144="Lower is better",M144&lt;=$H144)),A_Scoring_Model!$C$14,0),IF($G144="Higher is better",IF(M144&gt;=$H144,A_Scoring_Model!$C$14,IF(M144&lt;$I144,0,A_Scoring_Model!$C$15+(A_Scoring_Model!$C$14-A_Scoring_Model!$C$15)*(M144-$I144)/($H144-$I144))),IF(M144&lt;=$H144,A_Scoring_Model!$C$14,IF(M144&gt;$I144,0,A_Scoring_Model!$C$15+(A_Scoring_Model!$C$14-A_Scoring_Model!$C$15)*($I144-M144)/($I144-$H144))))))</f>
        <v/>
      </c>
    </row>
    <row r="145" customFormat="false" ht="15" hidden="false" customHeight="false" outlineLevel="0" collapsed="false">
      <c r="A145" s="51" t="str">
        <f aca="false">C_KPI_Benchmark!A145</f>
        <v>3.b-D6-14</v>
      </c>
      <c r="B145" s="52" t="str">
        <f aca="false">C_KPI_Benchmark!D145</f>
        <v>3.b</v>
      </c>
      <c r="C145" s="51" t="str">
        <f aca="false">C_KPI_Benchmark!E145</f>
        <v>BDD Writer &amp; Data Synth Agent</v>
      </c>
      <c r="D145" s="52" t="str">
        <f aca="false">C_KPI_Benchmark!F145</f>
        <v>D6</v>
      </c>
      <c r="E145" s="51" t="str">
        <f aca="false">C_KPI_Benchmark!J145</f>
        <v>Review Shield critical findings</v>
      </c>
      <c r="F145" s="52" t="str">
        <f aca="false">C_KPI_Benchmark!K145</f>
        <v>count</v>
      </c>
      <c r="G145" s="51" t="str">
        <f aca="false">C_KPI_Benchmark!L145</f>
        <v>Lower is better</v>
      </c>
      <c r="H145" s="62" t="n">
        <f aca="false">C_KPI_Benchmark!N145</f>
        <v>0</v>
      </c>
      <c r="I145" s="63" t="n">
        <f aca="false">IF(C_KPI_Benchmark!O145&lt;&gt;"",C_KPI_Benchmark!O145,IF(G145="Higher is better",H145*(1-A_Scoring_Model!$C$16),H145*(1+A_Scoring_Model!$C$16)))</f>
        <v>0</v>
      </c>
      <c r="J145" s="64"/>
      <c r="K145" s="64"/>
      <c r="L145" s="64"/>
      <c r="M145" s="64"/>
      <c r="N145" s="56" t="str">
        <f aca="false">IF(J145="","",IF($H145=$I145,IF(OR(AND($G145="Higher is better",J145&gt;=$H145),AND($G145="Lower is better",J145&lt;=$H145)),A_Scoring_Model!$C$14,0),IF($G145="Higher is better",IF(J145&gt;=$H145,A_Scoring_Model!$C$14,IF(J145&lt;$I145,0,A_Scoring_Model!$C$15+(A_Scoring_Model!$C$14-A_Scoring_Model!$C$15)*(J145-$I145)/($H145-$I145))),IF(J145&lt;=$H145,A_Scoring_Model!$C$14,IF(J145&gt;$I145,0,A_Scoring_Model!$C$15+(A_Scoring_Model!$C$14-A_Scoring_Model!$C$15)*($I145-J145)/($I145-$H145))))))</f>
        <v/>
      </c>
      <c r="O145" s="56" t="str">
        <f aca="false">IF(K145="","",IF($H145=$I145,IF(OR(AND($G145="Higher is better",K145&gt;=$H145),AND($G145="Lower is better",K145&lt;=$H145)),A_Scoring_Model!$C$14,0),IF($G145="Higher is better",IF(K145&gt;=$H145,A_Scoring_Model!$C$14,IF(K145&lt;$I145,0,A_Scoring_Model!$C$15+(A_Scoring_Model!$C$14-A_Scoring_Model!$C$15)*(K145-$I145)/($H145-$I145))),IF(K145&lt;=$H145,A_Scoring_Model!$C$14,IF(K145&gt;$I145,0,A_Scoring_Model!$C$15+(A_Scoring_Model!$C$14-A_Scoring_Model!$C$15)*($I145-K145)/($I145-$H145))))))</f>
        <v/>
      </c>
      <c r="P145" s="56" t="str">
        <f aca="false">IF(L145="","",IF($H145=$I145,IF(OR(AND($G145="Higher is better",L145&gt;=$H145),AND($G145="Lower is better",L145&lt;=$H145)),A_Scoring_Model!$C$14,0),IF($G145="Higher is better",IF(L145&gt;=$H145,A_Scoring_Model!$C$14,IF(L145&lt;$I145,0,A_Scoring_Model!$C$15+(A_Scoring_Model!$C$14-A_Scoring_Model!$C$15)*(L145-$I145)/($H145-$I145))),IF(L145&lt;=$H145,A_Scoring_Model!$C$14,IF(L145&gt;$I145,0,A_Scoring_Model!$C$15+(A_Scoring_Model!$C$14-A_Scoring_Model!$C$15)*($I145-L145)/($I145-$H145))))))</f>
        <v/>
      </c>
      <c r="Q145" s="56" t="str">
        <f aca="false">IF(M145="","",IF($H145=$I145,IF(OR(AND($G145="Higher is better",M145&gt;=$H145),AND($G145="Lower is better",M145&lt;=$H145)),A_Scoring_Model!$C$14,0),IF($G145="Higher is better",IF(M145&gt;=$H145,A_Scoring_Model!$C$14,IF(M145&lt;$I145,0,A_Scoring_Model!$C$15+(A_Scoring_Model!$C$14-A_Scoring_Model!$C$15)*(M145-$I145)/($H145-$I145))),IF(M145&lt;=$H145,A_Scoring_Model!$C$14,IF(M145&gt;$I145,0,A_Scoring_Model!$C$15+(A_Scoring_Model!$C$14-A_Scoring_Model!$C$15)*($I145-M145)/($I145-$H145))))))</f>
        <v/>
      </c>
    </row>
    <row r="146" customFormat="false" ht="15" hidden="false" customHeight="false" outlineLevel="0" collapsed="false">
      <c r="A146" s="51" t="str">
        <f aca="false">C_KPI_Benchmark!A146</f>
        <v>3.b-D6-15</v>
      </c>
      <c r="B146" s="52" t="str">
        <f aca="false">C_KPI_Benchmark!D146</f>
        <v>3.b</v>
      </c>
      <c r="C146" s="51" t="str">
        <f aca="false">C_KPI_Benchmark!E146</f>
        <v>BDD Writer &amp; Data Synth Agent</v>
      </c>
      <c r="D146" s="52" t="str">
        <f aca="false">C_KPI_Benchmark!F146</f>
        <v>D6</v>
      </c>
      <c r="E146" s="51" t="str">
        <f aca="false">C_KPI_Benchmark!J146</f>
        <v>SAST high findings and exposed secrets</v>
      </c>
      <c r="F146" s="52" t="str">
        <f aca="false">C_KPI_Benchmark!K146</f>
        <v>count</v>
      </c>
      <c r="G146" s="51" t="str">
        <f aca="false">C_KPI_Benchmark!L146</f>
        <v>Lower is better</v>
      </c>
      <c r="H146" s="62" t="n">
        <f aca="false">C_KPI_Benchmark!N146</f>
        <v>0</v>
      </c>
      <c r="I146" s="63" t="n">
        <f aca="false">IF(C_KPI_Benchmark!O146&lt;&gt;"",C_KPI_Benchmark!O146,IF(G146="Higher is better",H146*(1-A_Scoring_Model!$C$16),H146*(1+A_Scoring_Model!$C$16)))</f>
        <v>0</v>
      </c>
      <c r="J146" s="64"/>
      <c r="K146" s="64"/>
      <c r="L146" s="64"/>
      <c r="M146" s="64"/>
      <c r="N146" s="56" t="str">
        <f aca="false">IF(J146="","",IF($H146=$I146,IF(OR(AND($G146="Higher is better",J146&gt;=$H146),AND($G146="Lower is better",J146&lt;=$H146)),A_Scoring_Model!$C$14,0),IF($G146="Higher is better",IF(J146&gt;=$H146,A_Scoring_Model!$C$14,IF(J146&lt;$I146,0,A_Scoring_Model!$C$15+(A_Scoring_Model!$C$14-A_Scoring_Model!$C$15)*(J146-$I146)/($H146-$I146))),IF(J146&lt;=$H146,A_Scoring_Model!$C$14,IF(J146&gt;$I146,0,A_Scoring_Model!$C$15+(A_Scoring_Model!$C$14-A_Scoring_Model!$C$15)*($I146-J146)/($I146-$H146))))))</f>
        <v/>
      </c>
      <c r="O146" s="56" t="str">
        <f aca="false">IF(K146="","",IF($H146=$I146,IF(OR(AND($G146="Higher is better",K146&gt;=$H146),AND($G146="Lower is better",K146&lt;=$H146)),A_Scoring_Model!$C$14,0),IF($G146="Higher is better",IF(K146&gt;=$H146,A_Scoring_Model!$C$14,IF(K146&lt;$I146,0,A_Scoring_Model!$C$15+(A_Scoring_Model!$C$14-A_Scoring_Model!$C$15)*(K146-$I146)/($H146-$I146))),IF(K146&lt;=$H146,A_Scoring_Model!$C$14,IF(K146&gt;$I146,0,A_Scoring_Model!$C$15+(A_Scoring_Model!$C$14-A_Scoring_Model!$C$15)*($I146-K146)/($I146-$H146))))))</f>
        <v/>
      </c>
      <c r="P146" s="56" t="str">
        <f aca="false">IF(L146="","",IF($H146=$I146,IF(OR(AND($G146="Higher is better",L146&gt;=$H146),AND($G146="Lower is better",L146&lt;=$H146)),A_Scoring_Model!$C$14,0),IF($G146="Higher is better",IF(L146&gt;=$H146,A_Scoring_Model!$C$14,IF(L146&lt;$I146,0,A_Scoring_Model!$C$15+(A_Scoring_Model!$C$14-A_Scoring_Model!$C$15)*(L146-$I146)/($H146-$I146))),IF(L146&lt;=$H146,A_Scoring_Model!$C$14,IF(L146&gt;$I146,0,A_Scoring_Model!$C$15+(A_Scoring_Model!$C$14-A_Scoring_Model!$C$15)*($I146-L146)/($I146-$H146))))))</f>
        <v/>
      </c>
      <c r="Q146" s="56" t="str">
        <f aca="false">IF(M146="","",IF($H146=$I146,IF(OR(AND($G146="Higher is better",M146&gt;=$H146),AND($G146="Lower is better",M146&lt;=$H146)),A_Scoring_Model!$C$14,0),IF($G146="Higher is better",IF(M146&gt;=$H146,A_Scoring_Model!$C$14,IF(M146&lt;$I146,0,A_Scoring_Model!$C$15+(A_Scoring_Model!$C$14-A_Scoring_Model!$C$15)*(M146-$I146)/($H146-$I146))),IF(M146&lt;=$H146,A_Scoring_Model!$C$14,IF(M146&gt;$I146,0,A_Scoring_Model!$C$15+(A_Scoring_Model!$C$14-A_Scoring_Model!$C$15)*($I146-M146)/($I146-$H146))))))</f>
        <v/>
      </c>
    </row>
    <row r="147" customFormat="false" ht="23.85" hidden="false" customHeight="false" outlineLevel="0" collapsed="false">
      <c r="A147" s="51" t="str">
        <f aca="false">C_KPI_Benchmark!A147</f>
        <v>3.b-D6-16</v>
      </c>
      <c r="B147" s="52" t="str">
        <f aca="false">C_KPI_Benchmark!D147</f>
        <v>3.b</v>
      </c>
      <c r="C147" s="51" t="str">
        <f aca="false">C_KPI_Benchmark!E147</f>
        <v>BDD Writer &amp; Data Synth Agent</v>
      </c>
      <c r="D147" s="52" t="str">
        <f aca="false">C_KPI_Benchmark!F147</f>
        <v>D6</v>
      </c>
      <c r="E147" s="51" t="str">
        <f aca="false">C_KPI_Benchmark!J147</f>
        <v>Documentation pack complete (README, I/O contract, model card, runbook)</v>
      </c>
      <c r="F147" s="52" t="str">
        <f aca="false">C_KPI_Benchmark!K147</f>
        <v>Yes/No</v>
      </c>
      <c r="G147" s="51" t="str">
        <f aca="false">C_KPI_Benchmark!L147</f>
        <v>Higher is better</v>
      </c>
      <c r="H147" s="60" t="n">
        <f aca="false">C_KPI_Benchmark!N147</f>
        <v>1</v>
      </c>
      <c r="I147" s="56" t="n">
        <f aca="false">IF(C_KPI_Benchmark!O147&lt;&gt;"",C_KPI_Benchmark!O147,IF(G147="Higher is better",H147*(1-A_Scoring_Model!$C$16),H147*(1+A_Scoring_Model!$C$16)))</f>
        <v>0.8</v>
      </c>
      <c r="J147" s="61"/>
      <c r="K147" s="61"/>
      <c r="L147" s="61"/>
      <c r="M147" s="61"/>
      <c r="N147" s="56" t="str">
        <f aca="false">IF(J147="","",IF($H147=$I147,IF(OR(AND($G147="Higher is better",J147&gt;=$H147),AND($G147="Lower is better",J147&lt;=$H147)),A_Scoring_Model!$C$14,0),IF($G147="Higher is better",IF(J147&gt;=$H147,A_Scoring_Model!$C$14,IF(J147&lt;$I147,0,A_Scoring_Model!$C$15+(A_Scoring_Model!$C$14-A_Scoring_Model!$C$15)*(J147-$I147)/($H147-$I147))),IF(J147&lt;=$H147,A_Scoring_Model!$C$14,IF(J147&gt;$I147,0,A_Scoring_Model!$C$15+(A_Scoring_Model!$C$14-A_Scoring_Model!$C$15)*($I147-J147)/($I147-$H147))))))</f>
        <v/>
      </c>
      <c r="O147" s="56" t="str">
        <f aca="false">IF(K147="","",IF($H147=$I147,IF(OR(AND($G147="Higher is better",K147&gt;=$H147),AND($G147="Lower is better",K147&lt;=$H147)),A_Scoring_Model!$C$14,0),IF($G147="Higher is better",IF(K147&gt;=$H147,A_Scoring_Model!$C$14,IF(K147&lt;$I147,0,A_Scoring_Model!$C$15+(A_Scoring_Model!$C$14-A_Scoring_Model!$C$15)*(K147-$I147)/($H147-$I147))),IF(K147&lt;=$H147,A_Scoring_Model!$C$14,IF(K147&gt;$I147,0,A_Scoring_Model!$C$15+(A_Scoring_Model!$C$14-A_Scoring_Model!$C$15)*($I147-K147)/($I147-$H147))))))</f>
        <v/>
      </c>
      <c r="P147" s="56" t="str">
        <f aca="false">IF(L147="","",IF($H147=$I147,IF(OR(AND($G147="Higher is better",L147&gt;=$H147),AND($G147="Lower is better",L147&lt;=$H147)),A_Scoring_Model!$C$14,0),IF($G147="Higher is better",IF(L147&gt;=$H147,A_Scoring_Model!$C$14,IF(L147&lt;$I147,0,A_Scoring_Model!$C$15+(A_Scoring_Model!$C$14-A_Scoring_Model!$C$15)*(L147-$I147)/($H147-$I147))),IF(L147&lt;=$H147,A_Scoring_Model!$C$14,IF(L147&gt;$I147,0,A_Scoring_Model!$C$15+(A_Scoring_Model!$C$14-A_Scoring_Model!$C$15)*($I147-L147)/($I147-$H147))))))</f>
        <v/>
      </c>
      <c r="Q147" s="56" t="str">
        <f aca="false">IF(M147="","",IF($H147=$I147,IF(OR(AND($G147="Higher is better",M147&gt;=$H147),AND($G147="Lower is better",M147&lt;=$H147)),A_Scoring_Model!$C$14,0),IF($G147="Higher is better",IF(M147&gt;=$H147,A_Scoring_Model!$C$14,IF(M147&lt;$I147,0,A_Scoring_Model!$C$15+(A_Scoring_Model!$C$14-A_Scoring_Model!$C$15)*(M147-$I147)/($H147-$I147))),IF(M147&lt;=$H147,A_Scoring_Model!$C$14,IF(M147&gt;$I147,0,A_Scoring_Model!$C$15+(A_Scoring_Model!$C$14-A_Scoring_Model!$C$15)*($I147-M147)/($I147-$H147))))))</f>
        <v/>
      </c>
    </row>
    <row r="148" customFormat="false" ht="15" hidden="false" customHeight="false" outlineLevel="0" collapsed="false">
      <c r="A148" s="51" t="str">
        <f aca="false">C_KPI_Benchmark!A148</f>
        <v>3.b-D6-17</v>
      </c>
      <c r="B148" s="52" t="str">
        <f aca="false">C_KPI_Benchmark!D148</f>
        <v>3.b</v>
      </c>
      <c r="C148" s="51" t="str">
        <f aca="false">C_KPI_Benchmark!E148</f>
        <v>BDD Writer &amp; Data Synth Agent</v>
      </c>
      <c r="D148" s="52" t="str">
        <f aca="false">C_KPI_Benchmark!F148</f>
        <v>D6</v>
      </c>
      <c r="E148" s="51" t="str">
        <f aca="false">C_KPI_Benchmark!J148</f>
        <v>Named owner and support SLA</v>
      </c>
      <c r="F148" s="52" t="str">
        <f aca="false">C_KPI_Benchmark!K148</f>
        <v>Yes/No</v>
      </c>
      <c r="G148" s="51" t="str">
        <f aca="false">C_KPI_Benchmark!L148</f>
        <v>Higher is better</v>
      </c>
      <c r="H148" s="60" t="n">
        <f aca="false">C_KPI_Benchmark!N148</f>
        <v>1</v>
      </c>
      <c r="I148" s="56" t="n">
        <f aca="false">IF(C_KPI_Benchmark!O148&lt;&gt;"",C_KPI_Benchmark!O148,IF(G148="Higher is better",H148*(1-A_Scoring_Model!$C$16),H148*(1+A_Scoring_Model!$C$16)))</f>
        <v>0.8</v>
      </c>
      <c r="J148" s="61"/>
      <c r="K148" s="61"/>
      <c r="L148" s="61"/>
      <c r="M148" s="61"/>
      <c r="N148" s="56" t="str">
        <f aca="false">IF(J148="","",IF($H148=$I148,IF(OR(AND($G148="Higher is better",J148&gt;=$H148),AND($G148="Lower is better",J148&lt;=$H148)),A_Scoring_Model!$C$14,0),IF($G148="Higher is better",IF(J148&gt;=$H148,A_Scoring_Model!$C$14,IF(J148&lt;$I148,0,A_Scoring_Model!$C$15+(A_Scoring_Model!$C$14-A_Scoring_Model!$C$15)*(J148-$I148)/($H148-$I148))),IF(J148&lt;=$H148,A_Scoring_Model!$C$14,IF(J148&gt;$I148,0,A_Scoring_Model!$C$15+(A_Scoring_Model!$C$14-A_Scoring_Model!$C$15)*($I148-J148)/($I148-$H148))))))</f>
        <v/>
      </c>
      <c r="O148" s="56" t="str">
        <f aca="false">IF(K148="","",IF($H148=$I148,IF(OR(AND($G148="Higher is better",K148&gt;=$H148),AND($G148="Lower is better",K148&lt;=$H148)),A_Scoring_Model!$C$14,0),IF($G148="Higher is better",IF(K148&gt;=$H148,A_Scoring_Model!$C$14,IF(K148&lt;$I148,0,A_Scoring_Model!$C$15+(A_Scoring_Model!$C$14-A_Scoring_Model!$C$15)*(K148-$I148)/($H148-$I148))),IF(K148&lt;=$H148,A_Scoring_Model!$C$14,IF(K148&gt;$I148,0,A_Scoring_Model!$C$15+(A_Scoring_Model!$C$14-A_Scoring_Model!$C$15)*($I148-K148)/($I148-$H148))))))</f>
        <v/>
      </c>
      <c r="P148" s="56" t="str">
        <f aca="false">IF(L148="","",IF($H148=$I148,IF(OR(AND($G148="Higher is better",L148&gt;=$H148),AND($G148="Lower is better",L148&lt;=$H148)),A_Scoring_Model!$C$14,0),IF($G148="Higher is better",IF(L148&gt;=$H148,A_Scoring_Model!$C$14,IF(L148&lt;$I148,0,A_Scoring_Model!$C$15+(A_Scoring_Model!$C$14-A_Scoring_Model!$C$15)*(L148-$I148)/($H148-$I148))),IF(L148&lt;=$H148,A_Scoring_Model!$C$14,IF(L148&gt;$I148,0,A_Scoring_Model!$C$15+(A_Scoring_Model!$C$14-A_Scoring_Model!$C$15)*($I148-L148)/($I148-$H148))))))</f>
        <v/>
      </c>
      <c r="Q148" s="56" t="str">
        <f aca="false">IF(M148="","",IF($H148=$I148,IF(OR(AND($G148="Higher is better",M148&gt;=$H148),AND($G148="Lower is better",M148&lt;=$H148)),A_Scoring_Model!$C$14,0),IF($G148="Higher is better",IF(M148&gt;=$H148,A_Scoring_Model!$C$14,IF(M148&lt;$I148,0,A_Scoring_Model!$C$15+(A_Scoring_Model!$C$14-A_Scoring_Model!$C$15)*(M148-$I148)/($H148-$I148))),IF(M148&lt;=$H148,A_Scoring_Model!$C$14,IF(M148&gt;$I148,0,A_Scoring_Model!$C$15+(A_Scoring_Model!$C$14-A_Scoring_Model!$C$15)*($I148-M148)/($I148-$H148))))))</f>
        <v/>
      </c>
    </row>
    <row r="149" customFormat="false" ht="23.85" hidden="false" customHeight="false" outlineLevel="0" collapsed="false">
      <c r="A149" s="51" t="str">
        <f aca="false">C_KPI_Benchmark!A149</f>
        <v>3.c-D1-01</v>
      </c>
      <c r="B149" s="52" t="str">
        <f aca="false">C_KPI_Benchmark!D149</f>
        <v>3.c</v>
      </c>
      <c r="C149" s="51" t="str">
        <f aca="false">C_KPI_Benchmark!E149</f>
        <v>Script Dev/Review &amp; Coverage Agent</v>
      </c>
      <c r="D149" s="52" t="str">
        <f aca="false">C_KPI_Benchmark!F149</f>
        <v>D1</v>
      </c>
      <c r="E149" s="51" t="str">
        <f aca="false">C_KPI_Benchmark!J149</f>
        <v>Generated script first-run pass (lint + execute)</v>
      </c>
      <c r="F149" s="52" t="str">
        <f aca="false">C_KPI_Benchmark!K149</f>
        <v>%</v>
      </c>
      <c r="G149" s="51" t="str">
        <f aca="false">C_KPI_Benchmark!L149</f>
        <v>Higher is better</v>
      </c>
      <c r="H149" s="53" t="n">
        <f aca="false">C_KPI_Benchmark!N149</f>
        <v>0.85</v>
      </c>
      <c r="I149" s="54" t="n">
        <f aca="false">IF(C_KPI_Benchmark!O149&lt;&gt;"",C_KPI_Benchmark!O149,IF(G149="Higher is better",H149*(1-A_Scoring_Model!$C$16),H149*(1+A_Scoring_Model!$C$16)))</f>
        <v>0.7</v>
      </c>
      <c r="J149" s="55"/>
      <c r="K149" s="55"/>
      <c r="L149" s="55"/>
      <c r="M149" s="55"/>
      <c r="N149" s="56" t="str">
        <f aca="false">IF(J149="","",IF($H149=$I149,IF(OR(AND($G149="Higher is better",J149&gt;=$H149),AND($G149="Lower is better",J149&lt;=$H149)),A_Scoring_Model!$C$14,0),IF($G149="Higher is better",IF(J149&gt;=$H149,A_Scoring_Model!$C$14,IF(J149&lt;$I149,0,A_Scoring_Model!$C$15+(A_Scoring_Model!$C$14-A_Scoring_Model!$C$15)*(J149-$I149)/($H149-$I149))),IF(J149&lt;=$H149,A_Scoring_Model!$C$14,IF(J149&gt;$I149,0,A_Scoring_Model!$C$15+(A_Scoring_Model!$C$14-A_Scoring_Model!$C$15)*($I149-J149)/($I149-$H149))))))</f>
        <v/>
      </c>
      <c r="O149" s="56" t="str">
        <f aca="false">IF(K149="","",IF($H149=$I149,IF(OR(AND($G149="Higher is better",K149&gt;=$H149),AND($G149="Lower is better",K149&lt;=$H149)),A_Scoring_Model!$C$14,0),IF($G149="Higher is better",IF(K149&gt;=$H149,A_Scoring_Model!$C$14,IF(K149&lt;$I149,0,A_Scoring_Model!$C$15+(A_Scoring_Model!$C$14-A_Scoring_Model!$C$15)*(K149-$I149)/($H149-$I149))),IF(K149&lt;=$H149,A_Scoring_Model!$C$14,IF(K149&gt;$I149,0,A_Scoring_Model!$C$15+(A_Scoring_Model!$C$14-A_Scoring_Model!$C$15)*($I149-K149)/($I149-$H149))))))</f>
        <v/>
      </c>
      <c r="P149" s="56" t="str">
        <f aca="false">IF(L149="","",IF($H149=$I149,IF(OR(AND($G149="Higher is better",L149&gt;=$H149),AND($G149="Lower is better",L149&lt;=$H149)),A_Scoring_Model!$C$14,0),IF($G149="Higher is better",IF(L149&gt;=$H149,A_Scoring_Model!$C$14,IF(L149&lt;$I149,0,A_Scoring_Model!$C$15+(A_Scoring_Model!$C$14-A_Scoring_Model!$C$15)*(L149-$I149)/($H149-$I149))),IF(L149&lt;=$H149,A_Scoring_Model!$C$14,IF(L149&gt;$I149,0,A_Scoring_Model!$C$15+(A_Scoring_Model!$C$14-A_Scoring_Model!$C$15)*($I149-L149)/($I149-$H149))))))</f>
        <v/>
      </c>
      <c r="Q149" s="56" t="str">
        <f aca="false">IF(M149="","",IF($H149=$I149,IF(OR(AND($G149="Higher is better",M149&gt;=$H149),AND($G149="Lower is better",M149&lt;=$H149)),A_Scoring_Model!$C$14,0),IF($G149="Higher is better",IF(M149&gt;=$H149,A_Scoring_Model!$C$14,IF(M149&lt;$I149,0,A_Scoring_Model!$C$15+(A_Scoring_Model!$C$14-A_Scoring_Model!$C$15)*(M149-$I149)/($H149-$I149))),IF(M149&lt;=$H149,A_Scoring_Model!$C$14,IF(M149&gt;$I149,0,A_Scoring_Model!$C$15+(A_Scoring_Model!$C$14-A_Scoring_Model!$C$15)*($I149-M149)/($I149-$H149))))))</f>
        <v/>
      </c>
    </row>
    <row r="150" customFormat="false" ht="23.85" hidden="false" customHeight="false" outlineLevel="0" collapsed="false">
      <c r="A150" s="51" t="str">
        <f aca="false">C_KPI_Benchmark!A150</f>
        <v>3.c-D1-02</v>
      </c>
      <c r="B150" s="52" t="str">
        <f aca="false">C_KPI_Benchmark!D150</f>
        <v>3.c</v>
      </c>
      <c r="C150" s="51" t="str">
        <f aca="false">C_KPI_Benchmark!E150</f>
        <v>Script Dev/Review &amp; Coverage Agent</v>
      </c>
      <c r="D150" s="52" t="str">
        <f aca="false">C_KPI_Benchmark!F150</f>
        <v>D1</v>
      </c>
      <c r="E150" s="51" t="str">
        <f aca="false">C_KPI_Benchmark!J150</f>
        <v>Review finding precision</v>
      </c>
      <c r="F150" s="52" t="str">
        <f aca="false">C_KPI_Benchmark!K150</f>
        <v>ratio</v>
      </c>
      <c r="G150" s="51" t="str">
        <f aca="false">C_KPI_Benchmark!L150</f>
        <v>Higher is better</v>
      </c>
      <c r="H150" s="57" t="n">
        <f aca="false">C_KPI_Benchmark!N150</f>
        <v>0.8</v>
      </c>
      <c r="I150" s="58" t="n">
        <f aca="false">IF(C_KPI_Benchmark!O150&lt;&gt;"",C_KPI_Benchmark!O150,IF(G150="Higher is better",H150*(1-A_Scoring_Model!$C$16),H150*(1+A_Scoring_Model!$C$16)))</f>
        <v>0.65</v>
      </c>
      <c r="J150" s="59"/>
      <c r="K150" s="59"/>
      <c r="L150" s="59"/>
      <c r="M150" s="59"/>
      <c r="N150" s="56" t="str">
        <f aca="false">IF(J150="","",IF($H150=$I150,IF(OR(AND($G150="Higher is better",J150&gt;=$H150),AND($G150="Lower is better",J150&lt;=$H150)),A_Scoring_Model!$C$14,0),IF($G150="Higher is better",IF(J150&gt;=$H150,A_Scoring_Model!$C$14,IF(J150&lt;$I150,0,A_Scoring_Model!$C$15+(A_Scoring_Model!$C$14-A_Scoring_Model!$C$15)*(J150-$I150)/($H150-$I150))),IF(J150&lt;=$H150,A_Scoring_Model!$C$14,IF(J150&gt;$I150,0,A_Scoring_Model!$C$15+(A_Scoring_Model!$C$14-A_Scoring_Model!$C$15)*($I150-J150)/($I150-$H150))))))</f>
        <v/>
      </c>
      <c r="O150" s="56" t="str">
        <f aca="false">IF(K150="","",IF($H150=$I150,IF(OR(AND($G150="Higher is better",K150&gt;=$H150),AND($G150="Lower is better",K150&lt;=$H150)),A_Scoring_Model!$C$14,0),IF($G150="Higher is better",IF(K150&gt;=$H150,A_Scoring_Model!$C$14,IF(K150&lt;$I150,0,A_Scoring_Model!$C$15+(A_Scoring_Model!$C$14-A_Scoring_Model!$C$15)*(K150-$I150)/($H150-$I150))),IF(K150&lt;=$H150,A_Scoring_Model!$C$14,IF(K150&gt;$I150,0,A_Scoring_Model!$C$15+(A_Scoring_Model!$C$14-A_Scoring_Model!$C$15)*($I150-K150)/($I150-$H150))))))</f>
        <v/>
      </c>
      <c r="P150" s="56" t="str">
        <f aca="false">IF(L150="","",IF($H150=$I150,IF(OR(AND($G150="Higher is better",L150&gt;=$H150),AND($G150="Lower is better",L150&lt;=$H150)),A_Scoring_Model!$C$14,0),IF($G150="Higher is better",IF(L150&gt;=$H150,A_Scoring_Model!$C$14,IF(L150&lt;$I150,0,A_Scoring_Model!$C$15+(A_Scoring_Model!$C$14-A_Scoring_Model!$C$15)*(L150-$I150)/($H150-$I150))),IF(L150&lt;=$H150,A_Scoring_Model!$C$14,IF(L150&gt;$I150,0,A_Scoring_Model!$C$15+(A_Scoring_Model!$C$14-A_Scoring_Model!$C$15)*($I150-L150)/($I150-$H150))))))</f>
        <v/>
      </c>
      <c r="Q150" s="56" t="str">
        <f aca="false">IF(M150="","",IF($H150=$I150,IF(OR(AND($G150="Higher is better",M150&gt;=$H150),AND($G150="Lower is better",M150&lt;=$H150)),A_Scoring_Model!$C$14,0),IF($G150="Higher is better",IF(M150&gt;=$H150,A_Scoring_Model!$C$14,IF(M150&lt;$I150,0,A_Scoring_Model!$C$15+(A_Scoring_Model!$C$14-A_Scoring_Model!$C$15)*(M150-$I150)/($H150-$I150))),IF(M150&lt;=$H150,A_Scoring_Model!$C$14,IF(M150&gt;$I150,0,A_Scoring_Model!$C$15+(A_Scoring_Model!$C$14-A_Scoring_Model!$C$15)*($I150-M150)/($I150-$H150))))))</f>
        <v/>
      </c>
    </row>
    <row r="151" customFormat="false" ht="23.85" hidden="false" customHeight="false" outlineLevel="0" collapsed="false">
      <c r="A151" s="51" t="str">
        <f aca="false">C_KPI_Benchmark!A151</f>
        <v>3.c-D1-03</v>
      </c>
      <c r="B151" s="52" t="str">
        <f aca="false">C_KPI_Benchmark!D151</f>
        <v>3.c</v>
      </c>
      <c r="C151" s="51" t="str">
        <f aca="false">C_KPI_Benchmark!E151</f>
        <v>Script Dev/Review &amp; Coverage Agent</v>
      </c>
      <c r="D151" s="52" t="str">
        <f aca="false">C_KPI_Benchmark!F151</f>
        <v>D1</v>
      </c>
      <c r="E151" s="51" t="str">
        <f aca="false">C_KPI_Benchmark!J151</f>
        <v>Coverage-gap identification recall</v>
      </c>
      <c r="F151" s="52" t="str">
        <f aca="false">C_KPI_Benchmark!K151</f>
        <v>ratio</v>
      </c>
      <c r="G151" s="51" t="str">
        <f aca="false">C_KPI_Benchmark!L151</f>
        <v>Higher is better</v>
      </c>
      <c r="H151" s="57" t="n">
        <f aca="false">C_KPI_Benchmark!N151</f>
        <v>0.85</v>
      </c>
      <c r="I151" s="58" t="n">
        <f aca="false">IF(C_KPI_Benchmark!O151&lt;&gt;"",C_KPI_Benchmark!O151,IF(G151="Higher is better",H151*(1-A_Scoring_Model!$C$16),H151*(1+A_Scoring_Model!$C$16)))</f>
        <v>0.7</v>
      </c>
      <c r="J151" s="59"/>
      <c r="K151" s="59"/>
      <c r="L151" s="59"/>
      <c r="M151" s="59"/>
      <c r="N151" s="56" t="str">
        <f aca="false">IF(J151="","",IF($H151=$I151,IF(OR(AND($G151="Higher is better",J151&gt;=$H151),AND($G151="Lower is better",J151&lt;=$H151)),A_Scoring_Model!$C$14,0),IF($G151="Higher is better",IF(J151&gt;=$H151,A_Scoring_Model!$C$14,IF(J151&lt;$I151,0,A_Scoring_Model!$C$15+(A_Scoring_Model!$C$14-A_Scoring_Model!$C$15)*(J151-$I151)/($H151-$I151))),IF(J151&lt;=$H151,A_Scoring_Model!$C$14,IF(J151&gt;$I151,0,A_Scoring_Model!$C$15+(A_Scoring_Model!$C$14-A_Scoring_Model!$C$15)*($I151-J151)/($I151-$H151))))))</f>
        <v/>
      </c>
      <c r="O151" s="56" t="str">
        <f aca="false">IF(K151="","",IF($H151=$I151,IF(OR(AND($G151="Higher is better",K151&gt;=$H151),AND($G151="Lower is better",K151&lt;=$H151)),A_Scoring_Model!$C$14,0),IF($G151="Higher is better",IF(K151&gt;=$H151,A_Scoring_Model!$C$14,IF(K151&lt;$I151,0,A_Scoring_Model!$C$15+(A_Scoring_Model!$C$14-A_Scoring_Model!$C$15)*(K151-$I151)/($H151-$I151))),IF(K151&lt;=$H151,A_Scoring_Model!$C$14,IF(K151&gt;$I151,0,A_Scoring_Model!$C$15+(A_Scoring_Model!$C$14-A_Scoring_Model!$C$15)*($I151-K151)/($I151-$H151))))))</f>
        <v/>
      </c>
      <c r="P151" s="56" t="str">
        <f aca="false">IF(L151="","",IF($H151=$I151,IF(OR(AND($G151="Higher is better",L151&gt;=$H151),AND($G151="Lower is better",L151&lt;=$H151)),A_Scoring_Model!$C$14,0),IF($G151="Higher is better",IF(L151&gt;=$H151,A_Scoring_Model!$C$14,IF(L151&lt;$I151,0,A_Scoring_Model!$C$15+(A_Scoring_Model!$C$14-A_Scoring_Model!$C$15)*(L151-$I151)/($H151-$I151))),IF(L151&lt;=$H151,A_Scoring_Model!$C$14,IF(L151&gt;$I151,0,A_Scoring_Model!$C$15+(A_Scoring_Model!$C$14-A_Scoring_Model!$C$15)*($I151-L151)/($I151-$H151))))))</f>
        <v/>
      </c>
      <c r="Q151" s="56" t="str">
        <f aca="false">IF(M151="","",IF($H151=$I151,IF(OR(AND($G151="Higher is better",M151&gt;=$H151),AND($G151="Lower is better",M151&lt;=$H151)),A_Scoring_Model!$C$14,0),IF($G151="Higher is better",IF(M151&gt;=$H151,A_Scoring_Model!$C$14,IF(M151&lt;$I151,0,A_Scoring_Model!$C$15+(A_Scoring_Model!$C$14-A_Scoring_Model!$C$15)*(M151-$I151)/($H151-$I151))),IF(M151&lt;=$H151,A_Scoring_Model!$C$14,IF(M151&gt;$I151,0,A_Scoring_Model!$C$15+(A_Scoring_Model!$C$14-A_Scoring_Model!$C$15)*($I151-M151)/($I151-$H151))))))</f>
        <v/>
      </c>
    </row>
    <row r="152" customFormat="false" ht="23.85" hidden="false" customHeight="false" outlineLevel="0" collapsed="false">
      <c r="A152" s="51" t="str">
        <f aca="false">C_KPI_Benchmark!A152</f>
        <v>3.c-D2-04</v>
      </c>
      <c r="B152" s="52" t="str">
        <f aca="false">C_KPI_Benchmark!D152</f>
        <v>3.c</v>
      </c>
      <c r="C152" s="51" t="str">
        <f aca="false">C_KPI_Benchmark!E152</f>
        <v>Script Dev/Review &amp; Coverage Agent</v>
      </c>
      <c r="D152" s="52" t="str">
        <f aca="false">C_KPI_Benchmark!F152</f>
        <v>D2</v>
      </c>
      <c r="E152" s="51" t="str">
        <f aca="false">C_KPI_Benchmark!J152</f>
        <v>Framework adapters (in-house NVMe, pytest, Robot); Review Shield lint rules shared</v>
      </c>
      <c r="F152" s="52" t="str">
        <f aca="false">C_KPI_Benchmark!K152</f>
        <v>Yes/No</v>
      </c>
      <c r="G152" s="51" t="str">
        <f aca="false">C_KPI_Benchmark!L152</f>
        <v>Higher is better</v>
      </c>
      <c r="H152" s="60" t="n">
        <f aca="false">C_KPI_Benchmark!N152</f>
        <v>1</v>
      </c>
      <c r="I152" s="56" t="n">
        <f aca="false">IF(C_KPI_Benchmark!O152&lt;&gt;"",C_KPI_Benchmark!O152,IF(G152="Higher is better",H152*(1-A_Scoring_Model!$C$16),H152*(1+A_Scoring_Model!$C$16)))</f>
        <v>0.8</v>
      </c>
      <c r="J152" s="61"/>
      <c r="K152" s="61"/>
      <c r="L152" s="61"/>
      <c r="M152" s="61"/>
      <c r="N152" s="56" t="str">
        <f aca="false">IF(J152="","",IF($H152=$I152,IF(OR(AND($G152="Higher is better",J152&gt;=$H152),AND($G152="Lower is better",J152&lt;=$H152)),A_Scoring_Model!$C$14,0),IF($G152="Higher is better",IF(J152&gt;=$H152,A_Scoring_Model!$C$14,IF(J152&lt;$I152,0,A_Scoring_Model!$C$15+(A_Scoring_Model!$C$14-A_Scoring_Model!$C$15)*(J152-$I152)/($H152-$I152))),IF(J152&lt;=$H152,A_Scoring_Model!$C$14,IF(J152&gt;$I152,0,A_Scoring_Model!$C$15+(A_Scoring_Model!$C$14-A_Scoring_Model!$C$15)*($I152-J152)/($I152-$H152))))))</f>
        <v/>
      </c>
      <c r="O152" s="56" t="str">
        <f aca="false">IF(K152="","",IF($H152=$I152,IF(OR(AND($G152="Higher is better",K152&gt;=$H152),AND($G152="Lower is better",K152&lt;=$H152)),A_Scoring_Model!$C$14,0),IF($G152="Higher is better",IF(K152&gt;=$H152,A_Scoring_Model!$C$14,IF(K152&lt;$I152,0,A_Scoring_Model!$C$15+(A_Scoring_Model!$C$14-A_Scoring_Model!$C$15)*(K152-$I152)/($H152-$I152))),IF(K152&lt;=$H152,A_Scoring_Model!$C$14,IF(K152&gt;$I152,0,A_Scoring_Model!$C$15+(A_Scoring_Model!$C$14-A_Scoring_Model!$C$15)*($I152-K152)/($I152-$H152))))))</f>
        <v/>
      </c>
      <c r="P152" s="56" t="str">
        <f aca="false">IF(L152="","",IF($H152=$I152,IF(OR(AND($G152="Higher is better",L152&gt;=$H152),AND($G152="Lower is better",L152&lt;=$H152)),A_Scoring_Model!$C$14,0),IF($G152="Higher is better",IF(L152&gt;=$H152,A_Scoring_Model!$C$14,IF(L152&lt;$I152,0,A_Scoring_Model!$C$15+(A_Scoring_Model!$C$14-A_Scoring_Model!$C$15)*(L152-$I152)/($H152-$I152))),IF(L152&lt;=$H152,A_Scoring_Model!$C$14,IF(L152&gt;$I152,0,A_Scoring_Model!$C$15+(A_Scoring_Model!$C$14-A_Scoring_Model!$C$15)*($I152-L152)/($I152-$H152))))))</f>
        <v/>
      </c>
      <c r="Q152" s="56" t="str">
        <f aca="false">IF(M152="","",IF($H152=$I152,IF(OR(AND($G152="Higher is better",M152&gt;=$H152),AND($G152="Lower is better",M152&lt;=$H152)),A_Scoring_Model!$C$14,0),IF($G152="Higher is better",IF(M152&gt;=$H152,A_Scoring_Model!$C$14,IF(M152&lt;$I152,0,A_Scoring_Model!$C$15+(A_Scoring_Model!$C$14-A_Scoring_Model!$C$15)*(M152-$I152)/($H152-$I152))),IF(M152&lt;=$H152,A_Scoring_Model!$C$14,IF(M152&gt;$I152,0,A_Scoring_Model!$C$15+(A_Scoring_Model!$C$14-A_Scoring_Model!$C$15)*($I152-M152)/($I152-$H152))))))</f>
        <v/>
      </c>
    </row>
    <row r="153" customFormat="false" ht="23.85" hidden="false" customHeight="false" outlineLevel="0" collapsed="false">
      <c r="A153" s="51" t="str">
        <f aca="false">C_KPI_Benchmark!A153</f>
        <v>3.c-D2-05</v>
      </c>
      <c r="B153" s="52" t="str">
        <f aca="false">C_KPI_Benchmark!D153</f>
        <v>3.c</v>
      </c>
      <c r="C153" s="51" t="str">
        <f aca="false">C_KPI_Benchmark!E153</f>
        <v>Script Dev/Review &amp; Coverage Agent</v>
      </c>
      <c r="D153" s="52" t="str">
        <f aca="false">C_KPI_Benchmark!F153</f>
        <v>D2</v>
      </c>
      <c r="E153" s="51" t="str">
        <f aca="false">C_KPI_Benchmark!J153</f>
        <v>Product lines supported with ≤10% efficacy drop (NVMe SSD, UFS, eMMC/uSD, PSSD)</v>
      </c>
      <c r="F153" s="52" t="str">
        <f aca="false">C_KPI_Benchmark!K153</f>
        <v>count</v>
      </c>
      <c r="G153" s="51" t="str">
        <f aca="false">C_KPI_Benchmark!L153</f>
        <v>Higher is better</v>
      </c>
      <c r="H153" s="62" t="n">
        <f aca="false">C_KPI_Benchmark!N153</f>
        <v>3</v>
      </c>
      <c r="I153" s="63" t="n">
        <f aca="false">IF(C_KPI_Benchmark!O153&lt;&gt;"",C_KPI_Benchmark!O153,IF(G153="Higher is better",H153*(1-A_Scoring_Model!$C$16),H153*(1+A_Scoring_Model!$C$16)))</f>
        <v>2</v>
      </c>
      <c r="J153" s="64"/>
      <c r="K153" s="64"/>
      <c r="L153" s="64"/>
      <c r="M153" s="64"/>
      <c r="N153" s="56" t="str">
        <f aca="false">IF(J153="","",IF($H153=$I153,IF(OR(AND($G153="Higher is better",J153&gt;=$H153),AND($G153="Lower is better",J153&lt;=$H153)),A_Scoring_Model!$C$14,0),IF($G153="Higher is better",IF(J153&gt;=$H153,A_Scoring_Model!$C$14,IF(J153&lt;$I153,0,A_Scoring_Model!$C$15+(A_Scoring_Model!$C$14-A_Scoring_Model!$C$15)*(J153-$I153)/($H153-$I153))),IF(J153&lt;=$H153,A_Scoring_Model!$C$14,IF(J153&gt;$I153,0,A_Scoring_Model!$C$15+(A_Scoring_Model!$C$14-A_Scoring_Model!$C$15)*($I153-J153)/($I153-$H153))))))</f>
        <v/>
      </c>
      <c r="O153" s="56" t="str">
        <f aca="false">IF(K153="","",IF($H153=$I153,IF(OR(AND($G153="Higher is better",K153&gt;=$H153),AND($G153="Lower is better",K153&lt;=$H153)),A_Scoring_Model!$C$14,0),IF($G153="Higher is better",IF(K153&gt;=$H153,A_Scoring_Model!$C$14,IF(K153&lt;$I153,0,A_Scoring_Model!$C$15+(A_Scoring_Model!$C$14-A_Scoring_Model!$C$15)*(K153-$I153)/($H153-$I153))),IF(K153&lt;=$H153,A_Scoring_Model!$C$14,IF(K153&gt;$I153,0,A_Scoring_Model!$C$15+(A_Scoring_Model!$C$14-A_Scoring_Model!$C$15)*($I153-K153)/($I153-$H153))))))</f>
        <v/>
      </c>
      <c r="P153" s="56" t="str">
        <f aca="false">IF(L153="","",IF($H153=$I153,IF(OR(AND($G153="Higher is better",L153&gt;=$H153),AND($G153="Lower is better",L153&lt;=$H153)),A_Scoring_Model!$C$14,0),IF($G153="Higher is better",IF(L153&gt;=$H153,A_Scoring_Model!$C$14,IF(L153&lt;$I153,0,A_Scoring_Model!$C$15+(A_Scoring_Model!$C$14-A_Scoring_Model!$C$15)*(L153-$I153)/($H153-$I153))),IF(L153&lt;=$H153,A_Scoring_Model!$C$14,IF(L153&gt;$I153,0,A_Scoring_Model!$C$15+(A_Scoring_Model!$C$14-A_Scoring_Model!$C$15)*($I153-L153)/($I153-$H153))))))</f>
        <v/>
      </c>
      <c r="Q153" s="56" t="str">
        <f aca="false">IF(M153="","",IF($H153=$I153,IF(OR(AND($G153="Higher is better",M153&gt;=$H153),AND($G153="Lower is better",M153&lt;=$H153)),A_Scoring_Model!$C$14,0),IF($G153="Higher is better",IF(M153&gt;=$H153,A_Scoring_Model!$C$14,IF(M153&lt;$I153,0,A_Scoring_Model!$C$15+(A_Scoring_Model!$C$14-A_Scoring_Model!$C$15)*(M153-$I153)/($H153-$I153))),IF(M153&lt;=$H153,A_Scoring_Model!$C$14,IF(M153&gt;$I153,0,A_Scoring_Model!$C$15+(A_Scoring_Model!$C$14-A_Scoring_Model!$C$15)*($I153-M153)/($I153-$H153))))))</f>
        <v/>
      </c>
    </row>
    <row r="154" customFormat="false" ht="23.85" hidden="false" customHeight="false" outlineLevel="0" collapsed="false">
      <c r="A154" s="51" t="str">
        <f aca="false">C_KPI_Benchmark!A154</f>
        <v>3.c-D2-06</v>
      </c>
      <c r="B154" s="52" t="str">
        <f aca="false">C_KPI_Benchmark!D154</f>
        <v>3.c</v>
      </c>
      <c r="C154" s="51" t="str">
        <f aca="false">C_KPI_Benchmark!E154</f>
        <v>Script Dev/Review &amp; Coverage Agent</v>
      </c>
      <c r="D154" s="52" t="str">
        <f aca="false">C_KPI_Benchmark!F154</f>
        <v>D2</v>
      </c>
      <c r="E154" s="51" t="str">
        <f aca="false">C_KPI_Benchmark!J154</f>
        <v>Uses Zion shared services instead of re-implementing them</v>
      </c>
      <c r="F154" s="52" t="str">
        <f aca="false">C_KPI_Benchmark!K154</f>
        <v>Yes/No</v>
      </c>
      <c r="G154" s="51" t="str">
        <f aca="false">C_KPI_Benchmark!L154</f>
        <v>Higher is better</v>
      </c>
      <c r="H154" s="60" t="n">
        <f aca="false">C_KPI_Benchmark!N154</f>
        <v>1</v>
      </c>
      <c r="I154" s="56" t="n">
        <f aca="false">IF(C_KPI_Benchmark!O154&lt;&gt;"",C_KPI_Benchmark!O154,IF(G154="Higher is better",H154*(1-A_Scoring_Model!$C$16),H154*(1+A_Scoring_Model!$C$16)))</f>
        <v>0.8</v>
      </c>
      <c r="J154" s="61"/>
      <c r="K154" s="61"/>
      <c r="L154" s="61"/>
      <c r="M154" s="61"/>
      <c r="N154" s="56" t="str">
        <f aca="false">IF(J154="","",IF($H154=$I154,IF(OR(AND($G154="Higher is better",J154&gt;=$H154),AND($G154="Lower is better",J154&lt;=$H154)),A_Scoring_Model!$C$14,0),IF($G154="Higher is better",IF(J154&gt;=$H154,A_Scoring_Model!$C$14,IF(J154&lt;$I154,0,A_Scoring_Model!$C$15+(A_Scoring_Model!$C$14-A_Scoring_Model!$C$15)*(J154-$I154)/($H154-$I154))),IF(J154&lt;=$H154,A_Scoring_Model!$C$14,IF(J154&gt;$I154,0,A_Scoring_Model!$C$15+(A_Scoring_Model!$C$14-A_Scoring_Model!$C$15)*($I154-J154)/($I154-$H154))))))</f>
        <v/>
      </c>
      <c r="O154" s="56" t="str">
        <f aca="false">IF(K154="","",IF($H154=$I154,IF(OR(AND($G154="Higher is better",K154&gt;=$H154),AND($G154="Lower is better",K154&lt;=$H154)),A_Scoring_Model!$C$14,0),IF($G154="Higher is better",IF(K154&gt;=$H154,A_Scoring_Model!$C$14,IF(K154&lt;$I154,0,A_Scoring_Model!$C$15+(A_Scoring_Model!$C$14-A_Scoring_Model!$C$15)*(K154-$I154)/($H154-$I154))),IF(K154&lt;=$H154,A_Scoring_Model!$C$14,IF(K154&gt;$I154,0,A_Scoring_Model!$C$15+(A_Scoring_Model!$C$14-A_Scoring_Model!$C$15)*($I154-K154)/($I154-$H154))))))</f>
        <v/>
      </c>
      <c r="P154" s="56" t="str">
        <f aca="false">IF(L154="","",IF($H154=$I154,IF(OR(AND($G154="Higher is better",L154&gt;=$H154),AND($G154="Lower is better",L154&lt;=$H154)),A_Scoring_Model!$C$14,0),IF($G154="Higher is better",IF(L154&gt;=$H154,A_Scoring_Model!$C$14,IF(L154&lt;$I154,0,A_Scoring_Model!$C$15+(A_Scoring_Model!$C$14-A_Scoring_Model!$C$15)*(L154-$I154)/($H154-$I154))),IF(L154&lt;=$H154,A_Scoring_Model!$C$14,IF(L154&gt;$I154,0,A_Scoring_Model!$C$15+(A_Scoring_Model!$C$14-A_Scoring_Model!$C$15)*($I154-L154)/($I154-$H154))))))</f>
        <v/>
      </c>
      <c r="Q154" s="56" t="str">
        <f aca="false">IF(M154="","",IF($H154=$I154,IF(OR(AND($G154="Higher is better",M154&gt;=$H154),AND($G154="Lower is better",M154&lt;=$H154)),A_Scoring_Model!$C$14,0),IF($G154="Higher is better",IF(M154&gt;=$H154,A_Scoring_Model!$C$14,IF(M154&lt;$I154,0,A_Scoring_Model!$C$15+(A_Scoring_Model!$C$14-A_Scoring_Model!$C$15)*(M154-$I154)/($H154-$I154))),IF(M154&lt;=$H154,A_Scoring_Model!$C$14,IF(M154&gt;$I154,0,A_Scoring_Model!$C$15+(A_Scoring_Model!$C$14-A_Scoring_Model!$C$15)*($I154-M154)/($I154-$H154))))))</f>
        <v/>
      </c>
    </row>
    <row r="155" customFormat="false" ht="23.85" hidden="false" customHeight="false" outlineLevel="0" collapsed="false">
      <c r="A155" s="51" t="str">
        <f aca="false">C_KPI_Benchmark!A155</f>
        <v>3.c-D3-07</v>
      </c>
      <c r="B155" s="52" t="str">
        <f aca="false">C_KPI_Benchmark!D155</f>
        <v>3.c</v>
      </c>
      <c r="C155" s="51" t="str">
        <f aca="false">C_KPI_Benchmark!E155</f>
        <v>Script Dev/Review &amp; Coverage Agent</v>
      </c>
      <c r="D155" s="52" t="str">
        <f aca="false">C_KPI_Benchmark!F155</f>
        <v>D3</v>
      </c>
      <c r="E155" s="51" t="str">
        <f aca="false">C_KPI_Benchmark!J155</f>
        <v>Script generation throughput</v>
      </c>
      <c r="F155" s="52" t="str">
        <f aca="false">C_KPI_Benchmark!K155</f>
        <v>scripts/hr</v>
      </c>
      <c r="G155" s="51" t="str">
        <f aca="false">C_KPI_Benchmark!L155</f>
        <v>Higher is better</v>
      </c>
      <c r="H155" s="62" t="n">
        <f aca="false">C_KPI_Benchmark!N155</f>
        <v>100</v>
      </c>
      <c r="I155" s="63" t="n">
        <f aca="false">IF(C_KPI_Benchmark!O155&lt;&gt;"",C_KPI_Benchmark!O155,IF(G155="Higher is better",H155*(1-A_Scoring_Model!$C$16),H155*(1+A_Scoring_Model!$C$16)))</f>
        <v>80</v>
      </c>
      <c r="J155" s="64"/>
      <c r="K155" s="64"/>
      <c r="L155" s="64"/>
      <c r="M155" s="64"/>
      <c r="N155" s="56" t="str">
        <f aca="false">IF(J155="","",IF($H155=$I155,IF(OR(AND($G155="Higher is better",J155&gt;=$H155),AND($G155="Lower is better",J155&lt;=$H155)),A_Scoring_Model!$C$14,0),IF($G155="Higher is better",IF(J155&gt;=$H155,A_Scoring_Model!$C$14,IF(J155&lt;$I155,0,A_Scoring_Model!$C$15+(A_Scoring_Model!$C$14-A_Scoring_Model!$C$15)*(J155-$I155)/($H155-$I155))),IF(J155&lt;=$H155,A_Scoring_Model!$C$14,IF(J155&gt;$I155,0,A_Scoring_Model!$C$15+(A_Scoring_Model!$C$14-A_Scoring_Model!$C$15)*($I155-J155)/($I155-$H155))))))</f>
        <v/>
      </c>
      <c r="O155" s="56" t="str">
        <f aca="false">IF(K155="","",IF($H155=$I155,IF(OR(AND($G155="Higher is better",K155&gt;=$H155),AND($G155="Lower is better",K155&lt;=$H155)),A_Scoring_Model!$C$14,0),IF($G155="Higher is better",IF(K155&gt;=$H155,A_Scoring_Model!$C$14,IF(K155&lt;$I155,0,A_Scoring_Model!$C$15+(A_Scoring_Model!$C$14-A_Scoring_Model!$C$15)*(K155-$I155)/($H155-$I155))),IF(K155&lt;=$H155,A_Scoring_Model!$C$14,IF(K155&gt;$I155,0,A_Scoring_Model!$C$15+(A_Scoring_Model!$C$14-A_Scoring_Model!$C$15)*($I155-K155)/($I155-$H155))))))</f>
        <v/>
      </c>
      <c r="P155" s="56" t="str">
        <f aca="false">IF(L155="","",IF($H155=$I155,IF(OR(AND($G155="Higher is better",L155&gt;=$H155),AND($G155="Lower is better",L155&lt;=$H155)),A_Scoring_Model!$C$14,0),IF($G155="Higher is better",IF(L155&gt;=$H155,A_Scoring_Model!$C$14,IF(L155&lt;$I155,0,A_Scoring_Model!$C$15+(A_Scoring_Model!$C$14-A_Scoring_Model!$C$15)*(L155-$I155)/($H155-$I155))),IF(L155&lt;=$H155,A_Scoring_Model!$C$14,IF(L155&gt;$I155,0,A_Scoring_Model!$C$15+(A_Scoring_Model!$C$14-A_Scoring_Model!$C$15)*($I155-L155)/($I155-$H155))))))</f>
        <v/>
      </c>
      <c r="Q155" s="56" t="str">
        <f aca="false">IF(M155="","",IF($H155=$I155,IF(OR(AND($G155="Higher is better",M155&gt;=$H155),AND($G155="Lower is better",M155&lt;=$H155)),A_Scoring_Model!$C$14,0),IF($G155="Higher is better",IF(M155&gt;=$H155,A_Scoring_Model!$C$14,IF(M155&lt;$I155,0,A_Scoring_Model!$C$15+(A_Scoring_Model!$C$14-A_Scoring_Model!$C$15)*(M155-$I155)/($H155-$I155))),IF(M155&lt;=$H155,A_Scoring_Model!$C$14,IF(M155&gt;$I155,0,A_Scoring_Model!$C$15+(A_Scoring_Model!$C$14-A_Scoring_Model!$C$15)*($I155-M155)/($I155-$H155))))))</f>
        <v/>
      </c>
    </row>
    <row r="156" customFormat="false" ht="23.85" hidden="false" customHeight="false" outlineLevel="0" collapsed="false">
      <c r="A156" s="51" t="str">
        <f aca="false">C_KPI_Benchmark!A156</f>
        <v>3.c-D3-08</v>
      </c>
      <c r="B156" s="52" t="str">
        <f aca="false">C_KPI_Benchmark!D156</f>
        <v>3.c</v>
      </c>
      <c r="C156" s="51" t="str">
        <f aca="false">C_KPI_Benchmark!E156</f>
        <v>Script Dev/Review &amp; Coverage Agent</v>
      </c>
      <c r="D156" s="52" t="str">
        <f aca="false">C_KPI_Benchmark!F156</f>
        <v>D3</v>
      </c>
      <c r="E156" s="51" t="str">
        <f aca="false">C_KPI_Benchmark!J156</f>
        <v>100k-LOC repo analysis time</v>
      </c>
      <c r="F156" s="52" t="str">
        <f aca="false">C_KPI_Benchmark!K156</f>
        <v>min</v>
      </c>
      <c r="G156" s="51" t="str">
        <f aca="false">C_KPI_Benchmark!L156</f>
        <v>Lower is better</v>
      </c>
      <c r="H156" s="62" t="n">
        <f aca="false">C_KPI_Benchmark!N156</f>
        <v>15</v>
      </c>
      <c r="I156" s="63" t="n">
        <f aca="false">IF(C_KPI_Benchmark!O156&lt;&gt;"",C_KPI_Benchmark!O156,IF(G156="Higher is better",H156*(1-A_Scoring_Model!$C$16),H156*(1+A_Scoring_Model!$C$16)))</f>
        <v>18</v>
      </c>
      <c r="J156" s="64"/>
      <c r="K156" s="64"/>
      <c r="L156" s="64"/>
      <c r="M156" s="64"/>
      <c r="N156" s="56" t="str">
        <f aca="false">IF(J156="","",IF($H156=$I156,IF(OR(AND($G156="Higher is better",J156&gt;=$H156),AND($G156="Lower is better",J156&lt;=$H156)),A_Scoring_Model!$C$14,0),IF($G156="Higher is better",IF(J156&gt;=$H156,A_Scoring_Model!$C$14,IF(J156&lt;$I156,0,A_Scoring_Model!$C$15+(A_Scoring_Model!$C$14-A_Scoring_Model!$C$15)*(J156-$I156)/($H156-$I156))),IF(J156&lt;=$H156,A_Scoring_Model!$C$14,IF(J156&gt;$I156,0,A_Scoring_Model!$C$15+(A_Scoring_Model!$C$14-A_Scoring_Model!$C$15)*($I156-J156)/($I156-$H156))))))</f>
        <v/>
      </c>
      <c r="O156" s="56" t="str">
        <f aca="false">IF(K156="","",IF($H156=$I156,IF(OR(AND($G156="Higher is better",K156&gt;=$H156),AND($G156="Lower is better",K156&lt;=$H156)),A_Scoring_Model!$C$14,0),IF($G156="Higher is better",IF(K156&gt;=$H156,A_Scoring_Model!$C$14,IF(K156&lt;$I156,0,A_Scoring_Model!$C$15+(A_Scoring_Model!$C$14-A_Scoring_Model!$C$15)*(K156-$I156)/($H156-$I156))),IF(K156&lt;=$H156,A_Scoring_Model!$C$14,IF(K156&gt;$I156,0,A_Scoring_Model!$C$15+(A_Scoring_Model!$C$14-A_Scoring_Model!$C$15)*($I156-K156)/($I156-$H156))))))</f>
        <v/>
      </c>
      <c r="P156" s="56" t="str">
        <f aca="false">IF(L156="","",IF($H156=$I156,IF(OR(AND($G156="Higher is better",L156&gt;=$H156),AND($G156="Lower is better",L156&lt;=$H156)),A_Scoring_Model!$C$14,0),IF($G156="Higher is better",IF(L156&gt;=$H156,A_Scoring_Model!$C$14,IF(L156&lt;$I156,0,A_Scoring_Model!$C$15+(A_Scoring_Model!$C$14-A_Scoring_Model!$C$15)*(L156-$I156)/($H156-$I156))),IF(L156&lt;=$H156,A_Scoring_Model!$C$14,IF(L156&gt;$I156,0,A_Scoring_Model!$C$15+(A_Scoring_Model!$C$14-A_Scoring_Model!$C$15)*($I156-L156)/($I156-$H156))))))</f>
        <v/>
      </c>
      <c r="Q156" s="56" t="str">
        <f aca="false">IF(M156="","",IF($H156=$I156,IF(OR(AND($G156="Higher is better",M156&gt;=$H156),AND($G156="Lower is better",M156&lt;=$H156)),A_Scoring_Model!$C$14,0),IF($G156="Higher is better",IF(M156&gt;=$H156,A_Scoring_Model!$C$14,IF(M156&lt;$I156,0,A_Scoring_Model!$C$15+(A_Scoring_Model!$C$14-A_Scoring_Model!$C$15)*(M156-$I156)/($H156-$I156))),IF(M156&lt;=$H156,A_Scoring_Model!$C$14,IF(M156&gt;$I156,0,A_Scoring_Model!$C$15+(A_Scoring_Model!$C$14-A_Scoring_Model!$C$15)*($I156-M156)/($I156-$H156))))))</f>
        <v/>
      </c>
    </row>
    <row r="157" customFormat="false" ht="23.85" hidden="false" customHeight="false" outlineLevel="0" collapsed="false">
      <c r="A157" s="51" t="str">
        <f aca="false">C_KPI_Benchmark!A157</f>
        <v>3.c-D3-09</v>
      </c>
      <c r="B157" s="52" t="str">
        <f aca="false">C_KPI_Benchmark!D157</f>
        <v>3.c</v>
      </c>
      <c r="C157" s="51" t="str">
        <f aca="false">C_KPI_Benchmark!E157</f>
        <v>Script Dev/Review &amp; Coverage Agent</v>
      </c>
      <c r="D157" s="52" t="str">
        <f aca="false">C_KPI_Benchmark!F157</f>
        <v>D3</v>
      </c>
      <c r="E157" s="51" t="str">
        <f aca="false">C_KPI_Benchmark!J157</f>
        <v>Latency degradation at 10× load</v>
      </c>
      <c r="F157" s="52" t="str">
        <f aca="false">C_KPI_Benchmark!K157</f>
        <v>%</v>
      </c>
      <c r="G157" s="51" t="str">
        <f aca="false">C_KPI_Benchmark!L157</f>
        <v>Lower is better</v>
      </c>
      <c r="H157" s="53" t="n">
        <f aca="false">C_KPI_Benchmark!N157</f>
        <v>0.2</v>
      </c>
      <c r="I157" s="54" t="n">
        <f aca="false">IF(C_KPI_Benchmark!O157&lt;&gt;"",C_KPI_Benchmark!O157,IF(G157="Higher is better",H157*(1-A_Scoring_Model!$C$16),H157*(1+A_Scoring_Model!$C$16)))</f>
        <v>0.4</v>
      </c>
      <c r="J157" s="55"/>
      <c r="K157" s="55"/>
      <c r="L157" s="55"/>
      <c r="M157" s="55"/>
      <c r="N157" s="56" t="str">
        <f aca="false">IF(J157="","",IF($H157=$I157,IF(OR(AND($G157="Higher is better",J157&gt;=$H157),AND($G157="Lower is better",J157&lt;=$H157)),A_Scoring_Model!$C$14,0),IF($G157="Higher is better",IF(J157&gt;=$H157,A_Scoring_Model!$C$14,IF(J157&lt;$I157,0,A_Scoring_Model!$C$15+(A_Scoring_Model!$C$14-A_Scoring_Model!$C$15)*(J157-$I157)/($H157-$I157))),IF(J157&lt;=$H157,A_Scoring_Model!$C$14,IF(J157&gt;$I157,0,A_Scoring_Model!$C$15+(A_Scoring_Model!$C$14-A_Scoring_Model!$C$15)*($I157-J157)/($I157-$H157))))))</f>
        <v/>
      </c>
      <c r="O157" s="56" t="str">
        <f aca="false">IF(K157="","",IF($H157=$I157,IF(OR(AND($G157="Higher is better",K157&gt;=$H157),AND($G157="Lower is better",K157&lt;=$H157)),A_Scoring_Model!$C$14,0),IF($G157="Higher is better",IF(K157&gt;=$H157,A_Scoring_Model!$C$14,IF(K157&lt;$I157,0,A_Scoring_Model!$C$15+(A_Scoring_Model!$C$14-A_Scoring_Model!$C$15)*(K157-$I157)/($H157-$I157))),IF(K157&lt;=$H157,A_Scoring_Model!$C$14,IF(K157&gt;$I157,0,A_Scoring_Model!$C$15+(A_Scoring_Model!$C$14-A_Scoring_Model!$C$15)*($I157-K157)/($I157-$H157))))))</f>
        <v/>
      </c>
      <c r="P157" s="56" t="str">
        <f aca="false">IF(L157="","",IF($H157=$I157,IF(OR(AND($G157="Higher is better",L157&gt;=$H157),AND($G157="Lower is better",L157&lt;=$H157)),A_Scoring_Model!$C$14,0),IF($G157="Higher is better",IF(L157&gt;=$H157,A_Scoring_Model!$C$14,IF(L157&lt;$I157,0,A_Scoring_Model!$C$15+(A_Scoring_Model!$C$14-A_Scoring_Model!$C$15)*(L157-$I157)/($H157-$I157))),IF(L157&lt;=$H157,A_Scoring_Model!$C$14,IF(L157&gt;$I157,0,A_Scoring_Model!$C$15+(A_Scoring_Model!$C$14-A_Scoring_Model!$C$15)*($I157-L157)/($I157-$H157))))))</f>
        <v/>
      </c>
      <c r="Q157" s="56" t="str">
        <f aca="false">IF(M157="","",IF($H157=$I157,IF(OR(AND($G157="Higher is better",M157&gt;=$H157),AND($G157="Lower is better",M157&lt;=$H157)),A_Scoring_Model!$C$14,0),IF($G157="Higher is better",IF(M157&gt;=$H157,A_Scoring_Model!$C$14,IF(M157&lt;$I157,0,A_Scoring_Model!$C$15+(A_Scoring_Model!$C$14-A_Scoring_Model!$C$15)*(M157-$I157)/($H157-$I157))),IF(M157&lt;=$H157,A_Scoring_Model!$C$14,IF(M157&gt;$I157,0,A_Scoring_Model!$C$15+(A_Scoring_Model!$C$14-A_Scoring_Model!$C$15)*($I157-M157)/($I157-$H157))))))</f>
        <v/>
      </c>
    </row>
    <row r="158" customFormat="false" ht="23.85" hidden="false" customHeight="false" outlineLevel="0" collapsed="false">
      <c r="A158" s="51" t="str">
        <f aca="false">C_KPI_Benchmark!A158</f>
        <v>3.c-D4-10</v>
      </c>
      <c r="B158" s="52" t="str">
        <f aca="false">C_KPI_Benchmark!D158</f>
        <v>3.c</v>
      </c>
      <c r="C158" s="51" t="str">
        <f aca="false">C_KPI_Benchmark!E158</f>
        <v>Script Dev/Review &amp; Coverage Agent</v>
      </c>
      <c r="D158" s="52" t="str">
        <f aca="false">C_KPI_Benchmark!F158</f>
        <v>D4</v>
      </c>
      <c r="E158" s="51" t="str">
        <f aca="false">C_KPI_Benchmark!J158</f>
        <v>SAST high findings in generated code</v>
      </c>
      <c r="F158" s="52" t="str">
        <f aca="false">C_KPI_Benchmark!K158</f>
        <v>count</v>
      </c>
      <c r="G158" s="51" t="str">
        <f aca="false">C_KPI_Benchmark!L158</f>
        <v>Lower is better</v>
      </c>
      <c r="H158" s="62" t="n">
        <f aca="false">C_KPI_Benchmark!N158</f>
        <v>0</v>
      </c>
      <c r="I158" s="63" t="n">
        <f aca="false">IF(C_KPI_Benchmark!O158&lt;&gt;"",C_KPI_Benchmark!O158,IF(G158="Higher is better",H158*(1-A_Scoring_Model!$C$16),H158*(1+A_Scoring_Model!$C$16)))</f>
        <v>0</v>
      </c>
      <c r="J158" s="64"/>
      <c r="K158" s="64"/>
      <c r="L158" s="64"/>
      <c r="M158" s="64"/>
      <c r="N158" s="56" t="str">
        <f aca="false">IF(J158="","",IF($H158=$I158,IF(OR(AND($G158="Higher is better",J158&gt;=$H158),AND($G158="Lower is better",J158&lt;=$H158)),A_Scoring_Model!$C$14,0),IF($G158="Higher is better",IF(J158&gt;=$H158,A_Scoring_Model!$C$14,IF(J158&lt;$I158,0,A_Scoring_Model!$C$15+(A_Scoring_Model!$C$14-A_Scoring_Model!$C$15)*(J158-$I158)/($H158-$I158))),IF(J158&lt;=$H158,A_Scoring_Model!$C$14,IF(J158&gt;$I158,0,A_Scoring_Model!$C$15+(A_Scoring_Model!$C$14-A_Scoring_Model!$C$15)*($I158-J158)/($I158-$H158))))))</f>
        <v/>
      </c>
      <c r="O158" s="56" t="str">
        <f aca="false">IF(K158="","",IF($H158=$I158,IF(OR(AND($G158="Higher is better",K158&gt;=$H158),AND($G158="Lower is better",K158&lt;=$H158)),A_Scoring_Model!$C$14,0),IF($G158="Higher is better",IF(K158&gt;=$H158,A_Scoring_Model!$C$14,IF(K158&lt;$I158,0,A_Scoring_Model!$C$15+(A_Scoring_Model!$C$14-A_Scoring_Model!$C$15)*(K158-$I158)/($H158-$I158))),IF(K158&lt;=$H158,A_Scoring_Model!$C$14,IF(K158&gt;$I158,0,A_Scoring_Model!$C$15+(A_Scoring_Model!$C$14-A_Scoring_Model!$C$15)*($I158-K158)/($I158-$H158))))))</f>
        <v/>
      </c>
      <c r="P158" s="56" t="str">
        <f aca="false">IF(L158="","",IF($H158=$I158,IF(OR(AND($G158="Higher is better",L158&gt;=$H158),AND($G158="Lower is better",L158&lt;=$H158)),A_Scoring_Model!$C$14,0),IF($G158="Higher is better",IF(L158&gt;=$H158,A_Scoring_Model!$C$14,IF(L158&lt;$I158,0,A_Scoring_Model!$C$15+(A_Scoring_Model!$C$14-A_Scoring_Model!$C$15)*(L158-$I158)/($H158-$I158))),IF(L158&lt;=$H158,A_Scoring_Model!$C$14,IF(L158&gt;$I158,0,A_Scoring_Model!$C$15+(A_Scoring_Model!$C$14-A_Scoring_Model!$C$15)*($I158-L158)/($I158-$H158))))))</f>
        <v/>
      </c>
      <c r="Q158" s="56" t="str">
        <f aca="false">IF(M158="","",IF($H158=$I158,IF(OR(AND($G158="Higher is better",M158&gt;=$H158),AND($G158="Lower is better",M158&lt;=$H158)),A_Scoring_Model!$C$14,0),IF($G158="Higher is better",IF(M158&gt;=$H158,A_Scoring_Model!$C$14,IF(M158&lt;$I158,0,A_Scoring_Model!$C$15+(A_Scoring_Model!$C$14-A_Scoring_Model!$C$15)*(M158-$I158)/($H158-$I158))),IF(M158&lt;=$H158,A_Scoring_Model!$C$14,IF(M158&gt;$I158,0,A_Scoring_Model!$C$15+(A_Scoring_Model!$C$14-A_Scoring_Model!$C$15)*($I158-M158)/($I158-$H158))))))</f>
        <v/>
      </c>
    </row>
    <row r="159" customFormat="false" ht="23.85" hidden="false" customHeight="false" outlineLevel="0" collapsed="false">
      <c r="A159" s="51" t="str">
        <f aca="false">C_KPI_Benchmark!A159</f>
        <v>3.c-D4-11</v>
      </c>
      <c r="B159" s="52" t="str">
        <f aca="false">C_KPI_Benchmark!D159</f>
        <v>3.c</v>
      </c>
      <c r="C159" s="51" t="str">
        <f aca="false">C_KPI_Benchmark!E159</f>
        <v>Script Dev/Review &amp; Coverage Agent</v>
      </c>
      <c r="D159" s="52" t="str">
        <f aca="false">C_KPI_Benchmark!F159</f>
        <v>D4</v>
      </c>
      <c r="E159" s="51" t="str">
        <f aca="false">C_KPI_Benchmark!J159</f>
        <v>Service availability</v>
      </c>
      <c r="F159" s="52" t="str">
        <f aca="false">C_KPI_Benchmark!K159</f>
        <v>%</v>
      </c>
      <c r="G159" s="51" t="str">
        <f aca="false">C_KPI_Benchmark!L159</f>
        <v>Higher is better</v>
      </c>
      <c r="H159" s="53" t="n">
        <f aca="false">C_KPI_Benchmark!N159</f>
        <v>0.995</v>
      </c>
      <c r="I159" s="54" t="n">
        <f aca="false">IF(C_KPI_Benchmark!O159&lt;&gt;"",C_KPI_Benchmark!O159,IF(G159="Higher is better",H159*(1-A_Scoring_Model!$C$16),H159*(1+A_Scoring_Model!$C$16)))</f>
        <v>0.99</v>
      </c>
      <c r="J159" s="55"/>
      <c r="K159" s="55"/>
      <c r="L159" s="55"/>
      <c r="M159" s="55"/>
      <c r="N159" s="56" t="str">
        <f aca="false">IF(J159="","",IF($H159=$I159,IF(OR(AND($G159="Higher is better",J159&gt;=$H159),AND($G159="Lower is better",J159&lt;=$H159)),A_Scoring_Model!$C$14,0),IF($G159="Higher is better",IF(J159&gt;=$H159,A_Scoring_Model!$C$14,IF(J159&lt;$I159,0,A_Scoring_Model!$C$15+(A_Scoring_Model!$C$14-A_Scoring_Model!$C$15)*(J159-$I159)/($H159-$I159))),IF(J159&lt;=$H159,A_Scoring_Model!$C$14,IF(J159&gt;$I159,0,A_Scoring_Model!$C$15+(A_Scoring_Model!$C$14-A_Scoring_Model!$C$15)*($I159-J159)/($I159-$H159))))))</f>
        <v/>
      </c>
      <c r="O159" s="56" t="str">
        <f aca="false">IF(K159="","",IF($H159=$I159,IF(OR(AND($G159="Higher is better",K159&gt;=$H159),AND($G159="Lower is better",K159&lt;=$H159)),A_Scoring_Model!$C$14,0),IF($G159="Higher is better",IF(K159&gt;=$H159,A_Scoring_Model!$C$14,IF(K159&lt;$I159,0,A_Scoring_Model!$C$15+(A_Scoring_Model!$C$14-A_Scoring_Model!$C$15)*(K159-$I159)/($H159-$I159))),IF(K159&lt;=$H159,A_Scoring_Model!$C$14,IF(K159&gt;$I159,0,A_Scoring_Model!$C$15+(A_Scoring_Model!$C$14-A_Scoring_Model!$C$15)*($I159-K159)/($I159-$H159))))))</f>
        <v/>
      </c>
      <c r="P159" s="56" t="str">
        <f aca="false">IF(L159="","",IF($H159=$I159,IF(OR(AND($G159="Higher is better",L159&gt;=$H159),AND($G159="Lower is better",L159&lt;=$H159)),A_Scoring_Model!$C$14,0),IF($G159="Higher is better",IF(L159&gt;=$H159,A_Scoring_Model!$C$14,IF(L159&lt;$I159,0,A_Scoring_Model!$C$15+(A_Scoring_Model!$C$14-A_Scoring_Model!$C$15)*(L159-$I159)/($H159-$I159))),IF(L159&lt;=$H159,A_Scoring_Model!$C$14,IF(L159&gt;$I159,0,A_Scoring_Model!$C$15+(A_Scoring_Model!$C$14-A_Scoring_Model!$C$15)*($I159-L159)/($I159-$H159))))))</f>
        <v/>
      </c>
      <c r="Q159" s="56" t="str">
        <f aca="false">IF(M159="","",IF($H159=$I159,IF(OR(AND($G159="Higher is better",M159&gt;=$H159),AND($G159="Lower is better",M159&lt;=$H159)),A_Scoring_Model!$C$14,0),IF($G159="Higher is better",IF(M159&gt;=$H159,A_Scoring_Model!$C$14,IF(M159&lt;$I159,0,A_Scoring_Model!$C$15+(A_Scoring_Model!$C$14-A_Scoring_Model!$C$15)*(M159-$I159)/($H159-$I159))),IF(M159&lt;=$H159,A_Scoring_Model!$C$14,IF(M159&gt;$I159,0,A_Scoring_Model!$C$15+(A_Scoring_Model!$C$14-A_Scoring_Model!$C$15)*($I159-M159)/($I159-$H159))))))</f>
        <v/>
      </c>
    </row>
    <row r="160" customFormat="false" ht="23.85" hidden="false" customHeight="false" outlineLevel="0" collapsed="false">
      <c r="A160" s="51" t="str">
        <f aca="false">C_KPI_Benchmark!A160</f>
        <v>3.c-D5-12</v>
      </c>
      <c r="B160" s="52" t="str">
        <f aca="false">C_KPI_Benchmark!D160</f>
        <v>3.c</v>
      </c>
      <c r="C160" s="51" t="str">
        <f aca="false">C_KPI_Benchmark!E160</f>
        <v>Script Dev/Review &amp; Coverage Agent</v>
      </c>
      <c r="D160" s="52" t="str">
        <f aca="false">C_KPI_Benchmark!F160</f>
        <v>D5</v>
      </c>
      <c r="E160" s="51" t="str">
        <f aca="false">C_KPI_Benchmark!J160</f>
        <v>Scripting effort reduction</v>
      </c>
      <c r="F160" s="52" t="str">
        <f aca="false">C_KPI_Benchmark!K160</f>
        <v>%</v>
      </c>
      <c r="G160" s="51" t="str">
        <f aca="false">C_KPI_Benchmark!L160</f>
        <v>Higher is better</v>
      </c>
      <c r="H160" s="53" t="n">
        <f aca="false">C_KPI_Benchmark!N160</f>
        <v>0.5</v>
      </c>
      <c r="I160" s="54" t="n">
        <f aca="false">IF(C_KPI_Benchmark!O160&lt;&gt;"",C_KPI_Benchmark!O160,IF(G160="Higher is better",H160*(1-A_Scoring_Model!$C$16),H160*(1+A_Scoring_Model!$C$16)))</f>
        <v>0.4</v>
      </c>
      <c r="J160" s="55"/>
      <c r="K160" s="55"/>
      <c r="L160" s="55"/>
      <c r="M160" s="55"/>
      <c r="N160" s="56" t="str">
        <f aca="false">IF(J160="","",IF($H160=$I160,IF(OR(AND($G160="Higher is better",J160&gt;=$H160),AND($G160="Lower is better",J160&lt;=$H160)),A_Scoring_Model!$C$14,0),IF($G160="Higher is better",IF(J160&gt;=$H160,A_Scoring_Model!$C$14,IF(J160&lt;$I160,0,A_Scoring_Model!$C$15+(A_Scoring_Model!$C$14-A_Scoring_Model!$C$15)*(J160-$I160)/($H160-$I160))),IF(J160&lt;=$H160,A_Scoring_Model!$C$14,IF(J160&gt;$I160,0,A_Scoring_Model!$C$15+(A_Scoring_Model!$C$14-A_Scoring_Model!$C$15)*($I160-J160)/($I160-$H160))))))</f>
        <v/>
      </c>
      <c r="O160" s="56" t="str">
        <f aca="false">IF(K160="","",IF($H160=$I160,IF(OR(AND($G160="Higher is better",K160&gt;=$H160),AND($G160="Lower is better",K160&lt;=$H160)),A_Scoring_Model!$C$14,0),IF($G160="Higher is better",IF(K160&gt;=$H160,A_Scoring_Model!$C$14,IF(K160&lt;$I160,0,A_Scoring_Model!$C$15+(A_Scoring_Model!$C$14-A_Scoring_Model!$C$15)*(K160-$I160)/($H160-$I160))),IF(K160&lt;=$H160,A_Scoring_Model!$C$14,IF(K160&gt;$I160,0,A_Scoring_Model!$C$15+(A_Scoring_Model!$C$14-A_Scoring_Model!$C$15)*($I160-K160)/($I160-$H160))))))</f>
        <v/>
      </c>
      <c r="P160" s="56" t="str">
        <f aca="false">IF(L160="","",IF($H160=$I160,IF(OR(AND($G160="Higher is better",L160&gt;=$H160),AND($G160="Lower is better",L160&lt;=$H160)),A_Scoring_Model!$C$14,0),IF($G160="Higher is better",IF(L160&gt;=$H160,A_Scoring_Model!$C$14,IF(L160&lt;$I160,0,A_Scoring_Model!$C$15+(A_Scoring_Model!$C$14-A_Scoring_Model!$C$15)*(L160-$I160)/($H160-$I160))),IF(L160&lt;=$H160,A_Scoring_Model!$C$14,IF(L160&gt;$I160,0,A_Scoring_Model!$C$15+(A_Scoring_Model!$C$14-A_Scoring_Model!$C$15)*($I160-L160)/($I160-$H160))))))</f>
        <v/>
      </c>
      <c r="Q160" s="56" t="str">
        <f aca="false">IF(M160="","",IF($H160=$I160,IF(OR(AND($G160="Higher is better",M160&gt;=$H160),AND($G160="Lower is better",M160&lt;=$H160)),A_Scoring_Model!$C$14,0),IF($G160="Higher is better",IF(M160&gt;=$H160,A_Scoring_Model!$C$14,IF(M160&lt;$I160,0,A_Scoring_Model!$C$15+(A_Scoring_Model!$C$14-A_Scoring_Model!$C$15)*(M160-$I160)/($H160-$I160))),IF(M160&lt;=$H160,A_Scoring_Model!$C$14,IF(M160&gt;$I160,0,A_Scoring_Model!$C$15+(A_Scoring_Model!$C$14-A_Scoring_Model!$C$15)*($I160-M160)/($I160-$H160))))))</f>
        <v/>
      </c>
    </row>
    <row r="161" customFormat="false" ht="23.85" hidden="false" customHeight="false" outlineLevel="0" collapsed="false">
      <c r="A161" s="51" t="str">
        <f aca="false">C_KPI_Benchmark!A161</f>
        <v>3.c-D5-13</v>
      </c>
      <c r="B161" s="52" t="str">
        <f aca="false">C_KPI_Benchmark!D161</f>
        <v>3.c</v>
      </c>
      <c r="C161" s="51" t="str">
        <f aca="false">C_KPI_Benchmark!E161</f>
        <v>Script Dev/Review &amp; Coverage Agent</v>
      </c>
      <c r="D161" s="52" t="str">
        <f aca="false">C_KPI_Benchmark!F161</f>
        <v>D5</v>
      </c>
      <c r="E161" s="51" t="str">
        <f aca="false">C_KPI_Benchmark!J161</f>
        <v>Review turnaround reduction</v>
      </c>
      <c r="F161" s="52" t="str">
        <f aca="false">C_KPI_Benchmark!K161</f>
        <v>%</v>
      </c>
      <c r="G161" s="51" t="str">
        <f aca="false">C_KPI_Benchmark!L161</f>
        <v>Higher is better</v>
      </c>
      <c r="H161" s="53" t="n">
        <f aca="false">C_KPI_Benchmark!N161</f>
        <v>0.6</v>
      </c>
      <c r="I161" s="54" t="n">
        <f aca="false">IF(C_KPI_Benchmark!O161&lt;&gt;"",C_KPI_Benchmark!O161,IF(G161="Higher is better",H161*(1-A_Scoring_Model!$C$16),H161*(1+A_Scoring_Model!$C$16)))</f>
        <v>0.48</v>
      </c>
      <c r="J161" s="55"/>
      <c r="K161" s="55"/>
      <c r="L161" s="55"/>
      <c r="M161" s="55"/>
      <c r="N161" s="56" t="str">
        <f aca="false">IF(J161="","",IF($H161=$I161,IF(OR(AND($G161="Higher is better",J161&gt;=$H161),AND($G161="Lower is better",J161&lt;=$H161)),A_Scoring_Model!$C$14,0),IF($G161="Higher is better",IF(J161&gt;=$H161,A_Scoring_Model!$C$14,IF(J161&lt;$I161,0,A_Scoring_Model!$C$15+(A_Scoring_Model!$C$14-A_Scoring_Model!$C$15)*(J161-$I161)/($H161-$I161))),IF(J161&lt;=$H161,A_Scoring_Model!$C$14,IF(J161&gt;$I161,0,A_Scoring_Model!$C$15+(A_Scoring_Model!$C$14-A_Scoring_Model!$C$15)*($I161-J161)/($I161-$H161))))))</f>
        <v/>
      </c>
      <c r="O161" s="56" t="str">
        <f aca="false">IF(K161="","",IF($H161=$I161,IF(OR(AND($G161="Higher is better",K161&gt;=$H161),AND($G161="Lower is better",K161&lt;=$H161)),A_Scoring_Model!$C$14,0),IF($G161="Higher is better",IF(K161&gt;=$H161,A_Scoring_Model!$C$14,IF(K161&lt;$I161,0,A_Scoring_Model!$C$15+(A_Scoring_Model!$C$14-A_Scoring_Model!$C$15)*(K161-$I161)/($H161-$I161))),IF(K161&lt;=$H161,A_Scoring_Model!$C$14,IF(K161&gt;$I161,0,A_Scoring_Model!$C$15+(A_Scoring_Model!$C$14-A_Scoring_Model!$C$15)*($I161-K161)/($I161-$H161))))))</f>
        <v/>
      </c>
      <c r="P161" s="56" t="str">
        <f aca="false">IF(L161="","",IF($H161=$I161,IF(OR(AND($G161="Higher is better",L161&gt;=$H161),AND($G161="Lower is better",L161&lt;=$H161)),A_Scoring_Model!$C$14,0),IF($G161="Higher is better",IF(L161&gt;=$H161,A_Scoring_Model!$C$14,IF(L161&lt;$I161,0,A_Scoring_Model!$C$15+(A_Scoring_Model!$C$14-A_Scoring_Model!$C$15)*(L161-$I161)/($H161-$I161))),IF(L161&lt;=$H161,A_Scoring_Model!$C$14,IF(L161&gt;$I161,0,A_Scoring_Model!$C$15+(A_Scoring_Model!$C$14-A_Scoring_Model!$C$15)*($I161-L161)/($I161-$H161))))))</f>
        <v/>
      </c>
      <c r="Q161" s="56" t="str">
        <f aca="false">IF(M161="","",IF($H161=$I161,IF(OR(AND($G161="Higher is better",M161&gt;=$H161),AND($G161="Lower is better",M161&lt;=$H161)),A_Scoring_Model!$C$14,0),IF($G161="Higher is better",IF(M161&gt;=$H161,A_Scoring_Model!$C$14,IF(M161&lt;$I161,0,A_Scoring_Model!$C$15+(A_Scoring_Model!$C$14-A_Scoring_Model!$C$15)*(M161-$I161)/($H161-$I161))),IF(M161&lt;=$H161,A_Scoring_Model!$C$14,IF(M161&gt;$I161,0,A_Scoring_Model!$C$15+(A_Scoring_Model!$C$14-A_Scoring_Model!$C$15)*($I161-M161)/($I161-$H161))))))</f>
        <v/>
      </c>
    </row>
    <row r="162" customFormat="false" ht="23.85" hidden="false" customHeight="false" outlineLevel="0" collapsed="false">
      <c r="A162" s="51" t="str">
        <f aca="false">C_KPI_Benchmark!A162</f>
        <v>3.c-D6-14</v>
      </c>
      <c r="B162" s="52" t="str">
        <f aca="false">C_KPI_Benchmark!D162</f>
        <v>3.c</v>
      </c>
      <c r="C162" s="51" t="str">
        <f aca="false">C_KPI_Benchmark!E162</f>
        <v>Script Dev/Review &amp; Coverage Agent</v>
      </c>
      <c r="D162" s="52" t="str">
        <f aca="false">C_KPI_Benchmark!F162</f>
        <v>D6</v>
      </c>
      <c r="E162" s="51" t="str">
        <f aca="false">C_KPI_Benchmark!J162</f>
        <v>Solution code test coverage</v>
      </c>
      <c r="F162" s="52" t="str">
        <f aca="false">C_KPI_Benchmark!K162</f>
        <v>%</v>
      </c>
      <c r="G162" s="51" t="str">
        <f aca="false">C_KPI_Benchmark!L162</f>
        <v>Higher is better</v>
      </c>
      <c r="H162" s="53" t="n">
        <f aca="false">C_KPI_Benchmark!N162</f>
        <v>0.8</v>
      </c>
      <c r="I162" s="54" t="n">
        <f aca="false">IF(C_KPI_Benchmark!O162&lt;&gt;"",C_KPI_Benchmark!O162,IF(G162="Higher is better",H162*(1-A_Scoring_Model!$C$16),H162*(1+A_Scoring_Model!$C$16)))</f>
        <v>0.6</v>
      </c>
      <c r="J162" s="55"/>
      <c r="K162" s="55"/>
      <c r="L162" s="55"/>
      <c r="M162" s="55"/>
      <c r="N162" s="56" t="str">
        <f aca="false">IF(J162="","",IF($H162=$I162,IF(OR(AND($G162="Higher is better",J162&gt;=$H162),AND($G162="Lower is better",J162&lt;=$H162)),A_Scoring_Model!$C$14,0),IF($G162="Higher is better",IF(J162&gt;=$H162,A_Scoring_Model!$C$14,IF(J162&lt;$I162,0,A_Scoring_Model!$C$15+(A_Scoring_Model!$C$14-A_Scoring_Model!$C$15)*(J162-$I162)/($H162-$I162))),IF(J162&lt;=$H162,A_Scoring_Model!$C$14,IF(J162&gt;$I162,0,A_Scoring_Model!$C$15+(A_Scoring_Model!$C$14-A_Scoring_Model!$C$15)*($I162-J162)/($I162-$H162))))))</f>
        <v/>
      </c>
      <c r="O162" s="56" t="str">
        <f aca="false">IF(K162="","",IF($H162=$I162,IF(OR(AND($G162="Higher is better",K162&gt;=$H162),AND($G162="Lower is better",K162&lt;=$H162)),A_Scoring_Model!$C$14,0),IF($G162="Higher is better",IF(K162&gt;=$H162,A_Scoring_Model!$C$14,IF(K162&lt;$I162,0,A_Scoring_Model!$C$15+(A_Scoring_Model!$C$14-A_Scoring_Model!$C$15)*(K162-$I162)/($H162-$I162))),IF(K162&lt;=$H162,A_Scoring_Model!$C$14,IF(K162&gt;$I162,0,A_Scoring_Model!$C$15+(A_Scoring_Model!$C$14-A_Scoring_Model!$C$15)*($I162-K162)/($I162-$H162))))))</f>
        <v/>
      </c>
      <c r="P162" s="56" t="str">
        <f aca="false">IF(L162="","",IF($H162=$I162,IF(OR(AND($G162="Higher is better",L162&gt;=$H162),AND($G162="Lower is better",L162&lt;=$H162)),A_Scoring_Model!$C$14,0),IF($G162="Higher is better",IF(L162&gt;=$H162,A_Scoring_Model!$C$14,IF(L162&lt;$I162,0,A_Scoring_Model!$C$15+(A_Scoring_Model!$C$14-A_Scoring_Model!$C$15)*(L162-$I162)/($H162-$I162))),IF(L162&lt;=$H162,A_Scoring_Model!$C$14,IF(L162&gt;$I162,0,A_Scoring_Model!$C$15+(A_Scoring_Model!$C$14-A_Scoring_Model!$C$15)*($I162-L162)/($I162-$H162))))))</f>
        <v/>
      </c>
      <c r="Q162" s="56" t="str">
        <f aca="false">IF(M162="","",IF($H162=$I162,IF(OR(AND($G162="Higher is better",M162&gt;=$H162),AND($G162="Lower is better",M162&lt;=$H162)),A_Scoring_Model!$C$14,0),IF($G162="Higher is better",IF(M162&gt;=$H162,A_Scoring_Model!$C$14,IF(M162&lt;$I162,0,A_Scoring_Model!$C$15+(A_Scoring_Model!$C$14-A_Scoring_Model!$C$15)*(M162-$I162)/($H162-$I162))),IF(M162&lt;=$H162,A_Scoring_Model!$C$14,IF(M162&gt;$I162,0,A_Scoring_Model!$C$15+(A_Scoring_Model!$C$14-A_Scoring_Model!$C$15)*($I162-M162)/($I162-$H162))))))</f>
        <v/>
      </c>
    </row>
    <row r="163" customFormat="false" ht="23.85" hidden="false" customHeight="false" outlineLevel="0" collapsed="false">
      <c r="A163" s="51" t="str">
        <f aca="false">C_KPI_Benchmark!A163</f>
        <v>3.c-D6-15</v>
      </c>
      <c r="B163" s="52" t="str">
        <f aca="false">C_KPI_Benchmark!D163</f>
        <v>3.c</v>
      </c>
      <c r="C163" s="51" t="str">
        <f aca="false">C_KPI_Benchmark!E163</f>
        <v>Script Dev/Review &amp; Coverage Agent</v>
      </c>
      <c r="D163" s="52" t="str">
        <f aca="false">C_KPI_Benchmark!F163</f>
        <v>D6</v>
      </c>
      <c r="E163" s="51" t="str">
        <f aca="false">C_KPI_Benchmark!J163</f>
        <v>Review Shield critical findings</v>
      </c>
      <c r="F163" s="52" t="str">
        <f aca="false">C_KPI_Benchmark!K163</f>
        <v>count</v>
      </c>
      <c r="G163" s="51" t="str">
        <f aca="false">C_KPI_Benchmark!L163</f>
        <v>Lower is better</v>
      </c>
      <c r="H163" s="62" t="n">
        <f aca="false">C_KPI_Benchmark!N163</f>
        <v>0</v>
      </c>
      <c r="I163" s="63" t="n">
        <f aca="false">IF(C_KPI_Benchmark!O163&lt;&gt;"",C_KPI_Benchmark!O163,IF(G163="Higher is better",H163*(1-A_Scoring_Model!$C$16),H163*(1+A_Scoring_Model!$C$16)))</f>
        <v>0</v>
      </c>
      <c r="J163" s="64"/>
      <c r="K163" s="64"/>
      <c r="L163" s="64"/>
      <c r="M163" s="64"/>
      <c r="N163" s="56" t="str">
        <f aca="false">IF(J163="","",IF($H163=$I163,IF(OR(AND($G163="Higher is better",J163&gt;=$H163),AND($G163="Lower is better",J163&lt;=$H163)),A_Scoring_Model!$C$14,0),IF($G163="Higher is better",IF(J163&gt;=$H163,A_Scoring_Model!$C$14,IF(J163&lt;$I163,0,A_Scoring_Model!$C$15+(A_Scoring_Model!$C$14-A_Scoring_Model!$C$15)*(J163-$I163)/($H163-$I163))),IF(J163&lt;=$H163,A_Scoring_Model!$C$14,IF(J163&gt;$I163,0,A_Scoring_Model!$C$15+(A_Scoring_Model!$C$14-A_Scoring_Model!$C$15)*($I163-J163)/($I163-$H163))))))</f>
        <v/>
      </c>
      <c r="O163" s="56" t="str">
        <f aca="false">IF(K163="","",IF($H163=$I163,IF(OR(AND($G163="Higher is better",K163&gt;=$H163),AND($G163="Lower is better",K163&lt;=$H163)),A_Scoring_Model!$C$14,0),IF($G163="Higher is better",IF(K163&gt;=$H163,A_Scoring_Model!$C$14,IF(K163&lt;$I163,0,A_Scoring_Model!$C$15+(A_Scoring_Model!$C$14-A_Scoring_Model!$C$15)*(K163-$I163)/($H163-$I163))),IF(K163&lt;=$H163,A_Scoring_Model!$C$14,IF(K163&gt;$I163,0,A_Scoring_Model!$C$15+(A_Scoring_Model!$C$14-A_Scoring_Model!$C$15)*($I163-K163)/($I163-$H163))))))</f>
        <v/>
      </c>
      <c r="P163" s="56" t="str">
        <f aca="false">IF(L163="","",IF($H163=$I163,IF(OR(AND($G163="Higher is better",L163&gt;=$H163),AND($G163="Lower is better",L163&lt;=$H163)),A_Scoring_Model!$C$14,0),IF($G163="Higher is better",IF(L163&gt;=$H163,A_Scoring_Model!$C$14,IF(L163&lt;$I163,0,A_Scoring_Model!$C$15+(A_Scoring_Model!$C$14-A_Scoring_Model!$C$15)*(L163-$I163)/($H163-$I163))),IF(L163&lt;=$H163,A_Scoring_Model!$C$14,IF(L163&gt;$I163,0,A_Scoring_Model!$C$15+(A_Scoring_Model!$C$14-A_Scoring_Model!$C$15)*($I163-L163)/($I163-$H163))))))</f>
        <v/>
      </c>
      <c r="Q163" s="56" t="str">
        <f aca="false">IF(M163="","",IF($H163=$I163,IF(OR(AND($G163="Higher is better",M163&gt;=$H163),AND($G163="Lower is better",M163&lt;=$H163)),A_Scoring_Model!$C$14,0),IF($G163="Higher is better",IF(M163&gt;=$H163,A_Scoring_Model!$C$14,IF(M163&lt;$I163,0,A_Scoring_Model!$C$15+(A_Scoring_Model!$C$14-A_Scoring_Model!$C$15)*(M163-$I163)/($H163-$I163))),IF(M163&lt;=$H163,A_Scoring_Model!$C$14,IF(M163&gt;$I163,0,A_Scoring_Model!$C$15+(A_Scoring_Model!$C$14-A_Scoring_Model!$C$15)*($I163-M163)/($I163-$H163))))))</f>
        <v/>
      </c>
    </row>
    <row r="164" customFormat="false" ht="23.85" hidden="false" customHeight="false" outlineLevel="0" collapsed="false">
      <c r="A164" s="51" t="str">
        <f aca="false">C_KPI_Benchmark!A164</f>
        <v>3.c-D6-16</v>
      </c>
      <c r="B164" s="52" t="str">
        <f aca="false">C_KPI_Benchmark!D164</f>
        <v>3.c</v>
      </c>
      <c r="C164" s="51" t="str">
        <f aca="false">C_KPI_Benchmark!E164</f>
        <v>Script Dev/Review &amp; Coverage Agent</v>
      </c>
      <c r="D164" s="52" t="str">
        <f aca="false">C_KPI_Benchmark!F164</f>
        <v>D6</v>
      </c>
      <c r="E164" s="51" t="str">
        <f aca="false">C_KPI_Benchmark!J164</f>
        <v>SAST high findings and exposed secrets</v>
      </c>
      <c r="F164" s="52" t="str">
        <f aca="false">C_KPI_Benchmark!K164</f>
        <v>count</v>
      </c>
      <c r="G164" s="51" t="str">
        <f aca="false">C_KPI_Benchmark!L164</f>
        <v>Lower is better</v>
      </c>
      <c r="H164" s="62" t="n">
        <f aca="false">C_KPI_Benchmark!N164</f>
        <v>0</v>
      </c>
      <c r="I164" s="63" t="n">
        <f aca="false">IF(C_KPI_Benchmark!O164&lt;&gt;"",C_KPI_Benchmark!O164,IF(G164="Higher is better",H164*(1-A_Scoring_Model!$C$16),H164*(1+A_Scoring_Model!$C$16)))</f>
        <v>0</v>
      </c>
      <c r="J164" s="64"/>
      <c r="K164" s="64"/>
      <c r="L164" s="64"/>
      <c r="M164" s="64"/>
      <c r="N164" s="56" t="str">
        <f aca="false">IF(J164="","",IF($H164=$I164,IF(OR(AND($G164="Higher is better",J164&gt;=$H164),AND($G164="Lower is better",J164&lt;=$H164)),A_Scoring_Model!$C$14,0),IF($G164="Higher is better",IF(J164&gt;=$H164,A_Scoring_Model!$C$14,IF(J164&lt;$I164,0,A_Scoring_Model!$C$15+(A_Scoring_Model!$C$14-A_Scoring_Model!$C$15)*(J164-$I164)/($H164-$I164))),IF(J164&lt;=$H164,A_Scoring_Model!$C$14,IF(J164&gt;$I164,0,A_Scoring_Model!$C$15+(A_Scoring_Model!$C$14-A_Scoring_Model!$C$15)*($I164-J164)/($I164-$H164))))))</f>
        <v/>
      </c>
      <c r="O164" s="56" t="str">
        <f aca="false">IF(K164="","",IF($H164=$I164,IF(OR(AND($G164="Higher is better",K164&gt;=$H164),AND($G164="Lower is better",K164&lt;=$H164)),A_Scoring_Model!$C$14,0),IF($G164="Higher is better",IF(K164&gt;=$H164,A_Scoring_Model!$C$14,IF(K164&lt;$I164,0,A_Scoring_Model!$C$15+(A_Scoring_Model!$C$14-A_Scoring_Model!$C$15)*(K164-$I164)/($H164-$I164))),IF(K164&lt;=$H164,A_Scoring_Model!$C$14,IF(K164&gt;$I164,0,A_Scoring_Model!$C$15+(A_Scoring_Model!$C$14-A_Scoring_Model!$C$15)*($I164-K164)/($I164-$H164))))))</f>
        <v/>
      </c>
      <c r="P164" s="56" t="str">
        <f aca="false">IF(L164="","",IF($H164=$I164,IF(OR(AND($G164="Higher is better",L164&gt;=$H164),AND($G164="Lower is better",L164&lt;=$H164)),A_Scoring_Model!$C$14,0),IF($G164="Higher is better",IF(L164&gt;=$H164,A_Scoring_Model!$C$14,IF(L164&lt;$I164,0,A_Scoring_Model!$C$15+(A_Scoring_Model!$C$14-A_Scoring_Model!$C$15)*(L164-$I164)/($H164-$I164))),IF(L164&lt;=$H164,A_Scoring_Model!$C$14,IF(L164&gt;$I164,0,A_Scoring_Model!$C$15+(A_Scoring_Model!$C$14-A_Scoring_Model!$C$15)*($I164-L164)/($I164-$H164))))))</f>
        <v/>
      </c>
      <c r="Q164" s="56" t="str">
        <f aca="false">IF(M164="","",IF($H164=$I164,IF(OR(AND($G164="Higher is better",M164&gt;=$H164),AND($G164="Lower is better",M164&lt;=$H164)),A_Scoring_Model!$C$14,0),IF($G164="Higher is better",IF(M164&gt;=$H164,A_Scoring_Model!$C$14,IF(M164&lt;$I164,0,A_Scoring_Model!$C$15+(A_Scoring_Model!$C$14-A_Scoring_Model!$C$15)*(M164-$I164)/($H164-$I164))),IF(M164&lt;=$H164,A_Scoring_Model!$C$14,IF(M164&gt;$I164,0,A_Scoring_Model!$C$15+(A_Scoring_Model!$C$14-A_Scoring_Model!$C$15)*($I164-M164)/($I164-$H164))))))</f>
        <v/>
      </c>
    </row>
    <row r="165" customFormat="false" ht="23.85" hidden="false" customHeight="false" outlineLevel="0" collapsed="false">
      <c r="A165" s="51" t="str">
        <f aca="false">C_KPI_Benchmark!A165</f>
        <v>3.c-D6-17</v>
      </c>
      <c r="B165" s="52" t="str">
        <f aca="false">C_KPI_Benchmark!D165</f>
        <v>3.c</v>
      </c>
      <c r="C165" s="51" t="str">
        <f aca="false">C_KPI_Benchmark!E165</f>
        <v>Script Dev/Review &amp; Coverage Agent</v>
      </c>
      <c r="D165" s="52" t="str">
        <f aca="false">C_KPI_Benchmark!F165</f>
        <v>D6</v>
      </c>
      <c r="E165" s="51" t="str">
        <f aca="false">C_KPI_Benchmark!J165</f>
        <v>Documentation pack complete (README, I/O contract, model card, runbook)</v>
      </c>
      <c r="F165" s="52" t="str">
        <f aca="false">C_KPI_Benchmark!K165</f>
        <v>Yes/No</v>
      </c>
      <c r="G165" s="51" t="str">
        <f aca="false">C_KPI_Benchmark!L165</f>
        <v>Higher is better</v>
      </c>
      <c r="H165" s="60" t="n">
        <f aca="false">C_KPI_Benchmark!N165</f>
        <v>1</v>
      </c>
      <c r="I165" s="56" t="n">
        <f aca="false">IF(C_KPI_Benchmark!O165&lt;&gt;"",C_KPI_Benchmark!O165,IF(G165="Higher is better",H165*(1-A_Scoring_Model!$C$16),H165*(1+A_Scoring_Model!$C$16)))</f>
        <v>0.8</v>
      </c>
      <c r="J165" s="61"/>
      <c r="K165" s="61"/>
      <c r="L165" s="61"/>
      <c r="M165" s="61"/>
      <c r="N165" s="56" t="str">
        <f aca="false">IF(J165="","",IF($H165=$I165,IF(OR(AND($G165="Higher is better",J165&gt;=$H165),AND($G165="Lower is better",J165&lt;=$H165)),A_Scoring_Model!$C$14,0),IF($G165="Higher is better",IF(J165&gt;=$H165,A_Scoring_Model!$C$14,IF(J165&lt;$I165,0,A_Scoring_Model!$C$15+(A_Scoring_Model!$C$14-A_Scoring_Model!$C$15)*(J165-$I165)/($H165-$I165))),IF(J165&lt;=$H165,A_Scoring_Model!$C$14,IF(J165&gt;$I165,0,A_Scoring_Model!$C$15+(A_Scoring_Model!$C$14-A_Scoring_Model!$C$15)*($I165-J165)/($I165-$H165))))))</f>
        <v/>
      </c>
      <c r="O165" s="56" t="str">
        <f aca="false">IF(K165="","",IF($H165=$I165,IF(OR(AND($G165="Higher is better",K165&gt;=$H165),AND($G165="Lower is better",K165&lt;=$H165)),A_Scoring_Model!$C$14,0),IF($G165="Higher is better",IF(K165&gt;=$H165,A_Scoring_Model!$C$14,IF(K165&lt;$I165,0,A_Scoring_Model!$C$15+(A_Scoring_Model!$C$14-A_Scoring_Model!$C$15)*(K165-$I165)/($H165-$I165))),IF(K165&lt;=$H165,A_Scoring_Model!$C$14,IF(K165&gt;$I165,0,A_Scoring_Model!$C$15+(A_Scoring_Model!$C$14-A_Scoring_Model!$C$15)*($I165-K165)/($I165-$H165))))))</f>
        <v/>
      </c>
      <c r="P165" s="56" t="str">
        <f aca="false">IF(L165="","",IF($H165=$I165,IF(OR(AND($G165="Higher is better",L165&gt;=$H165),AND($G165="Lower is better",L165&lt;=$H165)),A_Scoring_Model!$C$14,0),IF($G165="Higher is better",IF(L165&gt;=$H165,A_Scoring_Model!$C$14,IF(L165&lt;$I165,0,A_Scoring_Model!$C$15+(A_Scoring_Model!$C$14-A_Scoring_Model!$C$15)*(L165-$I165)/($H165-$I165))),IF(L165&lt;=$H165,A_Scoring_Model!$C$14,IF(L165&gt;$I165,0,A_Scoring_Model!$C$15+(A_Scoring_Model!$C$14-A_Scoring_Model!$C$15)*($I165-L165)/($I165-$H165))))))</f>
        <v/>
      </c>
      <c r="Q165" s="56" t="str">
        <f aca="false">IF(M165="","",IF($H165=$I165,IF(OR(AND($G165="Higher is better",M165&gt;=$H165),AND($G165="Lower is better",M165&lt;=$H165)),A_Scoring_Model!$C$14,0),IF($G165="Higher is better",IF(M165&gt;=$H165,A_Scoring_Model!$C$14,IF(M165&lt;$I165,0,A_Scoring_Model!$C$15+(A_Scoring_Model!$C$14-A_Scoring_Model!$C$15)*(M165-$I165)/($H165-$I165))),IF(M165&lt;=$H165,A_Scoring_Model!$C$14,IF(M165&gt;$I165,0,A_Scoring_Model!$C$15+(A_Scoring_Model!$C$14-A_Scoring_Model!$C$15)*($I165-M165)/($I165-$H165))))))</f>
        <v/>
      </c>
    </row>
    <row r="166" customFormat="false" ht="23.85" hidden="false" customHeight="false" outlineLevel="0" collapsed="false">
      <c r="A166" s="51" t="str">
        <f aca="false">C_KPI_Benchmark!A166</f>
        <v>3.c-D6-18</v>
      </c>
      <c r="B166" s="52" t="str">
        <f aca="false">C_KPI_Benchmark!D166</f>
        <v>3.c</v>
      </c>
      <c r="C166" s="51" t="str">
        <f aca="false">C_KPI_Benchmark!E166</f>
        <v>Script Dev/Review &amp; Coverage Agent</v>
      </c>
      <c r="D166" s="52" t="str">
        <f aca="false">C_KPI_Benchmark!F166</f>
        <v>D6</v>
      </c>
      <c r="E166" s="51" t="str">
        <f aca="false">C_KPI_Benchmark!J166</f>
        <v>Named owner and support SLA</v>
      </c>
      <c r="F166" s="52" t="str">
        <f aca="false">C_KPI_Benchmark!K166</f>
        <v>Yes/No</v>
      </c>
      <c r="G166" s="51" t="str">
        <f aca="false">C_KPI_Benchmark!L166</f>
        <v>Higher is better</v>
      </c>
      <c r="H166" s="60" t="n">
        <f aca="false">C_KPI_Benchmark!N166</f>
        <v>1</v>
      </c>
      <c r="I166" s="56" t="n">
        <f aca="false">IF(C_KPI_Benchmark!O166&lt;&gt;"",C_KPI_Benchmark!O166,IF(G166="Higher is better",H166*(1-A_Scoring_Model!$C$16),H166*(1+A_Scoring_Model!$C$16)))</f>
        <v>0.8</v>
      </c>
      <c r="J166" s="61"/>
      <c r="K166" s="61"/>
      <c r="L166" s="61"/>
      <c r="M166" s="61"/>
      <c r="N166" s="56" t="str">
        <f aca="false">IF(J166="","",IF($H166=$I166,IF(OR(AND($G166="Higher is better",J166&gt;=$H166),AND($G166="Lower is better",J166&lt;=$H166)),A_Scoring_Model!$C$14,0),IF($G166="Higher is better",IF(J166&gt;=$H166,A_Scoring_Model!$C$14,IF(J166&lt;$I166,0,A_Scoring_Model!$C$15+(A_Scoring_Model!$C$14-A_Scoring_Model!$C$15)*(J166-$I166)/($H166-$I166))),IF(J166&lt;=$H166,A_Scoring_Model!$C$14,IF(J166&gt;$I166,0,A_Scoring_Model!$C$15+(A_Scoring_Model!$C$14-A_Scoring_Model!$C$15)*($I166-J166)/($I166-$H166))))))</f>
        <v/>
      </c>
      <c r="O166" s="56" t="str">
        <f aca="false">IF(K166="","",IF($H166=$I166,IF(OR(AND($G166="Higher is better",K166&gt;=$H166),AND($G166="Lower is better",K166&lt;=$H166)),A_Scoring_Model!$C$14,0),IF($G166="Higher is better",IF(K166&gt;=$H166,A_Scoring_Model!$C$14,IF(K166&lt;$I166,0,A_Scoring_Model!$C$15+(A_Scoring_Model!$C$14-A_Scoring_Model!$C$15)*(K166-$I166)/($H166-$I166))),IF(K166&lt;=$H166,A_Scoring_Model!$C$14,IF(K166&gt;$I166,0,A_Scoring_Model!$C$15+(A_Scoring_Model!$C$14-A_Scoring_Model!$C$15)*($I166-K166)/($I166-$H166))))))</f>
        <v/>
      </c>
      <c r="P166" s="56" t="str">
        <f aca="false">IF(L166="","",IF($H166=$I166,IF(OR(AND($G166="Higher is better",L166&gt;=$H166),AND($G166="Lower is better",L166&lt;=$H166)),A_Scoring_Model!$C$14,0),IF($G166="Higher is better",IF(L166&gt;=$H166,A_Scoring_Model!$C$14,IF(L166&lt;$I166,0,A_Scoring_Model!$C$15+(A_Scoring_Model!$C$14-A_Scoring_Model!$C$15)*(L166-$I166)/($H166-$I166))),IF(L166&lt;=$H166,A_Scoring_Model!$C$14,IF(L166&gt;$I166,0,A_Scoring_Model!$C$15+(A_Scoring_Model!$C$14-A_Scoring_Model!$C$15)*($I166-L166)/($I166-$H166))))))</f>
        <v/>
      </c>
      <c r="Q166" s="56" t="str">
        <f aca="false">IF(M166="","",IF($H166=$I166,IF(OR(AND($G166="Higher is better",M166&gt;=$H166),AND($G166="Lower is better",M166&lt;=$H166)),A_Scoring_Model!$C$14,0),IF($G166="Higher is better",IF(M166&gt;=$H166,A_Scoring_Model!$C$14,IF(M166&lt;$I166,0,A_Scoring_Model!$C$15+(A_Scoring_Model!$C$14-A_Scoring_Model!$C$15)*(M166-$I166)/($H166-$I166))),IF(M166&lt;=$H166,A_Scoring_Model!$C$14,IF(M166&gt;$I166,0,A_Scoring_Model!$C$15+(A_Scoring_Model!$C$14-A_Scoring_Model!$C$15)*($I166-M166)/($I166-$H166))))))</f>
        <v/>
      </c>
    </row>
    <row r="167" customFormat="false" ht="23.85" hidden="false" customHeight="false" outlineLevel="0" collapsed="false">
      <c r="A167" s="51" t="str">
        <f aca="false">C_KPI_Benchmark!A167</f>
        <v>3.d-D1-01</v>
      </c>
      <c r="B167" s="52" t="str">
        <f aca="false">C_KPI_Benchmark!D167</f>
        <v>3.d</v>
      </c>
      <c r="C167" s="51" t="str">
        <f aca="false">C_KPI_Benchmark!E167</f>
        <v>AI Code Review Agent (Review Shield)</v>
      </c>
      <c r="D167" s="52" t="str">
        <f aca="false">C_KPI_Benchmark!F167</f>
        <v>D1</v>
      </c>
      <c r="E167" s="51" t="str">
        <f aca="false">C_KPI_Benchmark!J167</f>
        <v>Critical/High defect detection recall on the seeded-defect golden set</v>
      </c>
      <c r="F167" s="52" t="str">
        <f aca="false">C_KPI_Benchmark!K167</f>
        <v>recall</v>
      </c>
      <c r="G167" s="51" t="str">
        <f aca="false">C_KPI_Benchmark!L167</f>
        <v>Higher is better</v>
      </c>
      <c r="H167" s="57" t="n">
        <f aca="false">C_KPI_Benchmark!N167</f>
        <v>0.85</v>
      </c>
      <c r="I167" s="58" t="n">
        <f aca="false">IF(C_KPI_Benchmark!O167&lt;&gt;"",C_KPI_Benchmark!O167,IF(G167="Higher is better",H167*(1-A_Scoring_Model!$C$16),H167*(1+A_Scoring_Model!$C$16)))</f>
        <v>0.7</v>
      </c>
      <c r="J167" s="59"/>
      <c r="K167" s="59"/>
      <c r="L167" s="59"/>
      <c r="M167" s="59" t="n">
        <v>0.6</v>
      </c>
      <c r="N167" s="56" t="str">
        <f aca="false">IF(J167="","",IF($H167=$I167,IF(OR(AND($G167="Higher is better",J167&gt;=$H167),AND($G167="Lower is better",J167&lt;=$H167)),A_Scoring_Model!$C$14,0),IF($G167="Higher is better",IF(J167&gt;=$H167,A_Scoring_Model!$C$14,IF(J167&lt;$I167,0,A_Scoring_Model!$C$15+(A_Scoring_Model!$C$14-A_Scoring_Model!$C$15)*(J167-$I167)/($H167-$I167))),IF(J167&lt;=$H167,A_Scoring_Model!$C$14,IF(J167&gt;$I167,0,A_Scoring_Model!$C$15+(A_Scoring_Model!$C$14-A_Scoring_Model!$C$15)*($I167-J167)/($I167-$H167))))))</f>
        <v/>
      </c>
      <c r="O167" s="56" t="str">
        <f aca="false">IF(K167="","",IF($H167=$I167,IF(OR(AND($G167="Higher is better",K167&gt;=$H167),AND($G167="Lower is better",K167&lt;=$H167)),A_Scoring_Model!$C$14,0),IF($G167="Higher is better",IF(K167&gt;=$H167,A_Scoring_Model!$C$14,IF(K167&lt;$I167,0,A_Scoring_Model!$C$15+(A_Scoring_Model!$C$14-A_Scoring_Model!$C$15)*(K167-$I167)/($H167-$I167))),IF(K167&lt;=$H167,A_Scoring_Model!$C$14,IF(K167&gt;$I167,0,A_Scoring_Model!$C$15+(A_Scoring_Model!$C$14-A_Scoring_Model!$C$15)*($I167-K167)/($I167-$H167))))))</f>
        <v/>
      </c>
      <c r="P167" s="56" t="str">
        <f aca="false">IF(L167="","",IF($H167=$I167,IF(OR(AND($G167="Higher is better",L167&gt;=$H167),AND($G167="Lower is better",L167&lt;=$H167)),A_Scoring_Model!$C$14,0),IF($G167="Higher is better",IF(L167&gt;=$H167,A_Scoring_Model!$C$14,IF(L167&lt;$I167,0,A_Scoring_Model!$C$15+(A_Scoring_Model!$C$14-A_Scoring_Model!$C$15)*(L167-$I167)/($H167-$I167))),IF(L167&lt;=$H167,A_Scoring_Model!$C$14,IF(L167&gt;$I167,0,A_Scoring_Model!$C$15+(A_Scoring_Model!$C$14-A_Scoring_Model!$C$15)*($I167-L167)/($I167-$H167))))))</f>
        <v/>
      </c>
      <c r="Q167" s="56" t="n">
        <f aca="false">IF(M167="","",IF($H167=$I167,IF(OR(AND($G167="Higher is better",M167&gt;=$H167),AND($G167="Lower is better",M167&lt;=$H167)),A_Scoring_Model!$C$14,0),IF($G167="Higher is better",IF(M167&gt;=$H167,A_Scoring_Model!$C$14,IF(M167&lt;$I167,0,A_Scoring_Model!$C$15+(A_Scoring_Model!$C$14-A_Scoring_Model!$C$15)*(M167-$I167)/($H167-$I167))),IF(M167&lt;=$H167,A_Scoring_Model!$C$14,IF(M167&gt;$I167,0,A_Scoring_Model!$C$15+(A_Scoring_Model!$C$14-A_Scoring_Model!$C$15)*($I167-M167)/($I167-$H167))))))</f>
        <v>0</v>
      </c>
    </row>
    <row r="168" customFormat="false" ht="23.85" hidden="false" customHeight="false" outlineLevel="0" collapsed="false">
      <c r="A168" s="51" t="str">
        <f aca="false">C_KPI_Benchmark!A168</f>
        <v>3.d-D1-02</v>
      </c>
      <c r="B168" s="52" t="str">
        <f aca="false">C_KPI_Benchmark!D168</f>
        <v>3.d</v>
      </c>
      <c r="C168" s="51" t="str">
        <f aca="false">C_KPI_Benchmark!E168</f>
        <v>AI Code Review Agent (Review Shield)</v>
      </c>
      <c r="D168" s="52" t="str">
        <f aca="false">C_KPI_Benchmark!F168</f>
        <v>D1</v>
      </c>
      <c r="E168" s="51" t="str">
        <f aca="false">C_KPI_Benchmark!J168</f>
        <v>Comment precision (comments that are real, actionable defects)</v>
      </c>
      <c r="F168" s="52" t="str">
        <f aca="false">C_KPI_Benchmark!K168</f>
        <v>precision</v>
      </c>
      <c r="G168" s="51" t="str">
        <f aca="false">C_KPI_Benchmark!L168</f>
        <v>Higher is better</v>
      </c>
      <c r="H168" s="57" t="n">
        <f aca="false">C_KPI_Benchmark!N168</f>
        <v>0.8</v>
      </c>
      <c r="I168" s="58" t="n">
        <f aca="false">IF(C_KPI_Benchmark!O168&lt;&gt;"",C_KPI_Benchmark!O168,IF(G168="Higher is better",H168*(1-A_Scoring_Model!$C$16),H168*(1+A_Scoring_Model!$C$16)))</f>
        <v>0.65</v>
      </c>
      <c r="J168" s="59"/>
      <c r="K168" s="59"/>
      <c r="L168" s="59"/>
      <c r="M168" s="59" t="n">
        <v>0.4</v>
      </c>
      <c r="N168" s="56" t="str">
        <f aca="false">IF(J168="","",IF($H168=$I168,IF(OR(AND($G168="Higher is better",J168&gt;=$H168),AND($G168="Lower is better",J168&lt;=$H168)),A_Scoring_Model!$C$14,0),IF($G168="Higher is better",IF(J168&gt;=$H168,A_Scoring_Model!$C$14,IF(J168&lt;$I168,0,A_Scoring_Model!$C$15+(A_Scoring_Model!$C$14-A_Scoring_Model!$C$15)*(J168-$I168)/($H168-$I168))),IF(J168&lt;=$H168,A_Scoring_Model!$C$14,IF(J168&gt;$I168,0,A_Scoring_Model!$C$15+(A_Scoring_Model!$C$14-A_Scoring_Model!$C$15)*($I168-J168)/($I168-$H168))))))</f>
        <v/>
      </c>
      <c r="O168" s="56" t="str">
        <f aca="false">IF(K168="","",IF($H168=$I168,IF(OR(AND($G168="Higher is better",K168&gt;=$H168),AND($G168="Lower is better",K168&lt;=$H168)),A_Scoring_Model!$C$14,0),IF($G168="Higher is better",IF(K168&gt;=$H168,A_Scoring_Model!$C$14,IF(K168&lt;$I168,0,A_Scoring_Model!$C$15+(A_Scoring_Model!$C$14-A_Scoring_Model!$C$15)*(K168-$I168)/($H168-$I168))),IF(K168&lt;=$H168,A_Scoring_Model!$C$14,IF(K168&gt;$I168,0,A_Scoring_Model!$C$15+(A_Scoring_Model!$C$14-A_Scoring_Model!$C$15)*($I168-K168)/($I168-$H168))))))</f>
        <v/>
      </c>
      <c r="P168" s="56" t="str">
        <f aca="false">IF(L168="","",IF($H168=$I168,IF(OR(AND($G168="Higher is better",L168&gt;=$H168),AND($G168="Lower is better",L168&lt;=$H168)),A_Scoring_Model!$C$14,0),IF($G168="Higher is better",IF(L168&gt;=$H168,A_Scoring_Model!$C$14,IF(L168&lt;$I168,0,A_Scoring_Model!$C$15+(A_Scoring_Model!$C$14-A_Scoring_Model!$C$15)*(L168-$I168)/($H168-$I168))),IF(L168&lt;=$H168,A_Scoring_Model!$C$14,IF(L168&gt;$I168,0,A_Scoring_Model!$C$15+(A_Scoring_Model!$C$14-A_Scoring_Model!$C$15)*($I168-L168)/($I168-$H168))))))</f>
        <v/>
      </c>
      <c r="Q168" s="56" t="n">
        <f aca="false">IF(M168="","",IF($H168=$I168,IF(OR(AND($G168="Higher is better",M168&gt;=$H168),AND($G168="Lower is better",M168&lt;=$H168)),A_Scoring_Model!$C$14,0),IF($G168="Higher is better",IF(M168&gt;=$H168,A_Scoring_Model!$C$14,IF(M168&lt;$I168,0,A_Scoring_Model!$C$15+(A_Scoring_Model!$C$14-A_Scoring_Model!$C$15)*(M168-$I168)/($H168-$I168))),IF(M168&lt;=$H168,A_Scoring_Model!$C$14,IF(M168&gt;$I168,0,A_Scoring_Model!$C$15+(A_Scoring_Model!$C$14-A_Scoring_Model!$C$15)*($I168-M168)/($I168-$H168))))))</f>
        <v>0</v>
      </c>
    </row>
    <row r="169" customFormat="false" ht="23.85" hidden="false" customHeight="false" outlineLevel="0" collapsed="false">
      <c r="A169" s="51" t="str">
        <f aca="false">C_KPI_Benchmark!A169</f>
        <v>3.d-D1-03</v>
      </c>
      <c r="B169" s="52" t="str">
        <f aca="false">C_KPI_Benchmark!D169</f>
        <v>3.d</v>
      </c>
      <c r="C169" s="51" t="str">
        <f aca="false">C_KPI_Benchmark!E169</f>
        <v>AI Code Review Agent (Review Shield)</v>
      </c>
      <c r="D169" s="52" t="str">
        <f aca="false">C_KPI_Benchmark!F169</f>
        <v>D1</v>
      </c>
      <c r="E169" s="51" t="str">
        <f aca="false">C_KPI_Benchmark!J169</f>
        <v>Severity classification agreement with the SME rubric</v>
      </c>
      <c r="F169" s="52" t="str">
        <f aca="false">C_KPI_Benchmark!K169</f>
        <v>agreement</v>
      </c>
      <c r="G169" s="51" t="str">
        <f aca="false">C_KPI_Benchmark!L169</f>
        <v>Higher is better</v>
      </c>
      <c r="H169" s="57" t="n">
        <f aca="false">C_KPI_Benchmark!N169</f>
        <v>0.85</v>
      </c>
      <c r="I169" s="58" t="n">
        <f aca="false">IF(C_KPI_Benchmark!O169&lt;&gt;"",C_KPI_Benchmark!O169,IF(G169="Higher is better",H169*(1-A_Scoring_Model!$C$16),H169*(1+A_Scoring_Model!$C$16)))</f>
        <v>0.7</v>
      </c>
      <c r="J169" s="59"/>
      <c r="K169" s="59"/>
      <c r="L169" s="59"/>
      <c r="M169" s="59" t="n">
        <v>0.45</v>
      </c>
      <c r="N169" s="56" t="str">
        <f aca="false">IF(J169="","",IF($H169=$I169,IF(OR(AND($G169="Higher is better",J169&gt;=$H169),AND($G169="Lower is better",J169&lt;=$H169)),A_Scoring_Model!$C$14,0),IF($G169="Higher is better",IF(J169&gt;=$H169,A_Scoring_Model!$C$14,IF(J169&lt;$I169,0,A_Scoring_Model!$C$15+(A_Scoring_Model!$C$14-A_Scoring_Model!$C$15)*(J169-$I169)/($H169-$I169))),IF(J169&lt;=$H169,A_Scoring_Model!$C$14,IF(J169&gt;$I169,0,A_Scoring_Model!$C$15+(A_Scoring_Model!$C$14-A_Scoring_Model!$C$15)*($I169-J169)/($I169-$H169))))))</f>
        <v/>
      </c>
      <c r="O169" s="56" t="str">
        <f aca="false">IF(K169="","",IF($H169=$I169,IF(OR(AND($G169="Higher is better",K169&gt;=$H169),AND($G169="Lower is better",K169&lt;=$H169)),A_Scoring_Model!$C$14,0),IF($G169="Higher is better",IF(K169&gt;=$H169,A_Scoring_Model!$C$14,IF(K169&lt;$I169,0,A_Scoring_Model!$C$15+(A_Scoring_Model!$C$14-A_Scoring_Model!$C$15)*(K169-$I169)/($H169-$I169))),IF(K169&lt;=$H169,A_Scoring_Model!$C$14,IF(K169&gt;$I169,0,A_Scoring_Model!$C$15+(A_Scoring_Model!$C$14-A_Scoring_Model!$C$15)*($I169-K169)/($I169-$H169))))))</f>
        <v/>
      </c>
      <c r="P169" s="56" t="str">
        <f aca="false">IF(L169="","",IF($H169=$I169,IF(OR(AND($G169="Higher is better",L169&gt;=$H169),AND($G169="Lower is better",L169&lt;=$H169)),A_Scoring_Model!$C$14,0),IF($G169="Higher is better",IF(L169&gt;=$H169,A_Scoring_Model!$C$14,IF(L169&lt;$I169,0,A_Scoring_Model!$C$15+(A_Scoring_Model!$C$14-A_Scoring_Model!$C$15)*(L169-$I169)/($H169-$I169))),IF(L169&lt;=$H169,A_Scoring_Model!$C$14,IF(L169&gt;$I169,0,A_Scoring_Model!$C$15+(A_Scoring_Model!$C$14-A_Scoring_Model!$C$15)*($I169-L169)/($I169-$H169))))))</f>
        <v/>
      </c>
      <c r="Q169" s="56" t="n">
        <f aca="false">IF(M169="","",IF($H169=$I169,IF(OR(AND($G169="Higher is better",M169&gt;=$H169),AND($G169="Lower is better",M169&lt;=$H169)),A_Scoring_Model!$C$14,0),IF($G169="Higher is better",IF(M169&gt;=$H169,A_Scoring_Model!$C$14,IF(M169&lt;$I169,0,A_Scoring_Model!$C$15+(A_Scoring_Model!$C$14-A_Scoring_Model!$C$15)*(M169-$I169)/($H169-$I169))),IF(M169&lt;=$H169,A_Scoring_Model!$C$14,IF(M169&gt;$I169,0,A_Scoring_Model!$C$15+(A_Scoring_Model!$C$14-A_Scoring_Model!$C$15)*($I169-M169)/($I169-$H169))))))</f>
        <v>0</v>
      </c>
    </row>
    <row r="170" customFormat="false" ht="23.85" hidden="false" customHeight="false" outlineLevel="0" collapsed="false">
      <c r="A170" s="51" t="str">
        <f aca="false">C_KPI_Benchmark!A170</f>
        <v>3.d-D1-04</v>
      </c>
      <c r="B170" s="52" t="str">
        <f aca="false">C_KPI_Benchmark!D170</f>
        <v>3.d</v>
      </c>
      <c r="C170" s="51" t="str">
        <f aca="false">C_KPI_Benchmark!E170</f>
        <v>AI Code Review Agent (Review Shield)</v>
      </c>
      <c r="D170" s="52" t="str">
        <f aca="false">C_KPI_Benchmark!F170</f>
        <v>D1</v>
      </c>
      <c r="E170" s="51" t="str">
        <f aca="false">C_KPI_Benchmark!J170</f>
        <v>Scope compliance: comments inside the allowed defect categories</v>
      </c>
      <c r="F170" s="52" t="str">
        <f aca="false">C_KPI_Benchmark!K170</f>
        <v>%</v>
      </c>
      <c r="G170" s="51" t="str">
        <f aca="false">C_KPI_Benchmark!L170</f>
        <v>Higher is better</v>
      </c>
      <c r="H170" s="53" t="n">
        <f aca="false">C_KPI_Benchmark!N170</f>
        <v>0.95</v>
      </c>
      <c r="I170" s="54" t="n">
        <f aca="false">IF(C_KPI_Benchmark!O170&lt;&gt;"",C_KPI_Benchmark!O170,IF(G170="Higher is better",H170*(1-A_Scoring_Model!$C$16),H170*(1+A_Scoring_Model!$C$16)))</f>
        <v>0.85</v>
      </c>
      <c r="J170" s="55"/>
      <c r="K170" s="55"/>
      <c r="L170" s="55"/>
      <c r="M170" s="55" t="n">
        <v>0.36</v>
      </c>
      <c r="N170" s="56" t="str">
        <f aca="false">IF(J170="","",IF($H170=$I170,IF(OR(AND($G170="Higher is better",J170&gt;=$H170),AND($G170="Lower is better",J170&lt;=$H170)),A_Scoring_Model!$C$14,0),IF($G170="Higher is better",IF(J170&gt;=$H170,A_Scoring_Model!$C$14,IF(J170&lt;$I170,0,A_Scoring_Model!$C$15+(A_Scoring_Model!$C$14-A_Scoring_Model!$C$15)*(J170-$I170)/($H170-$I170))),IF(J170&lt;=$H170,A_Scoring_Model!$C$14,IF(J170&gt;$I170,0,A_Scoring_Model!$C$15+(A_Scoring_Model!$C$14-A_Scoring_Model!$C$15)*($I170-J170)/($I170-$H170))))))</f>
        <v/>
      </c>
      <c r="O170" s="56" t="str">
        <f aca="false">IF(K170="","",IF($H170=$I170,IF(OR(AND($G170="Higher is better",K170&gt;=$H170),AND($G170="Lower is better",K170&lt;=$H170)),A_Scoring_Model!$C$14,0),IF($G170="Higher is better",IF(K170&gt;=$H170,A_Scoring_Model!$C$14,IF(K170&lt;$I170,0,A_Scoring_Model!$C$15+(A_Scoring_Model!$C$14-A_Scoring_Model!$C$15)*(K170-$I170)/($H170-$I170))),IF(K170&lt;=$H170,A_Scoring_Model!$C$14,IF(K170&gt;$I170,0,A_Scoring_Model!$C$15+(A_Scoring_Model!$C$14-A_Scoring_Model!$C$15)*($I170-K170)/($I170-$H170))))))</f>
        <v/>
      </c>
      <c r="P170" s="56" t="str">
        <f aca="false">IF(L170="","",IF($H170=$I170,IF(OR(AND($G170="Higher is better",L170&gt;=$H170),AND($G170="Lower is better",L170&lt;=$H170)),A_Scoring_Model!$C$14,0),IF($G170="Higher is better",IF(L170&gt;=$H170,A_Scoring_Model!$C$14,IF(L170&lt;$I170,0,A_Scoring_Model!$C$15+(A_Scoring_Model!$C$14-A_Scoring_Model!$C$15)*(L170-$I170)/($H170-$I170))),IF(L170&lt;=$H170,A_Scoring_Model!$C$14,IF(L170&gt;$I170,0,A_Scoring_Model!$C$15+(A_Scoring_Model!$C$14-A_Scoring_Model!$C$15)*($I170-L170)/($I170-$H170))))))</f>
        <v/>
      </c>
      <c r="Q170" s="56" t="n">
        <f aca="false">IF(M170="","",IF($H170=$I170,IF(OR(AND($G170="Higher is better",M170&gt;=$H170),AND($G170="Lower is better",M170&lt;=$H170)),A_Scoring_Model!$C$14,0),IF($G170="Higher is better",IF(M170&gt;=$H170,A_Scoring_Model!$C$14,IF(M170&lt;$I170,0,A_Scoring_Model!$C$15+(A_Scoring_Model!$C$14-A_Scoring_Model!$C$15)*(M170-$I170)/($H170-$I170))),IF(M170&lt;=$H170,A_Scoring_Model!$C$14,IF(M170&gt;$I170,0,A_Scoring_Model!$C$15+(A_Scoring_Model!$C$14-A_Scoring_Model!$C$15)*($I170-M170)/($I170-$H170))))))</f>
        <v>0</v>
      </c>
    </row>
    <row r="171" customFormat="false" ht="23.85" hidden="false" customHeight="false" outlineLevel="0" collapsed="false">
      <c r="A171" s="51" t="str">
        <f aca="false">C_KPI_Benchmark!A171</f>
        <v>3.d-D1-05</v>
      </c>
      <c r="B171" s="52" t="str">
        <f aca="false">C_KPI_Benchmark!D171</f>
        <v>3.d</v>
      </c>
      <c r="C171" s="51" t="str">
        <f aca="false">C_KPI_Benchmark!E171</f>
        <v>AI Code Review Agent (Review Shield)</v>
      </c>
      <c r="D171" s="52" t="str">
        <f aca="false">C_KPI_Benchmark!F171</f>
        <v>D1</v>
      </c>
      <c r="E171" s="51" t="str">
        <f aca="false">C_KPI_Benchmark!J171</f>
        <v>Changed-line coverage (all changed files and lines analysed)</v>
      </c>
      <c r="F171" s="52" t="str">
        <f aca="false">C_KPI_Benchmark!K171</f>
        <v>%</v>
      </c>
      <c r="G171" s="51" t="str">
        <f aca="false">C_KPI_Benchmark!L171</f>
        <v>Higher is better</v>
      </c>
      <c r="H171" s="53" t="n">
        <f aca="false">C_KPI_Benchmark!N171</f>
        <v>1</v>
      </c>
      <c r="I171" s="54" t="n">
        <f aca="false">IF(C_KPI_Benchmark!O171&lt;&gt;"",C_KPI_Benchmark!O171,IF(G171="Higher is better",H171*(1-A_Scoring_Model!$C$16),H171*(1+A_Scoring_Model!$C$16)))</f>
        <v>0.98</v>
      </c>
      <c r="J171" s="55"/>
      <c r="K171" s="55"/>
      <c r="L171" s="55"/>
      <c r="M171" s="55" t="n">
        <v>0.98</v>
      </c>
      <c r="N171" s="56" t="str">
        <f aca="false">IF(J171="","",IF($H171=$I171,IF(OR(AND($G171="Higher is better",J171&gt;=$H171),AND($G171="Lower is better",J171&lt;=$H171)),A_Scoring_Model!$C$14,0),IF($G171="Higher is better",IF(J171&gt;=$H171,A_Scoring_Model!$C$14,IF(J171&lt;$I171,0,A_Scoring_Model!$C$15+(A_Scoring_Model!$C$14-A_Scoring_Model!$C$15)*(J171-$I171)/($H171-$I171))),IF(J171&lt;=$H171,A_Scoring_Model!$C$14,IF(J171&gt;$I171,0,A_Scoring_Model!$C$15+(A_Scoring_Model!$C$14-A_Scoring_Model!$C$15)*($I171-J171)/($I171-$H171))))))</f>
        <v/>
      </c>
      <c r="O171" s="56" t="str">
        <f aca="false">IF(K171="","",IF($H171=$I171,IF(OR(AND($G171="Higher is better",K171&gt;=$H171),AND($G171="Lower is better",K171&lt;=$H171)),A_Scoring_Model!$C$14,0),IF($G171="Higher is better",IF(K171&gt;=$H171,A_Scoring_Model!$C$14,IF(K171&lt;$I171,0,A_Scoring_Model!$C$15+(A_Scoring_Model!$C$14-A_Scoring_Model!$C$15)*(K171-$I171)/($H171-$I171))),IF(K171&lt;=$H171,A_Scoring_Model!$C$14,IF(K171&gt;$I171,0,A_Scoring_Model!$C$15+(A_Scoring_Model!$C$14-A_Scoring_Model!$C$15)*($I171-K171)/($I171-$H171))))))</f>
        <v/>
      </c>
      <c r="P171" s="56" t="str">
        <f aca="false">IF(L171="","",IF($H171=$I171,IF(OR(AND($G171="Higher is better",L171&gt;=$H171),AND($G171="Lower is better",L171&lt;=$H171)),A_Scoring_Model!$C$14,0),IF($G171="Higher is better",IF(L171&gt;=$H171,A_Scoring_Model!$C$14,IF(L171&lt;$I171,0,A_Scoring_Model!$C$15+(A_Scoring_Model!$C$14-A_Scoring_Model!$C$15)*(L171-$I171)/($H171-$I171))),IF(L171&lt;=$H171,A_Scoring_Model!$C$14,IF(L171&gt;$I171,0,A_Scoring_Model!$C$15+(A_Scoring_Model!$C$14-A_Scoring_Model!$C$15)*($I171-L171)/($I171-$H171))))))</f>
        <v/>
      </c>
      <c r="Q171" s="56" t="n">
        <f aca="false">IF(M171="","",IF($H171=$I171,IF(OR(AND($G171="Higher is better",M171&gt;=$H171),AND($G171="Lower is better",M171&lt;=$H171)),A_Scoring_Model!$C$14,0),IF($G171="Higher is better",IF(M171&gt;=$H171,A_Scoring_Model!$C$14,IF(M171&lt;$I171,0,A_Scoring_Model!$C$15+(A_Scoring_Model!$C$14-A_Scoring_Model!$C$15)*(M171-$I171)/($H171-$I171))),IF(M171&lt;=$H171,A_Scoring_Model!$C$14,IF(M171&gt;$I171,0,A_Scoring_Model!$C$15+(A_Scoring_Model!$C$14-A_Scoring_Model!$C$15)*($I171-M171)/($I171-$H171))))))</f>
        <v>60</v>
      </c>
    </row>
    <row r="172" customFormat="false" ht="23.85" hidden="false" customHeight="false" outlineLevel="0" collapsed="false">
      <c r="A172" s="51" t="str">
        <f aca="false">C_KPI_Benchmark!A172</f>
        <v>3.d-D1-06</v>
      </c>
      <c r="B172" s="52" t="str">
        <f aca="false">C_KPI_Benchmark!D172</f>
        <v>3.d</v>
      </c>
      <c r="C172" s="51" t="str">
        <f aca="false">C_KPI_Benchmark!E172</f>
        <v>AI Code Review Agent (Review Shield)</v>
      </c>
      <c r="D172" s="52" t="str">
        <f aca="false">C_KPI_Benchmark!F172</f>
        <v>D1</v>
      </c>
      <c r="E172" s="51" t="str">
        <f aca="false">C_KPI_Benchmark!J172</f>
        <v>Duplicate or repeated comments within one review</v>
      </c>
      <c r="F172" s="52" t="str">
        <f aca="false">C_KPI_Benchmark!K172</f>
        <v>%</v>
      </c>
      <c r="G172" s="51" t="str">
        <f aca="false">C_KPI_Benchmark!L172</f>
        <v>Lower is better</v>
      </c>
      <c r="H172" s="53" t="n">
        <f aca="false">C_KPI_Benchmark!N172</f>
        <v>0.05</v>
      </c>
      <c r="I172" s="54" t="n">
        <f aca="false">IF(C_KPI_Benchmark!O172&lt;&gt;"",C_KPI_Benchmark!O172,IF(G172="Higher is better",H172*(1-A_Scoring_Model!$C$16),H172*(1+A_Scoring_Model!$C$16)))</f>
        <v>0.1</v>
      </c>
      <c r="J172" s="55"/>
      <c r="K172" s="55"/>
      <c r="L172" s="55"/>
      <c r="M172" s="55" t="n">
        <v>0.08</v>
      </c>
      <c r="N172" s="56" t="str">
        <f aca="false">IF(J172="","",IF($H172=$I172,IF(OR(AND($G172="Higher is better",J172&gt;=$H172),AND($G172="Lower is better",J172&lt;=$H172)),A_Scoring_Model!$C$14,0),IF($G172="Higher is better",IF(J172&gt;=$H172,A_Scoring_Model!$C$14,IF(J172&lt;$I172,0,A_Scoring_Model!$C$15+(A_Scoring_Model!$C$14-A_Scoring_Model!$C$15)*(J172-$I172)/($H172-$I172))),IF(J172&lt;=$H172,A_Scoring_Model!$C$14,IF(J172&gt;$I172,0,A_Scoring_Model!$C$15+(A_Scoring_Model!$C$14-A_Scoring_Model!$C$15)*($I172-J172)/($I172-$H172))))))</f>
        <v/>
      </c>
      <c r="O172" s="56" t="str">
        <f aca="false">IF(K172="","",IF($H172=$I172,IF(OR(AND($G172="Higher is better",K172&gt;=$H172),AND($G172="Lower is better",K172&lt;=$H172)),A_Scoring_Model!$C$14,0),IF($G172="Higher is better",IF(K172&gt;=$H172,A_Scoring_Model!$C$14,IF(K172&lt;$I172,0,A_Scoring_Model!$C$15+(A_Scoring_Model!$C$14-A_Scoring_Model!$C$15)*(K172-$I172)/($H172-$I172))),IF(K172&lt;=$H172,A_Scoring_Model!$C$14,IF(K172&gt;$I172,0,A_Scoring_Model!$C$15+(A_Scoring_Model!$C$14-A_Scoring_Model!$C$15)*($I172-K172)/($I172-$H172))))))</f>
        <v/>
      </c>
      <c r="P172" s="56" t="str">
        <f aca="false">IF(L172="","",IF($H172=$I172,IF(OR(AND($G172="Higher is better",L172&gt;=$H172),AND($G172="Lower is better",L172&lt;=$H172)),A_Scoring_Model!$C$14,0),IF($G172="Higher is better",IF(L172&gt;=$H172,A_Scoring_Model!$C$14,IF(L172&lt;$I172,0,A_Scoring_Model!$C$15+(A_Scoring_Model!$C$14-A_Scoring_Model!$C$15)*(L172-$I172)/($H172-$I172))),IF(L172&lt;=$H172,A_Scoring_Model!$C$14,IF(L172&gt;$I172,0,A_Scoring_Model!$C$15+(A_Scoring_Model!$C$14-A_Scoring_Model!$C$15)*($I172-L172)/($I172-$H172))))))</f>
        <v/>
      </c>
      <c r="Q172" s="56" t="n">
        <f aca="false">IF(M172="","",IF($H172=$I172,IF(OR(AND($G172="Higher is better",M172&gt;=$H172),AND($G172="Lower is better",M172&lt;=$H172)),A_Scoring_Model!$C$14,0),IF($G172="Higher is better",IF(M172&gt;=$H172,A_Scoring_Model!$C$14,IF(M172&lt;$I172,0,A_Scoring_Model!$C$15+(A_Scoring_Model!$C$14-A_Scoring_Model!$C$15)*(M172-$I172)/($H172-$I172))),IF(M172&lt;=$H172,A_Scoring_Model!$C$14,IF(M172&gt;$I172,0,A_Scoring_Model!$C$15+(A_Scoring_Model!$C$14-A_Scoring_Model!$C$15)*($I172-M172)/($I172-$H172))))))</f>
        <v>76</v>
      </c>
    </row>
    <row r="173" customFormat="false" ht="23.85" hidden="false" customHeight="false" outlineLevel="0" collapsed="false">
      <c r="A173" s="51" t="str">
        <f aca="false">C_KPI_Benchmark!A173</f>
        <v>3.d-D1-07</v>
      </c>
      <c r="B173" s="52" t="str">
        <f aca="false">C_KPI_Benchmark!D173</f>
        <v>3.d</v>
      </c>
      <c r="C173" s="51" t="str">
        <f aca="false">C_KPI_Benchmark!E173</f>
        <v>AI Code Review Agent (Review Shield)</v>
      </c>
      <c r="D173" s="52" t="str">
        <f aca="false">C_KPI_Benchmark!F173</f>
        <v>D1</v>
      </c>
      <c r="E173" s="51" t="str">
        <f aca="false">C_KPI_Benchmark!J173</f>
        <v>Findings carrying a concrete fix (code or explicit instruction)</v>
      </c>
      <c r="F173" s="52" t="str">
        <f aca="false">C_KPI_Benchmark!K173</f>
        <v>%</v>
      </c>
      <c r="G173" s="51" t="str">
        <f aca="false">C_KPI_Benchmark!L173</f>
        <v>Higher is better</v>
      </c>
      <c r="H173" s="53" t="n">
        <f aca="false">C_KPI_Benchmark!N173</f>
        <v>0.9</v>
      </c>
      <c r="I173" s="54" t="n">
        <f aca="false">IF(C_KPI_Benchmark!O173&lt;&gt;"",C_KPI_Benchmark!O173,IF(G173="Higher is better",H173*(1-A_Scoring_Model!$C$16),H173*(1+A_Scoring_Model!$C$16)))</f>
        <v>0.75</v>
      </c>
      <c r="J173" s="55"/>
      <c r="K173" s="55"/>
      <c r="L173" s="55"/>
      <c r="M173" s="55" t="n">
        <v>0.85</v>
      </c>
      <c r="N173" s="56" t="str">
        <f aca="false">IF(J173="","",IF($H173=$I173,IF(OR(AND($G173="Higher is better",J173&gt;=$H173),AND($G173="Lower is better",J173&lt;=$H173)),A_Scoring_Model!$C$14,0),IF($G173="Higher is better",IF(J173&gt;=$H173,A_Scoring_Model!$C$14,IF(J173&lt;$I173,0,A_Scoring_Model!$C$15+(A_Scoring_Model!$C$14-A_Scoring_Model!$C$15)*(J173-$I173)/($H173-$I173))),IF(J173&lt;=$H173,A_Scoring_Model!$C$14,IF(J173&gt;$I173,0,A_Scoring_Model!$C$15+(A_Scoring_Model!$C$14-A_Scoring_Model!$C$15)*($I173-J173)/($I173-$H173))))))</f>
        <v/>
      </c>
      <c r="O173" s="56" t="str">
        <f aca="false">IF(K173="","",IF($H173=$I173,IF(OR(AND($G173="Higher is better",K173&gt;=$H173),AND($G173="Lower is better",K173&lt;=$H173)),A_Scoring_Model!$C$14,0),IF($G173="Higher is better",IF(K173&gt;=$H173,A_Scoring_Model!$C$14,IF(K173&lt;$I173,0,A_Scoring_Model!$C$15+(A_Scoring_Model!$C$14-A_Scoring_Model!$C$15)*(K173-$I173)/($H173-$I173))),IF(K173&lt;=$H173,A_Scoring_Model!$C$14,IF(K173&gt;$I173,0,A_Scoring_Model!$C$15+(A_Scoring_Model!$C$14-A_Scoring_Model!$C$15)*($I173-K173)/($I173-$H173))))))</f>
        <v/>
      </c>
      <c r="P173" s="56" t="str">
        <f aca="false">IF(L173="","",IF($H173=$I173,IF(OR(AND($G173="Higher is better",L173&gt;=$H173),AND($G173="Lower is better",L173&lt;=$H173)),A_Scoring_Model!$C$14,0),IF($G173="Higher is better",IF(L173&gt;=$H173,A_Scoring_Model!$C$14,IF(L173&lt;$I173,0,A_Scoring_Model!$C$15+(A_Scoring_Model!$C$14-A_Scoring_Model!$C$15)*(L173-$I173)/($H173-$I173))),IF(L173&lt;=$H173,A_Scoring_Model!$C$14,IF(L173&gt;$I173,0,A_Scoring_Model!$C$15+(A_Scoring_Model!$C$14-A_Scoring_Model!$C$15)*($I173-L173)/($I173-$H173))))))</f>
        <v/>
      </c>
      <c r="Q173" s="56" t="n">
        <f aca="false">IF(M173="","",IF($H173=$I173,IF(OR(AND($G173="Higher is better",M173&gt;=$H173),AND($G173="Lower is better",M173&lt;=$H173)),A_Scoring_Model!$C$14,0),IF($G173="Higher is better",IF(M173&gt;=$H173,A_Scoring_Model!$C$14,IF(M173&lt;$I173,0,A_Scoring_Model!$C$15+(A_Scoring_Model!$C$14-A_Scoring_Model!$C$15)*(M173-$I173)/($H173-$I173))),IF(M173&lt;=$H173,A_Scoring_Model!$C$14,IF(M173&gt;$I173,0,A_Scoring_Model!$C$15+(A_Scoring_Model!$C$14-A_Scoring_Model!$C$15)*($I173-M173)/($I173-$H173))))))</f>
        <v>86.6666666666667</v>
      </c>
    </row>
    <row r="174" customFormat="false" ht="23.85" hidden="false" customHeight="false" outlineLevel="0" collapsed="false">
      <c r="A174" s="51" t="str">
        <f aca="false">C_KPI_Benchmark!A174</f>
        <v>3.d-D2-08</v>
      </c>
      <c r="B174" s="52" t="str">
        <f aca="false">C_KPI_Benchmark!D174</f>
        <v>3.d</v>
      </c>
      <c r="C174" s="51" t="str">
        <f aca="false">C_KPI_Benchmark!E174</f>
        <v>AI Code Review Agent (Review Shield)</v>
      </c>
      <c r="D174" s="52" t="str">
        <f aca="false">C_KPI_Benchmark!F174</f>
        <v>D2</v>
      </c>
      <c r="E174" s="51" t="str">
        <f aca="false">C_KPI_Benchmark!J174</f>
        <v>SCM platforms supported (Bitbucket, GitHub, GitLab)</v>
      </c>
      <c r="F174" s="52" t="str">
        <f aca="false">C_KPI_Benchmark!K174</f>
        <v>count</v>
      </c>
      <c r="G174" s="51" t="str">
        <f aca="false">C_KPI_Benchmark!L174</f>
        <v>Higher is better</v>
      </c>
      <c r="H174" s="62" t="n">
        <f aca="false">C_KPI_Benchmark!N174</f>
        <v>3</v>
      </c>
      <c r="I174" s="63" t="n">
        <f aca="false">IF(C_KPI_Benchmark!O174&lt;&gt;"",C_KPI_Benchmark!O174,IF(G174="Higher is better",H174*(1-A_Scoring_Model!$C$16),H174*(1+A_Scoring_Model!$C$16)))</f>
        <v>2</v>
      </c>
      <c r="J174" s="64"/>
      <c r="K174" s="64"/>
      <c r="L174" s="64"/>
      <c r="M174" s="64" t="n">
        <v>1</v>
      </c>
      <c r="N174" s="56" t="str">
        <f aca="false">IF(J174="","",IF($H174=$I174,IF(OR(AND($G174="Higher is better",J174&gt;=$H174),AND($G174="Lower is better",J174&lt;=$H174)),A_Scoring_Model!$C$14,0),IF($G174="Higher is better",IF(J174&gt;=$H174,A_Scoring_Model!$C$14,IF(J174&lt;$I174,0,A_Scoring_Model!$C$15+(A_Scoring_Model!$C$14-A_Scoring_Model!$C$15)*(J174-$I174)/($H174-$I174))),IF(J174&lt;=$H174,A_Scoring_Model!$C$14,IF(J174&gt;$I174,0,A_Scoring_Model!$C$15+(A_Scoring_Model!$C$14-A_Scoring_Model!$C$15)*($I174-J174)/($I174-$H174))))))</f>
        <v/>
      </c>
      <c r="O174" s="56" t="str">
        <f aca="false">IF(K174="","",IF($H174=$I174,IF(OR(AND($G174="Higher is better",K174&gt;=$H174),AND($G174="Lower is better",K174&lt;=$H174)),A_Scoring_Model!$C$14,0),IF($G174="Higher is better",IF(K174&gt;=$H174,A_Scoring_Model!$C$14,IF(K174&lt;$I174,0,A_Scoring_Model!$C$15+(A_Scoring_Model!$C$14-A_Scoring_Model!$C$15)*(K174-$I174)/($H174-$I174))),IF(K174&lt;=$H174,A_Scoring_Model!$C$14,IF(K174&gt;$I174,0,A_Scoring_Model!$C$15+(A_Scoring_Model!$C$14-A_Scoring_Model!$C$15)*($I174-K174)/($I174-$H174))))))</f>
        <v/>
      </c>
      <c r="P174" s="56" t="str">
        <f aca="false">IF(L174="","",IF($H174=$I174,IF(OR(AND($G174="Higher is better",L174&gt;=$H174),AND($G174="Lower is better",L174&lt;=$H174)),A_Scoring_Model!$C$14,0),IF($G174="Higher is better",IF(L174&gt;=$H174,A_Scoring_Model!$C$14,IF(L174&lt;$I174,0,A_Scoring_Model!$C$15+(A_Scoring_Model!$C$14-A_Scoring_Model!$C$15)*(L174-$I174)/($H174-$I174))),IF(L174&lt;=$H174,A_Scoring_Model!$C$14,IF(L174&gt;$I174,0,A_Scoring_Model!$C$15+(A_Scoring_Model!$C$14-A_Scoring_Model!$C$15)*($I174-L174)/($I174-$H174))))))</f>
        <v/>
      </c>
      <c r="Q174" s="56" t="n">
        <f aca="false">IF(M174="","",IF($H174=$I174,IF(OR(AND($G174="Higher is better",M174&gt;=$H174),AND($G174="Lower is better",M174&lt;=$H174)),A_Scoring_Model!$C$14,0),IF($G174="Higher is better",IF(M174&gt;=$H174,A_Scoring_Model!$C$14,IF(M174&lt;$I174,0,A_Scoring_Model!$C$15+(A_Scoring_Model!$C$14-A_Scoring_Model!$C$15)*(M174-$I174)/($H174-$I174))),IF(M174&lt;=$H174,A_Scoring_Model!$C$14,IF(M174&gt;$I174,0,A_Scoring_Model!$C$15+(A_Scoring_Model!$C$14-A_Scoring_Model!$C$15)*($I174-M174)/($I174-$H174))))))</f>
        <v>0</v>
      </c>
    </row>
    <row r="175" customFormat="false" ht="23.85" hidden="false" customHeight="false" outlineLevel="0" collapsed="false">
      <c r="A175" s="51" t="str">
        <f aca="false">C_KPI_Benchmark!A175</f>
        <v>3.d-D2-09</v>
      </c>
      <c r="B175" s="52" t="str">
        <f aca="false">C_KPI_Benchmark!D175</f>
        <v>3.d</v>
      </c>
      <c r="C175" s="51" t="str">
        <f aca="false">C_KPI_Benchmark!E175</f>
        <v>AI Code Review Agent (Review Shield)</v>
      </c>
      <c r="D175" s="52" t="str">
        <f aca="false">C_KPI_Benchmark!F175</f>
        <v>D2</v>
      </c>
      <c r="E175" s="51" t="str">
        <f aca="false">C_KPI_Benchmark!J175</f>
        <v>Languages covered with domain-aware rules</v>
      </c>
      <c r="F175" s="52" t="str">
        <f aca="false">C_KPI_Benchmark!K175</f>
        <v>count</v>
      </c>
      <c r="G175" s="51" t="str">
        <f aca="false">C_KPI_Benchmark!L175</f>
        <v>Higher is better</v>
      </c>
      <c r="H175" s="62" t="n">
        <f aca="false">C_KPI_Benchmark!N175</f>
        <v>4</v>
      </c>
      <c r="I175" s="63" t="n">
        <f aca="false">IF(C_KPI_Benchmark!O175&lt;&gt;"",C_KPI_Benchmark!O175,IF(G175="Higher is better",H175*(1-A_Scoring_Model!$C$16),H175*(1+A_Scoring_Model!$C$16)))</f>
        <v>3</v>
      </c>
      <c r="J175" s="64"/>
      <c r="K175" s="64"/>
      <c r="L175" s="64"/>
      <c r="M175" s="64" t="n">
        <v>4</v>
      </c>
      <c r="N175" s="56" t="str">
        <f aca="false">IF(J175="","",IF($H175=$I175,IF(OR(AND($G175="Higher is better",J175&gt;=$H175),AND($G175="Lower is better",J175&lt;=$H175)),A_Scoring_Model!$C$14,0),IF($G175="Higher is better",IF(J175&gt;=$H175,A_Scoring_Model!$C$14,IF(J175&lt;$I175,0,A_Scoring_Model!$C$15+(A_Scoring_Model!$C$14-A_Scoring_Model!$C$15)*(J175-$I175)/($H175-$I175))),IF(J175&lt;=$H175,A_Scoring_Model!$C$14,IF(J175&gt;$I175,0,A_Scoring_Model!$C$15+(A_Scoring_Model!$C$14-A_Scoring_Model!$C$15)*($I175-J175)/($I175-$H175))))))</f>
        <v/>
      </c>
      <c r="O175" s="56" t="str">
        <f aca="false">IF(K175="","",IF($H175=$I175,IF(OR(AND($G175="Higher is better",K175&gt;=$H175),AND($G175="Lower is better",K175&lt;=$H175)),A_Scoring_Model!$C$14,0),IF($G175="Higher is better",IF(K175&gt;=$H175,A_Scoring_Model!$C$14,IF(K175&lt;$I175,0,A_Scoring_Model!$C$15+(A_Scoring_Model!$C$14-A_Scoring_Model!$C$15)*(K175-$I175)/($H175-$I175))),IF(K175&lt;=$H175,A_Scoring_Model!$C$14,IF(K175&gt;$I175,0,A_Scoring_Model!$C$15+(A_Scoring_Model!$C$14-A_Scoring_Model!$C$15)*($I175-K175)/($I175-$H175))))))</f>
        <v/>
      </c>
      <c r="P175" s="56" t="str">
        <f aca="false">IF(L175="","",IF($H175=$I175,IF(OR(AND($G175="Higher is better",L175&gt;=$H175),AND($G175="Lower is better",L175&lt;=$H175)),A_Scoring_Model!$C$14,0),IF($G175="Higher is better",IF(L175&gt;=$H175,A_Scoring_Model!$C$14,IF(L175&lt;$I175,0,A_Scoring_Model!$C$15+(A_Scoring_Model!$C$14-A_Scoring_Model!$C$15)*(L175-$I175)/($H175-$I175))),IF(L175&lt;=$H175,A_Scoring_Model!$C$14,IF(L175&gt;$I175,0,A_Scoring_Model!$C$15+(A_Scoring_Model!$C$14-A_Scoring_Model!$C$15)*($I175-L175)/($I175-$H175))))))</f>
        <v/>
      </c>
      <c r="Q175" s="56" t="n">
        <f aca="false">IF(M175="","",IF($H175=$I175,IF(OR(AND($G175="Higher is better",M175&gt;=$H175),AND($G175="Lower is better",M175&lt;=$H175)),A_Scoring_Model!$C$14,0),IF($G175="Higher is better",IF(M175&gt;=$H175,A_Scoring_Model!$C$14,IF(M175&lt;$I175,0,A_Scoring_Model!$C$15+(A_Scoring_Model!$C$14-A_Scoring_Model!$C$15)*(M175-$I175)/($H175-$I175))),IF(M175&lt;=$H175,A_Scoring_Model!$C$14,IF(M175&gt;$I175,0,A_Scoring_Model!$C$15+(A_Scoring_Model!$C$14-A_Scoring_Model!$C$15)*($I175-M175)/($I175-$H175))))))</f>
        <v>100</v>
      </c>
    </row>
    <row r="176" customFormat="false" ht="23.85" hidden="false" customHeight="false" outlineLevel="0" collapsed="false">
      <c r="A176" s="51" t="str">
        <f aca="false">C_KPI_Benchmark!A176</f>
        <v>3.d-D2-10</v>
      </c>
      <c r="B176" s="52" t="str">
        <f aca="false">C_KPI_Benchmark!D176</f>
        <v>3.d</v>
      </c>
      <c r="C176" s="51" t="str">
        <f aca="false">C_KPI_Benchmark!E176</f>
        <v>AI Code Review Agent (Review Shield)</v>
      </c>
      <c r="D176" s="52" t="str">
        <f aca="false">C_KPI_Benchmark!F176</f>
        <v>D2</v>
      </c>
      <c r="E176" s="51" t="str">
        <f aca="false">C_KPI_Benchmark!J176</f>
        <v>Per-repository feature configuration without code change</v>
      </c>
      <c r="F176" s="52" t="str">
        <f aca="false">C_KPI_Benchmark!K176</f>
        <v>Yes/No</v>
      </c>
      <c r="G176" s="51" t="str">
        <f aca="false">C_KPI_Benchmark!L176</f>
        <v>Higher is better</v>
      </c>
      <c r="H176" s="60" t="n">
        <f aca="false">C_KPI_Benchmark!N176</f>
        <v>1</v>
      </c>
      <c r="I176" s="56" t="n">
        <f aca="false">IF(C_KPI_Benchmark!O176&lt;&gt;"",C_KPI_Benchmark!O176,IF(G176="Higher is better",H176*(1-A_Scoring_Model!$C$16),H176*(1+A_Scoring_Model!$C$16)))</f>
        <v>0.8</v>
      </c>
      <c r="J176" s="61"/>
      <c r="K176" s="61"/>
      <c r="L176" s="61"/>
      <c r="M176" s="61" t="n">
        <v>1</v>
      </c>
      <c r="N176" s="56" t="str">
        <f aca="false">IF(J176="","",IF($H176=$I176,IF(OR(AND($G176="Higher is better",J176&gt;=$H176),AND($G176="Lower is better",J176&lt;=$H176)),A_Scoring_Model!$C$14,0),IF($G176="Higher is better",IF(J176&gt;=$H176,A_Scoring_Model!$C$14,IF(J176&lt;$I176,0,A_Scoring_Model!$C$15+(A_Scoring_Model!$C$14-A_Scoring_Model!$C$15)*(J176-$I176)/($H176-$I176))),IF(J176&lt;=$H176,A_Scoring_Model!$C$14,IF(J176&gt;$I176,0,A_Scoring_Model!$C$15+(A_Scoring_Model!$C$14-A_Scoring_Model!$C$15)*($I176-J176)/($I176-$H176))))))</f>
        <v/>
      </c>
      <c r="O176" s="56" t="str">
        <f aca="false">IF(K176="","",IF($H176=$I176,IF(OR(AND($G176="Higher is better",K176&gt;=$H176),AND($G176="Lower is better",K176&lt;=$H176)),A_Scoring_Model!$C$14,0),IF($G176="Higher is better",IF(K176&gt;=$H176,A_Scoring_Model!$C$14,IF(K176&lt;$I176,0,A_Scoring_Model!$C$15+(A_Scoring_Model!$C$14-A_Scoring_Model!$C$15)*(K176-$I176)/($H176-$I176))),IF(K176&lt;=$H176,A_Scoring_Model!$C$14,IF(K176&gt;$I176,0,A_Scoring_Model!$C$15+(A_Scoring_Model!$C$14-A_Scoring_Model!$C$15)*($I176-K176)/($I176-$H176))))))</f>
        <v/>
      </c>
      <c r="P176" s="56" t="str">
        <f aca="false">IF(L176="","",IF($H176=$I176,IF(OR(AND($G176="Higher is better",L176&gt;=$H176),AND($G176="Lower is better",L176&lt;=$H176)),A_Scoring_Model!$C$14,0),IF($G176="Higher is better",IF(L176&gt;=$H176,A_Scoring_Model!$C$14,IF(L176&lt;$I176,0,A_Scoring_Model!$C$15+(A_Scoring_Model!$C$14-A_Scoring_Model!$C$15)*(L176-$I176)/($H176-$I176))),IF(L176&lt;=$H176,A_Scoring_Model!$C$14,IF(L176&gt;$I176,0,A_Scoring_Model!$C$15+(A_Scoring_Model!$C$14-A_Scoring_Model!$C$15)*($I176-L176)/($I176-$H176))))))</f>
        <v/>
      </c>
      <c r="Q176" s="56" t="n">
        <f aca="false">IF(M176="","",IF($H176=$I176,IF(OR(AND($G176="Higher is better",M176&gt;=$H176),AND($G176="Lower is better",M176&lt;=$H176)),A_Scoring_Model!$C$14,0),IF($G176="Higher is better",IF(M176&gt;=$H176,A_Scoring_Model!$C$14,IF(M176&lt;$I176,0,A_Scoring_Model!$C$15+(A_Scoring_Model!$C$14-A_Scoring_Model!$C$15)*(M176-$I176)/($H176-$I176))),IF(M176&lt;=$H176,A_Scoring_Model!$C$14,IF(M176&gt;$I176,0,A_Scoring_Model!$C$15+(A_Scoring_Model!$C$14-A_Scoring_Model!$C$15)*($I176-M176)/($I176-$H176))))))</f>
        <v>100</v>
      </c>
    </row>
    <row r="177" customFormat="false" ht="23.85" hidden="false" customHeight="false" outlineLevel="0" collapsed="false">
      <c r="A177" s="51" t="str">
        <f aca="false">C_KPI_Benchmark!A177</f>
        <v>3.d-D2-11</v>
      </c>
      <c r="B177" s="52" t="str">
        <f aca="false">C_KPI_Benchmark!D177</f>
        <v>3.d</v>
      </c>
      <c r="C177" s="51" t="str">
        <f aca="false">C_KPI_Benchmark!E177</f>
        <v>AI Code Review Agent (Review Shield)</v>
      </c>
      <c r="D177" s="52" t="str">
        <f aca="false">C_KPI_Benchmark!F177</f>
        <v>D2</v>
      </c>
      <c r="E177" s="51" t="str">
        <f aca="false">C_KPI_Benchmark!J177</f>
        <v>Sol PE groups with active usage</v>
      </c>
      <c r="F177" s="52" t="str">
        <f aca="false">C_KPI_Benchmark!K177</f>
        <v>groups</v>
      </c>
      <c r="G177" s="51" t="str">
        <f aca="false">C_KPI_Benchmark!L177</f>
        <v>Higher is better</v>
      </c>
      <c r="H177" s="62" t="n">
        <f aca="false">C_KPI_Benchmark!N177</f>
        <v>2</v>
      </c>
      <c r="I177" s="63" t="n">
        <f aca="false">IF(C_KPI_Benchmark!O177&lt;&gt;"",C_KPI_Benchmark!O177,IF(G177="Higher is better",H177*(1-A_Scoring_Model!$C$16),H177*(1+A_Scoring_Model!$C$16)))</f>
        <v>1</v>
      </c>
      <c r="J177" s="64"/>
      <c r="K177" s="64"/>
      <c r="L177" s="64"/>
      <c r="M177" s="64" t="n">
        <v>2</v>
      </c>
      <c r="N177" s="56" t="str">
        <f aca="false">IF(J177="","",IF($H177=$I177,IF(OR(AND($G177="Higher is better",J177&gt;=$H177),AND($G177="Lower is better",J177&lt;=$H177)),A_Scoring_Model!$C$14,0),IF($G177="Higher is better",IF(J177&gt;=$H177,A_Scoring_Model!$C$14,IF(J177&lt;$I177,0,A_Scoring_Model!$C$15+(A_Scoring_Model!$C$14-A_Scoring_Model!$C$15)*(J177-$I177)/($H177-$I177))),IF(J177&lt;=$H177,A_Scoring_Model!$C$14,IF(J177&gt;$I177,0,A_Scoring_Model!$C$15+(A_Scoring_Model!$C$14-A_Scoring_Model!$C$15)*($I177-J177)/($I177-$H177))))))</f>
        <v/>
      </c>
      <c r="O177" s="56" t="str">
        <f aca="false">IF(K177="","",IF($H177=$I177,IF(OR(AND($G177="Higher is better",K177&gt;=$H177),AND($G177="Lower is better",K177&lt;=$H177)),A_Scoring_Model!$C$14,0),IF($G177="Higher is better",IF(K177&gt;=$H177,A_Scoring_Model!$C$14,IF(K177&lt;$I177,0,A_Scoring_Model!$C$15+(A_Scoring_Model!$C$14-A_Scoring_Model!$C$15)*(K177-$I177)/($H177-$I177))),IF(K177&lt;=$H177,A_Scoring_Model!$C$14,IF(K177&gt;$I177,0,A_Scoring_Model!$C$15+(A_Scoring_Model!$C$14-A_Scoring_Model!$C$15)*($I177-K177)/($I177-$H177))))))</f>
        <v/>
      </c>
      <c r="P177" s="56" t="str">
        <f aca="false">IF(L177="","",IF($H177=$I177,IF(OR(AND($G177="Higher is better",L177&gt;=$H177),AND($G177="Lower is better",L177&lt;=$H177)),A_Scoring_Model!$C$14,0),IF($G177="Higher is better",IF(L177&gt;=$H177,A_Scoring_Model!$C$14,IF(L177&lt;$I177,0,A_Scoring_Model!$C$15+(A_Scoring_Model!$C$14-A_Scoring_Model!$C$15)*(L177-$I177)/($H177-$I177))),IF(L177&lt;=$H177,A_Scoring_Model!$C$14,IF(L177&gt;$I177,0,A_Scoring_Model!$C$15+(A_Scoring_Model!$C$14-A_Scoring_Model!$C$15)*($I177-L177)/($I177-$H177))))))</f>
        <v/>
      </c>
      <c r="Q177" s="56" t="n">
        <f aca="false">IF(M177="","",IF($H177=$I177,IF(OR(AND($G177="Higher is better",M177&gt;=$H177),AND($G177="Lower is better",M177&lt;=$H177)),A_Scoring_Model!$C$14,0),IF($G177="Higher is better",IF(M177&gt;=$H177,A_Scoring_Model!$C$14,IF(M177&lt;$I177,0,A_Scoring_Model!$C$15+(A_Scoring_Model!$C$14-A_Scoring_Model!$C$15)*(M177-$I177)/($H177-$I177))),IF(M177&lt;=$H177,A_Scoring_Model!$C$14,IF(M177&gt;$I177,0,A_Scoring_Model!$C$15+(A_Scoring_Model!$C$14-A_Scoring_Model!$C$15)*($I177-M177)/($I177-$H177))))))</f>
        <v>100</v>
      </c>
    </row>
    <row r="178" customFormat="false" ht="23.85" hidden="false" customHeight="false" outlineLevel="0" collapsed="false">
      <c r="A178" s="51" t="str">
        <f aca="false">C_KPI_Benchmark!A178</f>
        <v>3.d-D2-12</v>
      </c>
      <c r="B178" s="52" t="str">
        <f aca="false">C_KPI_Benchmark!D178</f>
        <v>3.d</v>
      </c>
      <c r="C178" s="51" t="str">
        <f aca="false">C_KPI_Benchmark!E178</f>
        <v>AI Code Review Agent (Review Shield)</v>
      </c>
      <c r="D178" s="52" t="str">
        <f aca="false">C_KPI_Benchmark!F178</f>
        <v>D2</v>
      </c>
      <c r="E178" s="51" t="str">
        <f aca="false">C_KPI_Benchmark!J178</f>
        <v>Product lines supported with ≤10% efficacy drop (NVMe SSD, UFS, eMMC/uSD, PSSD)</v>
      </c>
      <c r="F178" s="52" t="str">
        <f aca="false">C_KPI_Benchmark!K178</f>
        <v>count</v>
      </c>
      <c r="G178" s="51" t="str">
        <f aca="false">C_KPI_Benchmark!L178</f>
        <v>Higher is better</v>
      </c>
      <c r="H178" s="62" t="n">
        <f aca="false">C_KPI_Benchmark!N178</f>
        <v>3</v>
      </c>
      <c r="I178" s="63" t="n">
        <f aca="false">IF(C_KPI_Benchmark!O178&lt;&gt;"",C_KPI_Benchmark!O178,IF(G178="Higher is better",H178*(1-A_Scoring_Model!$C$16),H178*(1+A_Scoring_Model!$C$16)))</f>
        <v>2</v>
      </c>
      <c r="J178" s="64"/>
      <c r="K178" s="64"/>
      <c r="L178" s="64"/>
      <c r="M178" s="64" t="n">
        <v>3</v>
      </c>
      <c r="N178" s="56" t="str">
        <f aca="false">IF(J178="","",IF($H178=$I178,IF(OR(AND($G178="Higher is better",J178&gt;=$H178),AND($G178="Lower is better",J178&lt;=$H178)),A_Scoring_Model!$C$14,0),IF($G178="Higher is better",IF(J178&gt;=$H178,A_Scoring_Model!$C$14,IF(J178&lt;$I178,0,A_Scoring_Model!$C$15+(A_Scoring_Model!$C$14-A_Scoring_Model!$C$15)*(J178-$I178)/($H178-$I178))),IF(J178&lt;=$H178,A_Scoring_Model!$C$14,IF(J178&gt;$I178,0,A_Scoring_Model!$C$15+(A_Scoring_Model!$C$14-A_Scoring_Model!$C$15)*($I178-J178)/($I178-$H178))))))</f>
        <v/>
      </c>
      <c r="O178" s="56" t="str">
        <f aca="false">IF(K178="","",IF($H178=$I178,IF(OR(AND($G178="Higher is better",K178&gt;=$H178),AND($G178="Lower is better",K178&lt;=$H178)),A_Scoring_Model!$C$14,0),IF($G178="Higher is better",IF(K178&gt;=$H178,A_Scoring_Model!$C$14,IF(K178&lt;$I178,0,A_Scoring_Model!$C$15+(A_Scoring_Model!$C$14-A_Scoring_Model!$C$15)*(K178-$I178)/($H178-$I178))),IF(K178&lt;=$H178,A_Scoring_Model!$C$14,IF(K178&gt;$I178,0,A_Scoring_Model!$C$15+(A_Scoring_Model!$C$14-A_Scoring_Model!$C$15)*($I178-K178)/($I178-$H178))))))</f>
        <v/>
      </c>
      <c r="P178" s="56" t="str">
        <f aca="false">IF(L178="","",IF($H178=$I178,IF(OR(AND($G178="Higher is better",L178&gt;=$H178),AND($G178="Lower is better",L178&lt;=$H178)),A_Scoring_Model!$C$14,0),IF($G178="Higher is better",IF(L178&gt;=$H178,A_Scoring_Model!$C$14,IF(L178&lt;$I178,0,A_Scoring_Model!$C$15+(A_Scoring_Model!$C$14-A_Scoring_Model!$C$15)*(L178-$I178)/($H178-$I178))),IF(L178&lt;=$H178,A_Scoring_Model!$C$14,IF(L178&gt;$I178,0,A_Scoring_Model!$C$15+(A_Scoring_Model!$C$14-A_Scoring_Model!$C$15)*($I178-L178)/($I178-$H178))))))</f>
        <v/>
      </c>
      <c r="Q178" s="56" t="n">
        <f aca="false">IF(M178="","",IF($H178=$I178,IF(OR(AND($G178="Higher is better",M178&gt;=$H178),AND($G178="Lower is better",M178&lt;=$H178)),A_Scoring_Model!$C$14,0),IF($G178="Higher is better",IF(M178&gt;=$H178,A_Scoring_Model!$C$14,IF(M178&lt;$I178,0,A_Scoring_Model!$C$15+(A_Scoring_Model!$C$14-A_Scoring_Model!$C$15)*(M178-$I178)/($H178-$I178))),IF(M178&lt;=$H178,A_Scoring_Model!$C$14,IF(M178&gt;$I178,0,A_Scoring_Model!$C$15+(A_Scoring_Model!$C$14-A_Scoring_Model!$C$15)*($I178-M178)/($I178-$H178))))))</f>
        <v>100</v>
      </c>
    </row>
    <row r="179" customFormat="false" ht="23.85" hidden="false" customHeight="false" outlineLevel="0" collapsed="false">
      <c r="A179" s="51" t="str">
        <f aca="false">C_KPI_Benchmark!A179</f>
        <v>3.d-D2-13</v>
      </c>
      <c r="B179" s="52" t="str">
        <f aca="false">C_KPI_Benchmark!D179</f>
        <v>3.d</v>
      </c>
      <c r="C179" s="51" t="str">
        <f aca="false">C_KPI_Benchmark!E179</f>
        <v>AI Code Review Agent (Review Shield)</v>
      </c>
      <c r="D179" s="52" t="str">
        <f aca="false">C_KPI_Benchmark!F179</f>
        <v>D2</v>
      </c>
      <c r="E179" s="51" t="str">
        <f aca="false">C_KPI_Benchmark!J179</f>
        <v>Uses Zion shared services instead of re-implementing them</v>
      </c>
      <c r="F179" s="52" t="str">
        <f aca="false">C_KPI_Benchmark!K179</f>
        <v>Yes/No</v>
      </c>
      <c r="G179" s="51" t="str">
        <f aca="false">C_KPI_Benchmark!L179</f>
        <v>Higher is better</v>
      </c>
      <c r="H179" s="60" t="n">
        <f aca="false">C_KPI_Benchmark!N179</f>
        <v>1</v>
      </c>
      <c r="I179" s="56" t="n">
        <f aca="false">IF(C_KPI_Benchmark!O179&lt;&gt;"",C_KPI_Benchmark!O179,IF(G179="Higher is better",H179*(1-A_Scoring_Model!$C$16),H179*(1+A_Scoring_Model!$C$16)))</f>
        <v>0.8</v>
      </c>
      <c r="J179" s="61"/>
      <c r="K179" s="61"/>
      <c r="L179" s="61"/>
      <c r="M179" s="61" t="n">
        <v>0</v>
      </c>
      <c r="N179" s="56" t="str">
        <f aca="false">IF(J179="","",IF($H179=$I179,IF(OR(AND($G179="Higher is better",J179&gt;=$H179),AND($G179="Lower is better",J179&lt;=$H179)),A_Scoring_Model!$C$14,0),IF($G179="Higher is better",IF(J179&gt;=$H179,A_Scoring_Model!$C$14,IF(J179&lt;$I179,0,A_Scoring_Model!$C$15+(A_Scoring_Model!$C$14-A_Scoring_Model!$C$15)*(J179-$I179)/($H179-$I179))),IF(J179&lt;=$H179,A_Scoring_Model!$C$14,IF(J179&gt;$I179,0,A_Scoring_Model!$C$15+(A_Scoring_Model!$C$14-A_Scoring_Model!$C$15)*($I179-J179)/($I179-$H179))))))</f>
        <v/>
      </c>
      <c r="O179" s="56" t="str">
        <f aca="false">IF(K179="","",IF($H179=$I179,IF(OR(AND($G179="Higher is better",K179&gt;=$H179),AND($G179="Lower is better",K179&lt;=$H179)),A_Scoring_Model!$C$14,0),IF($G179="Higher is better",IF(K179&gt;=$H179,A_Scoring_Model!$C$14,IF(K179&lt;$I179,0,A_Scoring_Model!$C$15+(A_Scoring_Model!$C$14-A_Scoring_Model!$C$15)*(K179-$I179)/($H179-$I179))),IF(K179&lt;=$H179,A_Scoring_Model!$C$14,IF(K179&gt;$I179,0,A_Scoring_Model!$C$15+(A_Scoring_Model!$C$14-A_Scoring_Model!$C$15)*($I179-K179)/($I179-$H179))))))</f>
        <v/>
      </c>
      <c r="P179" s="56" t="str">
        <f aca="false">IF(L179="","",IF($H179=$I179,IF(OR(AND($G179="Higher is better",L179&gt;=$H179),AND($G179="Lower is better",L179&lt;=$H179)),A_Scoring_Model!$C$14,0),IF($G179="Higher is better",IF(L179&gt;=$H179,A_Scoring_Model!$C$14,IF(L179&lt;$I179,0,A_Scoring_Model!$C$15+(A_Scoring_Model!$C$14-A_Scoring_Model!$C$15)*(L179-$I179)/($H179-$I179))),IF(L179&lt;=$H179,A_Scoring_Model!$C$14,IF(L179&gt;$I179,0,A_Scoring_Model!$C$15+(A_Scoring_Model!$C$14-A_Scoring_Model!$C$15)*($I179-L179)/($I179-$H179))))))</f>
        <v/>
      </c>
      <c r="Q179" s="56" t="n">
        <f aca="false">IF(M179="","",IF($H179=$I179,IF(OR(AND($G179="Higher is better",M179&gt;=$H179),AND($G179="Lower is better",M179&lt;=$H179)),A_Scoring_Model!$C$14,0),IF($G179="Higher is better",IF(M179&gt;=$H179,A_Scoring_Model!$C$14,IF(M179&lt;$I179,0,A_Scoring_Model!$C$15+(A_Scoring_Model!$C$14-A_Scoring_Model!$C$15)*(M179-$I179)/($H179-$I179))),IF(M179&lt;=$H179,A_Scoring_Model!$C$14,IF(M179&gt;$I179,0,A_Scoring_Model!$C$15+(A_Scoring_Model!$C$14-A_Scoring_Model!$C$15)*($I179-M179)/($I179-$H179))))))</f>
        <v>0</v>
      </c>
    </row>
    <row r="180" customFormat="false" ht="23.85" hidden="false" customHeight="false" outlineLevel="0" collapsed="false">
      <c r="A180" s="51" t="str">
        <f aca="false">C_KPI_Benchmark!A180</f>
        <v>3.d-D3-14</v>
      </c>
      <c r="B180" s="52" t="str">
        <f aca="false">C_KPI_Benchmark!D180</f>
        <v>3.d</v>
      </c>
      <c r="C180" s="51" t="str">
        <f aca="false">C_KPI_Benchmark!E180</f>
        <v>AI Code Review Agent (Review Shield)</v>
      </c>
      <c r="D180" s="52" t="str">
        <f aca="false">C_KPI_Benchmark!F180</f>
        <v>D3</v>
      </c>
      <c r="E180" s="51" t="str">
        <f aca="false">C_KPI_Benchmark!J180</f>
        <v>Average AI review latency per MR</v>
      </c>
      <c r="F180" s="52" t="str">
        <f aca="false">C_KPI_Benchmark!K180</f>
        <v>min</v>
      </c>
      <c r="G180" s="51" t="str">
        <f aca="false">C_KPI_Benchmark!L180</f>
        <v>Lower is better</v>
      </c>
      <c r="H180" s="62" t="n">
        <f aca="false">C_KPI_Benchmark!N180</f>
        <v>5</v>
      </c>
      <c r="I180" s="63" t="n">
        <f aca="false">IF(C_KPI_Benchmark!O180&lt;&gt;"",C_KPI_Benchmark!O180,IF(G180="Higher is better",H180*(1-A_Scoring_Model!$C$16),H180*(1+A_Scoring_Model!$C$16)))</f>
        <v>10</v>
      </c>
      <c r="J180" s="64"/>
      <c r="K180" s="64"/>
      <c r="L180" s="64"/>
      <c r="M180" s="64" t="n">
        <v>2</v>
      </c>
      <c r="N180" s="56" t="str">
        <f aca="false">IF(J180="","",IF($H180=$I180,IF(OR(AND($G180="Higher is better",J180&gt;=$H180),AND($G180="Lower is better",J180&lt;=$H180)),A_Scoring_Model!$C$14,0),IF($G180="Higher is better",IF(J180&gt;=$H180,A_Scoring_Model!$C$14,IF(J180&lt;$I180,0,A_Scoring_Model!$C$15+(A_Scoring_Model!$C$14-A_Scoring_Model!$C$15)*(J180-$I180)/($H180-$I180))),IF(J180&lt;=$H180,A_Scoring_Model!$C$14,IF(J180&gt;$I180,0,A_Scoring_Model!$C$15+(A_Scoring_Model!$C$14-A_Scoring_Model!$C$15)*($I180-J180)/($I180-$H180))))))</f>
        <v/>
      </c>
      <c r="O180" s="56" t="str">
        <f aca="false">IF(K180="","",IF($H180=$I180,IF(OR(AND($G180="Higher is better",K180&gt;=$H180),AND($G180="Lower is better",K180&lt;=$H180)),A_Scoring_Model!$C$14,0),IF($G180="Higher is better",IF(K180&gt;=$H180,A_Scoring_Model!$C$14,IF(K180&lt;$I180,0,A_Scoring_Model!$C$15+(A_Scoring_Model!$C$14-A_Scoring_Model!$C$15)*(K180-$I180)/($H180-$I180))),IF(K180&lt;=$H180,A_Scoring_Model!$C$14,IF(K180&gt;$I180,0,A_Scoring_Model!$C$15+(A_Scoring_Model!$C$14-A_Scoring_Model!$C$15)*($I180-K180)/($I180-$H180))))))</f>
        <v/>
      </c>
      <c r="P180" s="56" t="str">
        <f aca="false">IF(L180="","",IF($H180=$I180,IF(OR(AND($G180="Higher is better",L180&gt;=$H180),AND($G180="Lower is better",L180&lt;=$H180)),A_Scoring_Model!$C$14,0),IF($G180="Higher is better",IF(L180&gt;=$H180,A_Scoring_Model!$C$14,IF(L180&lt;$I180,0,A_Scoring_Model!$C$15+(A_Scoring_Model!$C$14-A_Scoring_Model!$C$15)*(L180-$I180)/($H180-$I180))),IF(L180&lt;=$H180,A_Scoring_Model!$C$14,IF(L180&gt;$I180,0,A_Scoring_Model!$C$15+(A_Scoring_Model!$C$14-A_Scoring_Model!$C$15)*($I180-L180)/($I180-$H180))))))</f>
        <v/>
      </c>
      <c r="Q180" s="56" t="n">
        <f aca="false">IF(M180="","",IF($H180=$I180,IF(OR(AND($G180="Higher is better",M180&gt;=$H180),AND($G180="Lower is better",M180&lt;=$H180)),A_Scoring_Model!$C$14,0),IF($G180="Higher is better",IF(M180&gt;=$H180,A_Scoring_Model!$C$14,IF(M180&lt;$I180,0,A_Scoring_Model!$C$15+(A_Scoring_Model!$C$14-A_Scoring_Model!$C$15)*(M180-$I180)/($H180-$I180))),IF(M180&lt;=$H180,A_Scoring_Model!$C$14,IF(M180&gt;$I180,0,A_Scoring_Model!$C$15+(A_Scoring_Model!$C$14-A_Scoring_Model!$C$15)*($I180-M180)/($I180-$H180))))))</f>
        <v>100</v>
      </c>
    </row>
    <row r="181" customFormat="false" ht="23.85" hidden="false" customHeight="false" outlineLevel="0" collapsed="false">
      <c r="A181" s="51" t="str">
        <f aca="false">C_KPI_Benchmark!A181</f>
        <v>3.d-D3-15</v>
      </c>
      <c r="B181" s="52" t="str">
        <f aca="false">C_KPI_Benchmark!D181</f>
        <v>3.d</v>
      </c>
      <c r="C181" s="51" t="str">
        <f aca="false">C_KPI_Benchmark!E181</f>
        <v>AI Code Review Agent (Review Shield)</v>
      </c>
      <c r="D181" s="52" t="str">
        <f aca="false">C_KPI_Benchmark!F181</f>
        <v>D3</v>
      </c>
      <c r="E181" s="51" t="str">
        <f aca="false">C_KPI_Benchmark!J181</f>
        <v>Sustained review throughput</v>
      </c>
      <c r="F181" s="52" t="str">
        <f aca="false">C_KPI_Benchmark!K181</f>
        <v>reviews/day</v>
      </c>
      <c r="G181" s="51" t="str">
        <f aca="false">C_KPI_Benchmark!L181</f>
        <v>Higher is better</v>
      </c>
      <c r="H181" s="62" t="n">
        <f aca="false">C_KPI_Benchmark!N181</f>
        <v>100</v>
      </c>
      <c r="I181" s="63" t="n">
        <f aca="false">IF(C_KPI_Benchmark!O181&lt;&gt;"",C_KPI_Benchmark!O181,IF(G181="Higher is better",H181*(1-A_Scoring_Model!$C$16),H181*(1+A_Scoring_Model!$C$16)))</f>
        <v>50</v>
      </c>
      <c r="J181" s="64"/>
      <c r="K181" s="64"/>
      <c r="L181" s="64"/>
      <c r="M181" s="64" t="n">
        <v>4.6</v>
      </c>
      <c r="N181" s="56" t="str">
        <f aca="false">IF(J181="","",IF($H181=$I181,IF(OR(AND($G181="Higher is better",J181&gt;=$H181),AND($G181="Lower is better",J181&lt;=$H181)),A_Scoring_Model!$C$14,0),IF($G181="Higher is better",IF(J181&gt;=$H181,A_Scoring_Model!$C$14,IF(J181&lt;$I181,0,A_Scoring_Model!$C$15+(A_Scoring_Model!$C$14-A_Scoring_Model!$C$15)*(J181-$I181)/($H181-$I181))),IF(J181&lt;=$H181,A_Scoring_Model!$C$14,IF(J181&gt;$I181,0,A_Scoring_Model!$C$15+(A_Scoring_Model!$C$14-A_Scoring_Model!$C$15)*($I181-J181)/($I181-$H181))))))</f>
        <v/>
      </c>
      <c r="O181" s="56" t="str">
        <f aca="false">IF(K181="","",IF($H181=$I181,IF(OR(AND($G181="Higher is better",K181&gt;=$H181),AND($G181="Lower is better",K181&lt;=$H181)),A_Scoring_Model!$C$14,0),IF($G181="Higher is better",IF(K181&gt;=$H181,A_Scoring_Model!$C$14,IF(K181&lt;$I181,0,A_Scoring_Model!$C$15+(A_Scoring_Model!$C$14-A_Scoring_Model!$C$15)*(K181-$I181)/($H181-$I181))),IF(K181&lt;=$H181,A_Scoring_Model!$C$14,IF(K181&gt;$I181,0,A_Scoring_Model!$C$15+(A_Scoring_Model!$C$14-A_Scoring_Model!$C$15)*($I181-K181)/($I181-$H181))))))</f>
        <v/>
      </c>
      <c r="P181" s="56" t="str">
        <f aca="false">IF(L181="","",IF($H181=$I181,IF(OR(AND($G181="Higher is better",L181&gt;=$H181),AND($G181="Lower is better",L181&lt;=$H181)),A_Scoring_Model!$C$14,0),IF($G181="Higher is better",IF(L181&gt;=$H181,A_Scoring_Model!$C$14,IF(L181&lt;$I181,0,A_Scoring_Model!$C$15+(A_Scoring_Model!$C$14-A_Scoring_Model!$C$15)*(L181-$I181)/($H181-$I181))),IF(L181&lt;=$H181,A_Scoring_Model!$C$14,IF(L181&gt;$I181,0,A_Scoring_Model!$C$15+(A_Scoring_Model!$C$14-A_Scoring_Model!$C$15)*($I181-L181)/($I181-$H181))))))</f>
        <v/>
      </c>
      <c r="Q181" s="56" t="n">
        <f aca="false">IF(M181="","",IF($H181=$I181,IF(OR(AND($G181="Higher is better",M181&gt;=$H181),AND($G181="Lower is better",M181&lt;=$H181)),A_Scoring_Model!$C$14,0),IF($G181="Higher is better",IF(M181&gt;=$H181,A_Scoring_Model!$C$14,IF(M181&lt;$I181,0,A_Scoring_Model!$C$15+(A_Scoring_Model!$C$14-A_Scoring_Model!$C$15)*(M181-$I181)/($H181-$I181))),IF(M181&lt;=$H181,A_Scoring_Model!$C$14,IF(M181&gt;$I181,0,A_Scoring_Model!$C$15+(A_Scoring_Model!$C$14-A_Scoring_Model!$C$15)*($I181-M181)/($I181-$H181))))))</f>
        <v>0</v>
      </c>
    </row>
    <row r="182" customFormat="false" ht="23.85" hidden="false" customHeight="false" outlineLevel="0" collapsed="false">
      <c r="A182" s="51" t="str">
        <f aca="false">C_KPI_Benchmark!A182</f>
        <v>3.d-D3-16</v>
      </c>
      <c r="B182" s="52" t="str">
        <f aca="false">C_KPI_Benchmark!D182</f>
        <v>3.d</v>
      </c>
      <c r="C182" s="51" t="str">
        <f aca="false">C_KPI_Benchmark!E182</f>
        <v>AI Code Review Agent (Review Shield)</v>
      </c>
      <c r="D182" s="52" t="str">
        <f aca="false">C_KPI_Benchmark!F182</f>
        <v>D3</v>
      </c>
      <c r="E182" s="51" t="str">
        <f aca="false">C_KPI_Benchmark!J182</f>
        <v>LLM tokens consumed per review</v>
      </c>
      <c r="F182" s="52" t="str">
        <f aca="false">C_KPI_Benchmark!K182</f>
        <v>tokens</v>
      </c>
      <c r="G182" s="51" t="str">
        <f aca="false">C_KPI_Benchmark!L182</f>
        <v>Lower is better</v>
      </c>
      <c r="H182" s="62" t="n">
        <f aca="false">C_KPI_Benchmark!N182</f>
        <v>50000</v>
      </c>
      <c r="I182" s="63" t="n">
        <f aca="false">IF(C_KPI_Benchmark!O182&lt;&gt;"",C_KPI_Benchmark!O182,IF(G182="Higher is better",H182*(1-A_Scoring_Model!$C$16),H182*(1+A_Scoring_Model!$C$16)))</f>
        <v>75000</v>
      </c>
      <c r="J182" s="64"/>
      <c r="K182" s="64"/>
      <c r="L182" s="64"/>
      <c r="M182" s="64" t="n">
        <v>87500</v>
      </c>
      <c r="N182" s="56" t="str">
        <f aca="false">IF(J182="","",IF($H182=$I182,IF(OR(AND($G182="Higher is better",J182&gt;=$H182),AND($G182="Lower is better",J182&lt;=$H182)),A_Scoring_Model!$C$14,0),IF($G182="Higher is better",IF(J182&gt;=$H182,A_Scoring_Model!$C$14,IF(J182&lt;$I182,0,A_Scoring_Model!$C$15+(A_Scoring_Model!$C$14-A_Scoring_Model!$C$15)*(J182-$I182)/($H182-$I182))),IF(J182&lt;=$H182,A_Scoring_Model!$C$14,IF(J182&gt;$I182,0,A_Scoring_Model!$C$15+(A_Scoring_Model!$C$14-A_Scoring_Model!$C$15)*($I182-J182)/($I182-$H182))))))</f>
        <v/>
      </c>
      <c r="O182" s="56" t="str">
        <f aca="false">IF(K182="","",IF($H182=$I182,IF(OR(AND($G182="Higher is better",K182&gt;=$H182),AND($G182="Lower is better",K182&lt;=$H182)),A_Scoring_Model!$C$14,0),IF($G182="Higher is better",IF(K182&gt;=$H182,A_Scoring_Model!$C$14,IF(K182&lt;$I182,0,A_Scoring_Model!$C$15+(A_Scoring_Model!$C$14-A_Scoring_Model!$C$15)*(K182-$I182)/($H182-$I182))),IF(K182&lt;=$H182,A_Scoring_Model!$C$14,IF(K182&gt;$I182,0,A_Scoring_Model!$C$15+(A_Scoring_Model!$C$14-A_Scoring_Model!$C$15)*($I182-K182)/($I182-$H182))))))</f>
        <v/>
      </c>
      <c r="P182" s="56" t="str">
        <f aca="false">IF(L182="","",IF($H182=$I182,IF(OR(AND($G182="Higher is better",L182&gt;=$H182),AND($G182="Lower is better",L182&lt;=$H182)),A_Scoring_Model!$C$14,0),IF($G182="Higher is better",IF(L182&gt;=$H182,A_Scoring_Model!$C$14,IF(L182&lt;$I182,0,A_Scoring_Model!$C$15+(A_Scoring_Model!$C$14-A_Scoring_Model!$C$15)*(L182-$I182)/($H182-$I182))),IF(L182&lt;=$H182,A_Scoring_Model!$C$14,IF(L182&gt;$I182,0,A_Scoring_Model!$C$15+(A_Scoring_Model!$C$14-A_Scoring_Model!$C$15)*($I182-L182)/($I182-$H182))))))</f>
        <v/>
      </c>
      <c r="Q182" s="56" t="n">
        <f aca="false">IF(M182="","",IF($H182=$I182,IF(OR(AND($G182="Higher is better",M182&gt;=$H182),AND($G182="Lower is better",M182&lt;=$H182)),A_Scoring_Model!$C$14,0),IF($G182="Higher is better",IF(M182&gt;=$H182,A_Scoring_Model!$C$14,IF(M182&lt;$I182,0,A_Scoring_Model!$C$15+(A_Scoring_Model!$C$14-A_Scoring_Model!$C$15)*(M182-$I182)/($H182-$I182))),IF(M182&lt;=$H182,A_Scoring_Model!$C$14,IF(M182&gt;$I182,0,A_Scoring_Model!$C$15+(A_Scoring_Model!$C$14-A_Scoring_Model!$C$15)*($I182-M182)/($I182-$H182))))))</f>
        <v>0</v>
      </c>
    </row>
    <row r="183" customFormat="false" ht="23.85" hidden="false" customHeight="false" outlineLevel="0" collapsed="false">
      <c r="A183" s="51" t="str">
        <f aca="false">C_KPI_Benchmark!A183</f>
        <v>3.d-D3-17</v>
      </c>
      <c r="B183" s="52" t="str">
        <f aca="false">C_KPI_Benchmark!D183</f>
        <v>3.d</v>
      </c>
      <c r="C183" s="51" t="str">
        <f aca="false">C_KPI_Benchmark!E183</f>
        <v>AI Code Review Agent (Review Shield)</v>
      </c>
      <c r="D183" s="52" t="str">
        <f aca="false">C_KPI_Benchmark!F183</f>
        <v>D3</v>
      </c>
      <c r="E183" s="51" t="str">
        <f aca="false">C_KPI_Benchmark!J183</f>
        <v>Graph RAG index size per repository</v>
      </c>
      <c r="F183" s="52" t="str">
        <f aca="false">C_KPI_Benchmark!K183</f>
        <v>MB</v>
      </c>
      <c r="G183" s="51" t="str">
        <f aca="false">C_KPI_Benchmark!L183</f>
        <v>Lower is better</v>
      </c>
      <c r="H183" s="62" t="n">
        <f aca="false">C_KPI_Benchmark!N183</f>
        <v>100</v>
      </c>
      <c r="I183" s="63" t="n">
        <f aca="false">IF(C_KPI_Benchmark!O183&lt;&gt;"",C_KPI_Benchmark!O183,IF(G183="Higher is better",H183*(1-A_Scoring_Model!$C$16),H183*(1+A_Scoring_Model!$C$16)))</f>
        <v>200</v>
      </c>
      <c r="J183" s="64"/>
      <c r="K183" s="64"/>
      <c r="L183" s="64"/>
      <c r="M183" s="64" t="n">
        <v>148.55</v>
      </c>
      <c r="N183" s="56" t="str">
        <f aca="false">IF(J183="","",IF($H183=$I183,IF(OR(AND($G183="Higher is better",J183&gt;=$H183),AND($G183="Lower is better",J183&lt;=$H183)),A_Scoring_Model!$C$14,0),IF($G183="Higher is better",IF(J183&gt;=$H183,A_Scoring_Model!$C$14,IF(J183&lt;$I183,0,A_Scoring_Model!$C$15+(A_Scoring_Model!$C$14-A_Scoring_Model!$C$15)*(J183-$I183)/($H183-$I183))),IF(J183&lt;=$H183,A_Scoring_Model!$C$14,IF(J183&gt;$I183,0,A_Scoring_Model!$C$15+(A_Scoring_Model!$C$14-A_Scoring_Model!$C$15)*($I183-J183)/($I183-$H183))))))</f>
        <v/>
      </c>
      <c r="O183" s="56" t="str">
        <f aca="false">IF(K183="","",IF($H183=$I183,IF(OR(AND($G183="Higher is better",K183&gt;=$H183),AND($G183="Lower is better",K183&lt;=$H183)),A_Scoring_Model!$C$14,0),IF($G183="Higher is better",IF(K183&gt;=$H183,A_Scoring_Model!$C$14,IF(K183&lt;$I183,0,A_Scoring_Model!$C$15+(A_Scoring_Model!$C$14-A_Scoring_Model!$C$15)*(K183-$I183)/($H183-$I183))),IF(K183&lt;=$H183,A_Scoring_Model!$C$14,IF(K183&gt;$I183,0,A_Scoring_Model!$C$15+(A_Scoring_Model!$C$14-A_Scoring_Model!$C$15)*($I183-K183)/($I183-$H183))))))</f>
        <v/>
      </c>
      <c r="P183" s="56" t="str">
        <f aca="false">IF(L183="","",IF($H183=$I183,IF(OR(AND($G183="Higher is better",L183&gt;=$H183),AND($G183="Lower is better",L183&lt;=$H183)),A_Scoring_Model!$C$14,0),IF($G183="Higher is better",IF(L183&gt;=$H183,A_Scoring_Model!$C$14,IF(L183&lt;$I183,0,A_Scoring_Model!$C$15+(A_Scoring_Model!$C$14-A_Scoring_Model!$C$15)*(L183-$I183)/($H183-$I183))),IF(L183&lt;=$H183,A_Scoring_Model!$C$14,IF(L183&gt;$I183,0,A_Scoring_Model!$C$15+(A_Scoring_Model!$C$14-A_Scoring_Model!$C$15)*($I183-L183)/($I183-$H183))))))</f>
        <v/>
      </c>
      <c r="Q183" s="56" t="n">
        <f aca="false">IF(M183="","",IF($H183=$I183,IF(OR(AND($G183="Higher is better",M183&gt;=$H183),AND($G183="Lower is better",M183&lt;=$H183)),A_Scoring_Model!$C$14,0),IF($G183="Higher is better",IF(M183&gt;=$H183,A_Scoring_Model!$C$14,IF(M183&lt;$I183,0,A_Scoring_Model!$C$15+(A_Scoring_Model!$C$14-A_Scoring_Model!$C$15)*(M183-$I183)/($H183-$I183))),IF(M183&lt;=$H183,A_Scoring_Model!$C$14,IF(M183&gt;$I183,0,A_Scoring_Model!$C$15+(A_Scoring_Model!$C$14-A_Scoring_Model!$C$15)*($I183-M183)/($I183-$H183))))))</f>
        <v>80.58</v>
      </c>
    </row>
    <row r="184" customFormat="false" ht="23.85" hidden="false" customHeight="false" outlineLevel="0" collapsed="false">
      <c r="A184" s="51" t="str">
        <f aca="false">C_KPI_Benchmark!A184</f>
        <v>3.d-D3-18</v>
      </c>
      <c r="B184" s="52" t="str">
        <f aca="false">C_KPI_Benchmark!D184</f>
        <v>3.d</v>
      </c>
      <c r="C184" s="51" t="str">
        <f aca="false">C_KPI_Benchmark!E184</f>
        <v>AI Code Review Agent (Review Shield)</v>
      </c>
      <c r="D184" s="52" t="str">
        <f aca="false">C_KPI_Benchmark!F184</f>
        <v>D3</v>
      </c>
      <c r="E184" s="51" t="str">
        <f aca="false">C_KPI_Benchmark!J184</f>
        <v>Latency degradation at 10× load</v>
      </c>
      <c r="F184" s="52" t="str">
        <f aca="false">C_KPI_Benchmark!K184</f>
        <v>%</v>
      </c>
      <c r="G184" s="51" t="str">
        <f aca="false">C_KPI_Benchmark!L184</f>
        <v>Lower is better</v>
      </c>
      <c r="H184" s="53" t="n">
        <f aca="false">C_KPI_Benchmark!N184</f>
        <v>0.2</v>
      </c>
      <c r="I184" s="54" t="n">
        <f aca="false">IF(C_KPI_Benchmark!O184&lt;&gt;"",C_KPI_Benchmark!O184,IF(G184="Higher is better",H184*(1-A_Scoring_Model!$C$16),H184*(1+A_Scoring_Model!$C$16)))</f>
        <v>0.4</v>
      </c>
      <c r="J184" s="55"/>
      <c r="K184" s="55"/>
      <c r="L184" s="55"/>
      <c r="M184" s="55" t="n">
        <v>0.3</v>
      </c>
      <c r="N184" s="56" t="str">
        <f aca="false">IF(J184="","",IF($H184=$I184,IF(OR(AND($G184="Higher is better",J184&gt;=$H184),AND($G184="Lower is better",J184&lt;=$H184)),A_Scoring_Model!$C$14,0),IF($G184="Higher is better",IF(J184&gt;=$H184,A_Scoring_Model!$C$14,IF(J184&lt;$I184,0,A_Scoring_Model!$C$15+(A_Scoring_Model!$C$14-A_Scoring_Model!$C$15)*(J184-$I184)/($H184-$I184))),IF(J184&lt;=$H184,A_Scoring_Model!$C$14,IF(J184&gt;$I184,0,A_Scoring_Model!$C$15+(A_Scoring_Model!$C$14-A_Scoring_Model!$C$15)*($I184-J184)/($I184-$H184))))))</f>
        <v/>
      </c>
      <c r="O184" s="56" t="str">
        <f aca="false">IF(K184="","",IF($H184=$I184,IF(OR(AND($G184="Higher is better",K184&gt;=$H184),AND($G184="Lower is better",K184&lt;=$H184)),A_Scoring_Model!$C$14,0),IF($G184="Higher is better",IF(K184&gt;=$H184,A_Scoring_Model!$C$14,IF(K184&lt;$I184,0,A_Scoring_Model!$C$15+(A_Scoring_Model!$C$14-A_Scoring_Model!$C$15)*(K184-$I184)/($H184-$I184))),IF(K184&lt;=$H184,A_Scoring_Model!$C$14,IF(K184&gt;$I184,0,A_Scoring_Model!$C$15+(A_Scoring_Model!$C$14-A_Scoring_Model!$C$15)*($I184-K184)/($I184-$H184))))))</f>
        <v/>
      </c>
      <c r="P184" s="56" t="str">
        <f aca="false">IF(L184="","",IF($H184=$I184,IF(OR(AND($G184="Higher is better",L184&gt;=$H184),AND($G184="Lower is better",L184&lt;=$H184)),A_Scoring_Model!$C$14,0),IF($G184="Higher is better",IF(L184&gt;=$H184,A_Scoring_Model!$C$14,IF(L184&lt;$I184,0,A_Scoring_Model!$C$15+(A_Scoring_Model!$C$14-A_Scoring_Model!$C$15)*(L184-$I184)/($H184-$I184))),IF(L184&lt;=$H184,A_Scoring_Model!$C$14,IF(L184&gt;$I184,0,A_Scoring_Model!$C$15+(A_Scoring_Model!$C$14-A_Scoring_Model!$C$15)*($I184-L184)/($I184-$H184))))))</f>
        <v/>
      </c>
      <c r="Q184" s="56" t="n">
        <f aca="false">IF(M184="","",IF($H184=$I184,IF(OR(AND($G184="Higher is better",M184&gt;=$H184),AND($G184="Lower is better",M184&lt;=$H184)),A_Scoring_Model!$C$14,0),IF($G184="Higher is better",IF(M184&gt;=$H184,A_Scoring_Model!$C$14,IF(M184&lt;$I184,0,A_Scoring_Model!$C$15+(A_Scoring_Model!$C$14-A_Scoring_Model!$C$15)*(M184-$I184)/($H184-$I184))),IF(M184&lt;=$H184,A_Scoring_Model!$C$14,IF(M184&gt;$I184,0,A_Scoring_Model!$C$15+(A_Scoring_Model!$C$14-A_Scoring_Model!$C$15)*($I184-M184)/($I184-$H184))))))</f>
        <v>80</v>
      </c>
    </row>
    <row r="185" customFormat="false" ht="23.85" hidden="false" customHeight="false" outlineLevel="0" collapsed="false">
      <c r="A185" s="51" t="str">
        <f aca="false">C_KPI_Benchmark!A185</f>
        <v>3.d-D4-19</v>
      </c>
      <c r="B185" s="52" t="str">
        <f aca="false">C_KPI_Benchmark!D185</f>
        <v>3.d</v>
      </c>
      <c r="C185" s="51" t="str">
        <f aca="false">C_KPI_Benchmark!E185</f>
        <v>AI Code Review Agent (Review Shield)</v>
      </c>
      <c r="D185" s="52" t="str">
        <f aca="false">C_KPI_Benchmark!F185</f>
        <v>D4</v>
      </c>
      <c r="E185" s="51" t="str">
        <f aca="false">C_KPI_Benchmark!J185</f>
        <v>Hallucinated findings (non-existent code, fields or APIs)</v>
      </c>
      <c r="F185" s="52" t="str">
        <f aca="false">C_KPI_Benchmark!K185</f>
        <v>%</v>
      </c>
      <c r="G185" s="51" t="str">
        <f aca="false">C_KPI_Benchmark!L185</f>
        <v>Lower is better</v>
      </c>
      <c r="H185" s="53" t="n">
        <f aca="false">C_KPI_Benchmark!N185</f>
        <v>0.02</v>
      </c>
      <c r="I185" s="54" t="n">
        <f aca="false">IF(C_KPI_Benchmark!O185&lt;&gt;"",C_KPI_Benchmark!O185,IF(G185="Higher is better",H185*(1-A_Scoring_Model!$C$16),H185*(1+A_Scoring_Model!$C$16)))</f>
        <v>0.05</v>
      </c>
      <c r="J185" s="55"/>
      <c r="K185" s="55"/>
      <c r="L185" s="55"/>
      <c r="M185" s="55" t="n">
        <v>0.1</v>
      </c>
      <c r="N185" s="56" t="str">
        <f aca="false">IF(J185="","",IF($H185=$I185,IF(OR(AND($G185="Higher is better",J185&gt;=$H185),AND($G185="Lower is better",J185&lt;=$H185)),A_Scoring_Model!$C$14,0),IF($G185="Higher is better",IF(J185&gt;=$H185,A_Scoring_Model!$C$14,IF(J185&lt;$I185,0,A_Scoring_Model!$C$15+(A_Scoring_Model!$C$14-A_Scoring_Model!$C$15)*(J185-$I185)/($H185-$I185))),IF(J185&lt;=$H185,A_Scoring_Model!$C$14,IF(J185&gt;$I185,0,A_Scoring_Model!$C$15+(A_Scoring_Model!$C$14-A_Scoring_Model!$C$15)*($I185-J185)/($I185-$H185))))))</f>
        <v/>
      </c>
      <c r="O185" s="56" t="str">
        <f aca="false">IF(K185="","",IF($H185=$I185,IF(OR(AND($G185="Higher is better",K185&gt;=$H185),AND($G185="Lower is better",K185&lt;=$H185)),A_Scoring_Model!$C$14,0),IF($G185="Higher is better",IF(K185&gt;=$H185,A_Scoring_Model!$C$14,IF(K185&lt;$I185,0,A_Scoring_Model!$C$15+(A_Scoring_Model!$C$14-A_Scoring_Model!$C$15)*(K185-$I185)/($H185-$I185))),IF(K185&lt;=$H185,A_Scoring_Model!$C$14,IF(K185&gt;$I185,0,A_Scoring_Model!$C$15+(A_Scoring_Model!$C$14-A_Scoring_Model!$C$15)*($I185-K185)/($I185-$H185))))))</f>
        <v/>
      </c>
      <c r="P185" s="56" t="str">
        <f aca="false">IF(L185="","",IF($H185=$I185,IF(OR(AND($G185="Higher is better",L185&gt;=$H185),AND($G185="Lower is better",L185&lt;=$H185)),A_Scoring_Model!$C$14,0),IF($G185="Higher is better",IF(L185&gt;=$H185,A_Scoring_Model!$C$14,IF(L185&lt;$I185,0,A_Scoring_Model!$C$15+(A_Scoring_Model!$C$14-A_Scoring_Model!$C$15)*(L185-$I185)/($H185-$I185))),IF(L185&lt;=$H185,A_Scoring_Model!$C$14,IF(L185&gt;$I185,0,A_Scoring_Model!$C$15+(A_Scoring_Model!$C$14-A_Scoring_Model!$C$15)*($I185-L185)/($I185-$H185))))))</f>
        <v/>
      </c>
      <c r="Q185" s="56" t="n">
        <f aca="false">IF(M185="","",IF($H185=$I185,IF(OR(AND($G185="Higher is better",M185&gt;=$H185),AND($G185="Lower is better",M185&lt;=$H185)),A_Scoring_Model!$C$14,0),IF($G185="Higher is better",IF(M185&gt;=$H185,A_Scoring_Model!$C$14,IF(M185&lt;$I185,0,A_Scoring_Model!$C$15+(A_Scoring_Model!$C$14-A_Scoring_Model!$C$15)*(M185-$I185)/($H185-$I185))),IF(M185&lt;=$H185,A_Scoring_Model!$C$14,IF(M185&gt;$I185,0,A_Scoring_Model!$C$15+(A_Scoring_Model!$C$14-A_Scoring_Model!$C$15)*($I185-M185)/($I185-$H185))))))</f>
        <v>0</v>
      </c>
    </row>
    <row r="186" customFormat="false" ht="23.85" hidden="false" customHeight="false" outlineLevel="0" collapsed="false">
      <c r="A186" s="51" t="str">
        <f aca="false">C_KPI_Benchmark!A186</f>
        <v>3.d-D4-20</v>
      </c>
      <c r="B186" s="52" t="str">
        <f aca="false">C_KPI_Benchmark!D186</f>
        <v>3.d</v>
      </c>
      <c r="C186" s="51" t="str">
        <f aca="false">C_KPI_Benchmark!E186</f>
        <v>AI Code Review Agent (Review Shield)</v>
      </c>
      <c r="D186" s="52" t="str">
        <f aca="false">C_KPI_Benchmark!F186</f>
        <v>D4</v>
      </c>
      <c r="E186" s="51" t="str">
        <f aca="false">C_KPI_Benchmark!J186</f>
        <v>Findings carrying exact file, line and severity</v>
      </c>
      <c r="F186" s="52" t="str">
        <f aca="false">C_KPI_Benchmark!K186</f>
        <v>%</v>
      </c>
      <c r="G186" s="51" t="str">
        <f aca="false">C_KPI_Benchmark!L186</f>
        <v>Higher is better</v>
      </c>
      <c r="H186" s="53" t="n">
        <f aca="false">C_KPI_Benchmark!N186</f>
        <v>1</v>
      </c>
      <c r="I186" s="54" t="n">
        <f aca="false">IF(C_KPI_Benchmark!O186&lt;&gt;"",C_KPI_Benchmark!O186,IF(G186="Higher is better",H186*(1-A_Scoring_Model!$C$16),H186*(1+A_Scoring_Model!$C$16)))</f>
        <v>0.95</v>
      </c>
      <c r="J186" s="55"/>
      <c r="K186" s="55"/>
      <c r="L186" s="55"/>
      <c r="M186" s="55" t="n">
        <v>0.95</v>
      </c>
      <c r="N186" s="56" t="str">
        <f aca="false">IF(J186="","",IF($H186=$I186,IF(OR(AND($G186="Higher is better",J186&gt;=$H186),AND($G186="Lower is better",J186&lt;=$H186)),A_Scoring_Model!$C$14,0),IF($G186="Higher is better",IF(J186&gt;=$H186,A_Scoring_Model!$C$14,IF(J186&lt;$I186,0,A_Scoring_Model!$C$15+(A_Scoring_Model!$C$14-A_Scoring_Model!$C$15)*(J186-$I186)/($H186-$I186))),IF(J186&lt;=$H186,A_Scoring_Model!$C$14,IF(J186&gt;$I186,0,A_Scoring_Model!$C$15+(A_Scoring_Model!$C$14-A_Scoring_Model!$C$15)*($I186-J186)/($I186-$H186))))))</f>
        <v/>
      </c>
      <c r="O186" s="56" t="str">
        <f aca="false">IF(K186="","",IF($H186=$I186,IF(OR(AND($G186="Higher is better",K186&gt;=$H186),AND($G186="Lower is better",K186&lt;=$H186)),A_Scoring_Model!$C$14,0),IF($G186="Higher is better",IF(K186&gt;=$H186,A_Scoring_Model!$C$14,IF(K186&lt;$I186,0,A_Scoring_Model!$C$15+(A_Scoring_Model!$C$14-A_Scoring_Model!$C$15)*(K186-$I186)/($H186-$I186))),IF(K186&lt;=$H186,A_Scoring_Model!$C$14,IF(K186&gt;$I186,0,A_Scoring_Model!$C$15+(A_Scoring_Model!$C$14-A_Scoring_Model!$C$15)*($I186-K186)/($I186-$H186))))))</f>
        <v/>
      </c>
      <c r="P186" s="56" t="str">
        <f aca="false">IF(L186="","",IF($H186=$I186,IF(OR(AND($G186="Higher is better",L186&gt;=$H186),AND($G186="Lower is better",L186&lt;=$H186)),A_Scoring_Model!$C$14,0),IF($G186="Higher is better",IF(L186&gt;=$H186,A_Scoring_Model!$C$14,IF(L186&lt;$I186,0,A_Scoring_Model!$C$15+(A_Scoring_Model!$C$14-A_Scoring_Model!$C$15)*(L186-$I186)/($H186-$I186))),IF(L186&lt;=$H186,A_Scoring_Model!$C$14,IF(L186&gt;$I186,0,A_Scoring_Model!$C$15+(A_Scoring_Model!$C$14-A_Scoring_Model!$C$15)*($I186-L186)/($I186-$H186))))))</f>
        <v/>
      </c>
      <c r="Q186" s="56" t="n">
        <f aca="false">IF(M186="","",IF($H186=$I186,IF(OR(AND($G186="Higher is better",M186&gt;=$H186),AND($G186="Lower is better",M186&lt;=$H186)),A_Scoring_Model!$C$14,0),IF($G186="Higher is better",IF(M186&gt;=$H186,A_Scoring_Model!$C$14,IF(M186&lt;$I186,0,A_Scoring_Model!$C$15+(A_Scoring_Model!$C$14-A_Scoring_Model!$C$15)*(M186-$I186)/($H186-$I186))),IF(M186&lt;=$H186,A_Scoring_Model!$C$14,IF(M186&gt;$I186,0,A_Scoring_Model!$C$15+(A_Scoring_Model!$C$14-A_Scoring_Model!$C$15)*($I186-M186)/($I186-$H186))))))</f>
        <v>60</v>
      </c>
    </row>
    <row r="187" customFormat="false" ht="23.85" hidden="false" customHeight="false" outlineLevel="0" collapsed="false">
      <c r="A187" s="51" t="str">
        <f aca="false">C_KPI_Benchmark!A187</f>
        <v>3.d-D4-21</v>
      </c>
      <c r="B187" s="52" t="str">
        <f aca="false">C_KPI_Benchmark!D187</f>
        <v>3.d</v>
      </c>
      <c r="C187" s="51" t="str">
        <f aca="false">C_KPI_Benchmark!E187</f>
        <v>AI Code Review Agent (Review Shield)</v>
      </c>
      <c r="D187" s="52" t="str">
        <f aca="false">C_KPI_Benchmark!F187</f>
        <v>D4</v>
      </c>
      <c r="E187" s="51" t="str">
        <f aca="false">C_KPI_Benchmark!J187</f>
        <v>Run-to-run consistency on the same MR</v>
      </c>
      <c r="F187" s="52" t="str">
        <f aca="false">C_KPI_Benchmark!K187</f>
        <v>%</v>
      </c>
      <c r="G187" s="51" t="str">
        <f aca="false">C_KPI_Benchmark!L187</f>
        <v>Higher is better</v>
      </c>
      <c r="H187" s="53" t="n">
        <f aca="false">C_KPI_Benchmark!N187</f>
        <v>0.95</v>
      </c>
      <c r="I187" s="54" t="n">
        <f aca="false">IF(C_KPI_Benchmark!O187&lt;&gt;"",C_KPI_Benchmark!O187,IF(G187="Higher is better",H187*(1-A_Scoring_Model!$C$16),H187*(1+A_Scoring_Model!$C$16)))</f>
        <v>0.9</v>
      </c>
      <c r="J187" s="55"/>
      <c r="K187" s="55"/>
      <c r="L187" s="55"/>
      <c r="M187" s="55" t="n">
        <v>0.75</v>
      </c>
      <c r="N187" s="56" t="str">
        <f aca="false">IF(J187="","",IF($H187=$I187,IF(OR(AND($G187="Higher is better",J187&gt;=$H187),AND($G187="Lower is better",J187&lt;=$H187)),A_Scoring_Model!$C$14,0),IF($G187="Higher is better",IF(J187&gt;=$H187,A_Scoring_Model!$C$14,IF(J187&lt;$I187,0,A_Scoring_Model!$C$15+(A_Scoring_Model!$C$14-A_Scoring_Model!$C$15)*(J187-$I187)/($H187-$I187))),IF(J187&lt;=$H187,A_Scoring_Model!$C$14,IF(J187&gt;$I187,0,A_Scoring_Model!$C$15+(A_Scoring_Model!$C$14-A_Scoring_Model!$C$15)*($I187-J187)/($I187-$H187))))))</f>
        <v/>
      </c>
      <c r="O187" s="56" t="str">
        <f aca="false">IF(K187="","",IF($H187=$I187,IF(OR(AND($G187="Higher is better",K187&gt;=$H187),AND($G187="Lower is better",K187&lt;=$H187)),A_Scoring_Model!$C$14,0),IF($G187="Higher is better",IF(K187&gt;=$H187,A_Scoring_Model!$C$14,IF(K187&lt;$I187,0,A_Scoring_Model!$C$15+(A_Scoring_Model!$C$14-A_Scoring_Model!$C$15)*(K187-$I187)/($H187-$I187))),IF(K187&lt;=$H187,A_Scoring_Model!$C$14,IF(K187&gt;$I187,0,A_Scoring_Model!$C$15+(A_Scoring_Model!$C$14-A_Scoring_Model!$C$15)*($I187-K187)/($I187-$H187))))))</f>
        <v/>
      </c>
      <c r="P187" s="56" t="str">
        <f aca="false">IF(L187="","",IF($H187=$I187,IF(OR(AND($G187="Higher is better",L187&gt;=$H187),AND($G187="Lower is better",L187&lt;=$H187)),A_Scoring_Model!$C$14,0),IF($G187="Higher is better",IF(L187&gt;=$H187,A_Scoring_Model!$C$14,IF(L187&lt;$I187,0,A_Scoring_Model!$C$15+(A_Scoring_Model!$C$14-A_Scoring_Model!$C$15)*(L187-$I187)/($H187-$I187))),IF(L187&lt;=$H187,A_Scoring_Model!$C$14,IF(L187&gt;$I187,0,A_Scoring_Model!$C$15+(A_Scoring_Model!$C$14-A_Scoring_Model!$C$15)*($I187-L187)/($I187-$H187))))))</f>
        <v/>
      </c>
      <c r="Q187" s="56" t="n">
        <f aca="false">IF(M187="","",IF($H187=$I187,IF(OR(AND($G187="Higher is better",M187&gt;=$H187),AND($G187="Lower is better",M187&lt;=$H187)),A_Scoring_Model!$C$14,0),IF($G187="Higher is better",IF(M187&gt;=$H187,A_Scoring_Model!$C$14,IF(M187&lt;$I187,0,A_Scoring_Model!$C$15+(A_Scoring_Model!$C$14-A_Scoring_Model!$C$15)*(M187-$I187)/($H187-$I187))),IF(M187&lt;=$H187,A_Scoring_Model!$C$14,IF(M187&gt;$I187,0,A_Scoring_Model!$C$15+(A_Scoring_Model!$C$14-A_Scoring_Model!$C$15)*($I187-M187)/($I187-$H187))))))</f>
        <v>0</v>
      </c>
    </row>
    <row r="188" customFormat="false" ht="23.85" hidden="false" customHeight="false" outlineLevel="0" collapsed="false">
      <c r="A188" s="51" t="str">
        <f aca="false">C_KPI_Benchmark!A188</f>
        <v>3.d-D4-22</v>
      </c>
      <c r="B188" s="52" t="str">
        <f aca="false">C_KPI_Benchmark!D188</f>
        <v>3.d</v>
      </c>
      <c r="C188" s="51" t="str">
        <f aca="false">C_KPI_Benchmark!E188</f>
        <v>AI Code Review Agent (Review Shield)</v>
      </c>
      <c r="D188" s="52" t="str">
        <f aca="false">C_KPI_Benchmark!F188</f>
        <v>D4</v>
      </c>
      <c r="E188" s="51" t="str">
        <f aca="false">C_KPI_Benchmark!J188</f>
        <v>Human approves every merge (advisory comments only)</v>
      </c>
      <c r="F188" s="52" t="str">
        <f aca="false">C_KPI_Benchmark!K188</f>
        <v>Yes/No</v>
      </c>
      <c r="G188" s="51" t="str">
        <f aca="false">C_KPI_Benchmark!L188</f>
        <v>Higher is better</v>
      </c>
      <c r="H188" s="60" t="n">
        <f aca="false">C_KPI_Benchmark!N188</f>
        <v>1</v>
      </c>
      <c r="I188" s="56" t="n">
        <f aca="false">IF(C_KPI_Benchmark!O188&lt;&gt;"",C_KPI_Benchmark!O188,IF(G188="Higher is better",H188*(1-A_Scoring_Model!$C$16),H188*(1+A_Scoring_Model!$C$16)))</f>
        <v>0.8</v>
      </c>
      <c r="J188" s="61"/>
      <c r="K188" s="61"/>
      <c r="L188" s="61"/>
      <c r="M188" s="61" t="n">
        <v>1</v>
      </c>
      <c r="N188" s="56" t="str">
        <f aca="false">IF(J188="","",IF($H188=$I188,IF(OR(AND($G188="Higher is better",J188&gt;=$H188),AND($G188="Lower is better",J188&lt;=$H188)),A_Scoring_Model!$C$14,0),IF($G188="Higher is better",IF(J188&gt;=$H188,A_Scoring_Model!$C$14,IF(J188&lt;$I188,0,A_Scoring_Model!$C$15+(A_Scoring_Model!$C$14-A_Scoring_Model!$C$15)*(J188-$I188)/($H188-$I188))),IF(J188&lt;=$H188,A_Scoring_Model!$C$14,IF(J188&gt;$I188,0,A_Scoring_Model!$C$15+(A_Scoring_Model!$C$14-A_Scoring_Model!$C$15)*($I188-J188)/($I188-$H188))))))</f>
        <v/>
      </c>
      <c r="O188" s="56" t="str">
        <f aca="false">IF(K188="","",IF($H188=$I188,IF(OR(AND($G188="Higher is better",K188&gt;=$H188),AND($G188="Lower is better",K188&lt;=$H188)),A_Scoring_Model!$C$14,0),IF($G188="Higher is better",IF(K188&gt;=$H188,A_Scoring_Model!$C$14,IF(K188&lt;$I188,0,A_Scoring_Model!$C$15+(A_Scoring_Model!$C$14-A_Scoring_Model!$C$15)*(K188-$I188)/($H188-$I188))),IF(K188&lt;=$H188,A_Scoring_Model!$C$14,IF(K188&gt;$I188,0,A_Scoring_Model!$C$15+(A_Scoring_Model!$C$14-A_Scoring_Model!$C$15)*($I188-K188)/($I188-$H188))))))</f>
        <v/>
      </c>
      <c r="P188" s="56" t="str">
        <f aca="false">IF(L188="","",IF($H188=$I188,IF(OR(AND($G188="Higher is better",L188&gt;=$H188),AND($G188="Lower is better",L188&lt;=$H188)),A_Scoring_Model!$C$14,0),IF($G188="Higher is better",IF(L188&gt;=$H188,A_Scoring_Model!$C$14,IF(L188&lt;$I188,0,A_Scoring_Model!$C$15+(A_Scoring_Model!$C$14-A_Scoring_Model!$C$15)*(L188-$I188)/($H188-$I188))),IF(L188&lt;=$H188,A_Scoring_Model!$C$14,IF(L188&gt;$I188,0,A_Scoring_Model!$C$15+(A_Scoring_Model!$C$14-A_Scoring_Model!$C$15)*($I188-L188)/($I188-$H188))))))</f>
        <v/>
      </c>
      <c r="Q188" s="56" t="n">
        <f aca="false">IF(M188="","",IF($H188=$I188,IF(OR(AND($G188="Higher is better",M188&gt;=$H188),AND($G188="Lower is better",M188&lt;=$H188)),A_Scoring_Model!$C$14,0),IF($G188="Higher is better",IF(M188&gt;=$H188,A_Scoring_Model!$C$14,IF(M188&lt;$I188,0,A_Scoring_Model!$C$15+(A_Scoring_Model!$C$14-A_Scoring_Model!$C$15)*(M188-$I188)/($H188-$I188))),IF(M188&lt;=$H188,A_Scoring_Model!$C$14,IF(M188&gt;$I188,0,A_Scoring_Model!$C$15+(A_Scoring_Model!$C$14-A_Scoring_Model!$C$15)*($I188-M188)/($I188-$H188))))))</f>
        <v>100</v>
      </c>
    </row>
    <row r="189" customFormat="false" ht="23.85" hidden="false" customHeight="false" outlineLevel="0" collapsed="false">
      <c r="A189" s="51" t="str">
        <f aca="false">C_KPI_Benchmark!A189</f>
        <v>3.d-D4-23</v>
      </c>
      <c r="B189" s="52" t="str">
        <f aca="false">C_KPI_Benchmark!D189</f>
        <v>3.d</v>
      </c>
      <c r="C189" s="51" t="str">
        <f aca="false">C_KPI_Benchmark!E189</f>
        <v>AI Code Review Agent (Review Shield)</v>
      </c>
      <c r="D189" s="52" t="str">
        <f aca="false">C_KPI_Benchmark!F189</f>
        <v>D4</v>
      </c>
      <c r="E189" s="51" t="str">
        <f aca="false">C_KPI_Benchmark!J189</f>
        <v>Service availability</v>
      </c>
      <c r="F189" s="52" t="str">
        <f aca="false">C_KPI_Benchmark!K189</f>
        <v>%</v>
      </c>
      <c r="G189" s="51" t="str">
        <f aca="false">C_KPI_Benchmark!L189</f>
        <v>Higher is better</v>
      </c>
      <c r="H189" s="53" t="n">
        <f aca="false">C_KPI_Benchmark!N189</f>
        <v>0.995</v>
      </c>
      <c r="I189" s="54" t="n">
        <f aca="false">IF(C_KPI_Benchmark!O189&lt;&gt;"",C_KPI_Benchmark!O189,IF(G189="Higher is better",H189*(1-A_Scoring_Model!$C$16),H189*(1+A_Scoring_Model!$C$16)))</f>
        <v>0.99</v>
      </c>
      <c r="J189" s="55"/>
      <c r="K189" s="55"/>
      <c r="L189" s="55"/>
      <c r="M189" s="55" t="n">
        <v>0.99</v>
      </c>
      <c r="N189" s="56" t="str">
        <f aca="false">IF(J189="","",IF($H189=$I189,IF(OR(AND($G189="Higher is better",J189&gt;=$H189),AND($G189="Lower is better",J189&lt;=$H189)),A_Scoring_Model!$C$14,0),IF($G189="Higher is better",IF(J189&gt;=$H189,A_Scoring_Model!$C$14,IF(J189&lt;$I189,0,A_Scoring_Model!$C$15+(A_Scoring_Model!$C$14-A_Scoring_Model!$C$15)*(J189-$I189)/($H189-$I189))),IF(J189&lt;=$H189,A_Scoring_Model!$C$14,IF(J189&gt;$I189,0,A_Scoring_Model!$C$15+(A_Scoring_Model!$C$14-A_Scoring_Model!$C$15)*($I189-J189)/($I189-$H189))))))</f>
        <v/>
      </c>
      <c r="O189" s="56" t="str">
        <f aca="false">IF(K189="","",IF($H189=$I189,IF(OR(AND($G189="Higher is better",K189&gt;=$H189),AND($G189="Lower is better",K189&lt;=$H189)),A_Scoring_Model!$C$14,0),IF($G189="Higher is better",IF(K189&gt;=$H189,A_Scoring_Model!$C$14,IF(K189&lt;$I189,0,A_Scoring_Model!$C$15+(A_Scoring_Model!$C$14-A_Scoring_Model!$C$15)*(K189-$I189)/($H189-$I189))),IF(K189&lt;=$H189,A_Scoring_Model!$C$14,IF(K189&gt;$I189,0,A_Scoring_Model!$C$15+(A_Scoring_Model!$C$14-A_Scoring_Model!$C$15)*($I189-K189)/($I189-$H189))))))</f>
        <v/>
      </c>
      <c r="P189" s="56" t="str">
        <f aca="false">IF(L189="","",IF($H189=$I189,IF(OR(AND($G189="Higher is better",L189&gt;=$H189),AND($G189="Lower is better",L189&lt;=$H189)),A_Scoring_Model!$C$14,0),IF($G189="Higher is better",IF(L189&gt;=$H189,A_Scoring_Model!$C$14,IF(L189&lt;$I189,0,A_Scoring_Model!$C$15+(A_Scoring_Model!$C$14-A_Scoring_Model!$C$15)*(L189-$I189)/($H189-$I189))),IF(L189&lt;=$H189,A_Scoring_Model!$C$14,IF(L189&gt;$I189,0,A_Scoring_Model!$C$15+(A_Scoring_Model!$C$14-A_Scoring_Model!$C$15)*($I189-L189)/($I189-$H189))))))</f>
        <v/>
      </c>
      <c r="Q189" s="56" t="n">
        <f aca="false">IF(M189="","",IF($H189=$I189,IF(OR(AND($G189="Higher is better",M189&gt;=$H189),AND($G189="Lower is better",M189&lt;=$H189)),A_Scoring_Model!$C$14,0),IF($G189="Higher is better",IF(M189&gt;=$H189,A_Scoring_Model!$C$14,IF(M189&lt;$I189,0,A_Scoring_Model!$C$15+(A_Scoring_Model!$C$14-A_Scoring_Model!$C$15)*(M189-$I189)/($H189-$I189))),IF(M189&lt;=$H189,A_Scoring_Model!$C$14,IF(M189&gt;$I189,0,A_Scoring_Model!$C$15+(A_Scoring_Model!$C$14-A_Scoring_Model!$C$15)*($I189-M189)/($I189-$H189))))))</f>
        <v>60</v>
      </c>
    </row>
    <row r="190" customFormat="false" ht="23.85" hidden="false" customHeight="false" outlineLevel="0" collapsed="false">
      <c r="A190" s="51" t="str">
        <f aca="false">C_KPI_Benchmark!A190</f>
        <v>3.d-D5-24</v>
      </c>
      <c r="B190" s="52" t="str">
        <f aca="false">C_KPI_Benchmark!D190</f>
        <v>3.d</v>
      </c>
      <c r="C190" s="51" t="str">
        <f aca="false">C_KPI_Benchmark!E190</f>
        <v>AI Code Review Agent (Review Shield)</v>
      </c>
      <c r="D190" s="52" t="str">
        <f aca="false">C_KPI_Benchmark!F190</f>
        <v>D5</v>
      </c>
      <c r="E190" s="51" t="str">
        <f aca="false">C_KPI_Benchmark!J190</f>
        <v>Human review effort saved per MR</v>
      </c>
      <c r="F190" s="52" t="str">
        <f aca="false">C_KPI_Benchmark!K190</f>
        <v>%</v>
      </c>
      <c r="G190" s="51" t="str">
        <f aca="false">C_KPI_Benchmark!L190</f>
        <v>Higher is better</v>
      </c>
      <c r="H190" s="53" t="n">
        <f aca="false">C_KPI_Benchmark!N190</f>
        <v>0.6</v>
      </c>
      <c r="I190" s="54" t="n">
        <f aca="false">IF(C_KPI_Benchmark!O190&lt;&gt;"",C_KPI_Benchmark!O190,IF(G190="Higher is better",H190*(1-A_Scoring_Model!$C$16),H190*(1+A_Scoring_Model!$C$16)))</f>
        <v>0.4</v>
      </c>
      <c r="J190" s="55"/>
      <c r="K190" s="55"/>
      <c r="L190" s="55"/>
      <c r="M190" s="55" t="n">
        <v>0.977</v>
      </c>
      <c r="N190" s="56" t="str">
        <f aca="false">IF(J190="","",IF($H190=$I190,IF(OR(AND($G190="Higher is better",J190&gt;=$H190),AND($G190="Lower is better",J190&lt;=$H190)),A_Scoring_Model!$C$14,0),IF($G190="Higher is better",IF(J190&gt;=$H190,A_Scoring_Model!$C$14,IF(J190&lt;$I190,0,A_Scoring_Model!$C$15+(A_Scoring_Model!$C$14-A_Scoring_Model!$C$15)*(J190-$I190)/($H190-$I190))),IF(J190&lt;=$H190,A_Scoring_Model!$C$14,IF(J190&gt;$I190,0,A_Scoring_Model!$C$15+(A_Scoring_Model!$C$14-A_Scoring_Model!$C$15)*($I190-J190)/($I190-$H190))))))</f>
        <v/>
      </c>
      <c r="O190" s="56" t="str">
        <f aca="false">IF(K190="","",IF($H190=$I190,IF(OR(AND($G190="Higher is better",K190&gt;=$H190),AND($G190="Lower is better",K190&lt;=$H190)),A_Scoring_Model!$C$14,0),IF($G190="Higher is better",IF(K190&gt;=$H190,A_Scoring_Model!$C$14,IF(K190&lt;$I190,0,A_Scoring_Model!$C$15+(A_Scoring_Model!$C$14-A_Scoring_Model!$C$15)*(K190-$I190)/($H190-$I190))),IF(K190&lt;=$H190,A_Scoring_Model!$C$14,IF(K190&gt;$I190,0,A_Scoring_Model!$C$15+(A_Scoring_Model!$C$14-A_Scoring_Model!$C$15)*($I190-K190)/($I190-$H190))))))</f>
        <v/>
      </c>
      <c r="P190" s="56" t="str">
        <f aca="false">IF(L190="","",IF($H190=$I190,IF(OR(AND($G190="Higher is better",L190&gt;=$H190),AND($G190="Lower is better",L190&lt;=$H190)),A_Scoring_Model!$C$14,0),IF($G190="Higher is better",IF(L190&gt;=$H190,A_Scoring_Model!$C$14,IF(L190&lt;$I190,0,A_Scoring_Model!$C$15+(A_Scoring_Model!$C$14-A_Scoring_Model!$C$15)*(L190-$I190)/($H190-$I190))),IF(L190&lt;=$H190,A_Scoring_Model!$C$14,IF(L190&gt;$I190,0,A_Scoring_Model!$C$15+(A_Scoring_Model!$C$14-A_Scoring_Model!$C$15)*($I190-L190)/($I190-$H190))))))</f>
        <v/>
      </c>
      <c r="Q190" s="56" t="n">
        <f aca="false">IF(M190="","",IF($H190=$I190,IF(OR(AND($G190="Higher is better",M190&gt;=$H190),AND($G190="Lower is better",M190&lt;=$H190)),A_Scoring_Model!$C$14,0),IF($G190="Higher is better",IF(M190&gt;=$H190,A_Scoring_Model!$C$14,IF(M190&lt;$I190,0,A_Scoring_Model!$C$15+(A_Scoring_Model!$C$14-A_Scoring_Model!$C$15)*(M190-$I190)/($H190-$I190))),IF(M190&lt;=$H190,A_Scoring_Model!$C$14,IF(M190&gt;$I190,0,A_Scoring_Model!$C$15+(A_Scoring_Model!$C$14-A_Scoring_Model!$C$15)*($I190-M190)/($I190-$H190))))))</f>
        <v>100</v>
      </c>
    </row>
    <row r="191" customFormat="false" ht="23.85" hidden="false" customHeight="false" outlineLevel="0" collapsed="false">
      <c r="A191" s="51" t="str">
        <f aca="false">C_KPI_Benchmark!A191</f>
        <v>3.d-D5-25</v>
      </c>
      <c r="B191" s="52" t="str">
        <f aca="false">C_KPI_Benchmark!D191</f>
        <v>3.d</v>
      </c>
      <c r="C191" s="51" t="str">
        <f aca="false">C_KPI_Benchmark!E191</f>
        <v>AI Code Review Agent (Review Shield)</v>
      </c>
      <c r="D191" s="52" t="str">
        <f aca="false">C_KPI_Benchmark!F191</f>
        <v>D5</v>
      </c>
      <c r="E191" s="51" t="str">
        <f aca="false">C_KPI_Benchmark!J191</f>
        <v>Engineer-hours saved per week</v>
      </c>
      <c r="F191" s="52" t="str">
        <f aca="false">C_KPI_Benchmark!K191</f>
        <v>hours</v>
      </c>
      <c r="G191" s="51" t="str">
        <f aca="false">C_KPI_Benchmark!L191</f>
        <v>Higher is better</v>
      </c>
      <c r="H191" s="62" t="n">
        <f aca="false">C_KPI_Benchmark!N191</f>
        <v>40</v>
      </c>
      <c r="I191" s="63" t="n">
        <f aca="false">IF(C_KPI_Benchmark!O191&lt;&gt;"",C_KPI_Benchmark!O191,IF(G191="Higher is better",H191*(1-A_Scoring_Model!$C$16),H191*(1+A_Scoring_Model!$C$16)))</f>
        <v>20</v>
      </c>
      <c r="J191" s="64"/>
      <c r="K191" s="64"/>
      <c r="L191" s="64"/>
      <c r="M191" s="64" t="n">
        <v>50</v>
      </c>
      <c r="N191" s="56" t="str">
        <f aca="false">IF(J191="","",IF($H191=$I191,IF(OR(AND($G191="Higher is better",J191&gt;=$H191),AND($G191="Lower is better",J191&lt;=$H191)),A_Scoring_Model!$C$14,0),IF($G191="Higher is better",IF(J191&gt;=$H191,A_Scoring_Model!$C$14,IF(J191&lt;$I191,0,A_Scoring_Model!$C$15+(A_Scoring_Model!$C$14-A_Scoring_Model!$C$15)*(J191-$I191)/($H191-$I191))),IF(J191&lt;=$H191,A_Scoring_Model!$C$14,IF(J191&gt;$I191,0,A_Scoring_Model!$C$15+(A_Scoring_Model!$C$14-A_Scoring_Model!$C$15)*($I191-J191)/($I191-$H191))))))</f>
        <v/>
      </c>
      <c r="O191" s="56" t="str">
        <f aca="false">IF(K191="","",IF($H191=$I191,IF(OR(AND($G191="Higher is better",K191&gt;=$H191),AND($G191="Lower is better",K191&lt;=$H191)),A_Scoring_Model!$C$14,0),IF($G191="Higher is better",IF(K191&gt;=$H191,A_Scoring_Model!$C$14,IF(K191&lt;$I191,0,A_Scoring_Model!$C$15+(A_Scoring_Model!$C$14-A_Scoring_Model!$C$15)*(K191-$I191)/($H191-$I191))),IF(K191&lt;=$H191,A_Scoring_Model!$C$14,IF(K191&gt;$I191,0,A_Scoring_Model!$C$15+(A_Scoring_Model!$C$14-A_Scoring_Model!$C$15)*($I191-K191)/($I191-$H191))))))</f>
        <v/>
      </c>
      <c r="P191" s="56" t="str">
        <f aca="false">IF(L191="","",IF($H191=$I191,IF(OR(AND($G191="Higher is better",L191&gt;=$H191),AND($G191="Lower is better",L191&lt;=$H191)),A_Scoring_Model!$C$14,0),IF($G191="Higher is better",IF(L191&gt;=$H191,A_Scoring_Model!$C$14,IF(L191&lt;$I191,0,A_Scoring_Model!$C$15+(A_Scoring_Model!$C$14-A_Scoring_Model!$C$15)*(L191-$I191)/($H191-$I191))),IF(L191&lt;=$H191,A_Scoring_Model!$C$14,IF(L191&gt;$I191,0,A_Scoring_Model!$C$15+(A_Scoring_Model!$C$14-A_Scoring_Model!$C$15)*($I191-L191)/($I191-$H191))))))</f>
        <v/>
      </c>
      <c r="Q191" s="56" t="n">
        <f aca="false">IF(M191="","",IF($H191=$I191,IF(OR(AND($G191="Higher is better",M191&gt;=$H191),AND($G191="Lower is better",M191&lt;=$H191)),A_Scoring_Model!$C$14,0),IF($G191="Higher is better",IF(M191&gt;=$H191,A_Scoring_Model!$C$14,IF(M191&lt;$I191,0,A_Scoring_Model!$C$15+(A_Scoring_Model!$C$14-A_Scoring_Model!$C$15)*(M191-$I191)/($H191-$I191))),IF(M191&lt;=$H191,A_Scoring_Model!$C$14,IF(M191&gt;$I191,0,A_Scoring_Model!$C$15+(A_Scoring_Model!$C$14-A_Scoring_Model!$C$15)*($I191-M191)/($I191-$H191))))))</f>
        <v>100</v>
      </c>
    </row>
    <row r="192" customFormat="false" ht="23.85" hidden="false" customHeight="false" outlineLevel="0" collapsed="false">
      <c r="A192" s="51" t="str">
        <f aca="false">C_KPI_Benchmark!A192</f>
        <v>3.d-D5-26</v>
      </c>
      <c r="B192" s="52" t="str">
        <f aca="false">C_KPI_Benchmark!D192</f>
        <v>3.d</v>
      </c>
      <c r="C192" s="51" t="str">
        <f aca="false">C_KPI_Benchmark!E192</f>
        <v>AI Code Review Agent (Review Shield)</v>
      </c>
      <c r="D192" s="52" t="str">
        <f aca="false">C_KPI_Benchmark!F192</f>
        <v>D5</v>
      </c>
      <c r="E192" s="51" t="str">
        <f aca="false">C_KPI_Benchmark!J192</f>
        <v>Issue resolution rate in merged PRs</v>
      </c>
      <c r="F192" s="52" t="str">
        <f aca="false">C_KPI_Benchmark!K192</f>
        <v>%</v>
      </c>
      <c r="G192" s="51" t="str">
        <f aca="false">C_KPI_Benchmark!L192</f>
        <v>Higher is better</v>
      </c>
      <c r="H192" s="53" t="n">
        <f aca="false">C_KPI_Benchmark!N192</f>
        <v>0.7</v>
      </c>
      <c r="I192" s="54" t="n">
        <f aca="false">IF(C_KPI_Benchmark!O192&lt;&gt;"",C_KPI_Benchmark!O192,IF(G192="Higher is better",H192*(1-A_Scoring_Model!$C$16),H192*(1+A_Scoring_Model!$C$16)))</f>
        <v>0.5</v>
      </c>
      <c r="J192" s="55"/>
      <c r="K192" s="55"/>
      <c r="L192" s="55"/>
      <c r="M192" s="55" t="n">
        <v>0</v>
      </c>
      <c r="N192" s="56" t="str">
        <f aca="false">IF(J192="","",IF($H192=$I192,IF(OR(AND($G192="Higher is better",J192&gt;=$H192),AND($G192="Lower is better",J192&lt;=$H192)),A_Scoring_Model!$C$14,0),IF($G192="Higher is better",IF(J192&gt;=$H192,A_Scoring_Model!$C$14,IF(J192&lt;$I192,0,A_Scoring_Model!$C$15+(A_Scoring_Model!$C$14-A_Scoring_Model!$C$15)*(J192-$I192)/($H192-$I192))),IF(J192&lt;=$H192,A_Scoring_Model!$C$14,IF(J192&gt;$I192,0,A_Scoring_Model!$C$15+(A_Scoring_Model!$C$14-A_Scoring_Model!$C$15)*($I192-J192)/($I192-$H192))))))</f>
        <v/>
      </c>
      <c r="O192" s="56" t="str">
        <f aca="false">IF(K192="","",IF($H192=$I192,IF(OR(AND($G192="Higher is better",K192&gt;=$H192),AND($G192="Lower is better",K192&lt;=$H192)),A_Scoring_Model!$C$14,0),IF($G192="Higher is better",IF(K192&gt;=$H192,A_Scoring_Model!$C$14,IF(K192&lt;$I192,0,A_Scoring_Model!$C$15+(A_Scoring_Model!$C$14-A_Scoring_Model!$C$15)*(K192-$I192)/($H192-$I192))),IF(K192&lt;=$H192,A_Scoring_Model!$C$14,IF(K192&gt;$I192,0,A_Scoring_Model!$C$15+(A_Scoring_Model!$C$14-A_Scoring_Model!$C$15)*($I192-K192)/($I192-$H192))))))</f>
        <v/>
      </c>
      <c r="P192" s="56" t="str">
        <f aca="false">IF(L192="","",IF($H192=$I192,IF(OR(AND($G192="Higher is better",L192&gt;=$H192),AND($G192="Lower is better",L192&lt;=$H192)),A_Scoring_Model!$C$14,0),IF($G192="Higher is better",IF(L192&gt;=$H192,A_Scoring_Model!$C$14,IF(L192&lt;$I192,0,A_Scoring_Model!$C$15+(A_Scoring_Model!$C$14-A_Scoring_Model!$C$15)*(L192-$I192)/($H192-$I192))),IF(L192&lt;=$H192,A_Scoring_Model!$C$14,IF(L192&gt;$I192,0,A_Scoring_Model!$C$15+(A_Scoring_Model!$C$14-A_Scoring_Model!$C$15)*($I192-L192)/($I192-$H192))))))</f>
        <v/>
      </c>
      <c r="Q192" s="56" t="n">
        <f aca="false">IF(M192="","",IF($H192=$I192,IF(OR(AND($G192="Higher is better",M192&gt;=$H192),AND($G192="Lower is better",M192&lt;=$H192)),A_Scoring_Model!$C$14,0),IF($G192="Higher is better",IF(M192&gt;=$H192,A_Scoring_Model!$C$14,IF(M192&lt;$I192,0,A_Scoring_Model!$C$15+(A_Scoring_Model!$C$14-A_Scoring_Model!$C$15)*(M192-$I192)/($H192-$I192))),IF(M192&lt;=$H192,A_Scoring_Model!$C$14,IF(M192&gt;$I192,0,A_Scoring_Model!$C$15+(A_Scoring_Model!$C$14-A_Scoring_Model!$C$15)*($I192-M192)/($I192-$H192))))))</f>
        <v>0</v>
      </c>
    </row>
    <row r="193" customFormat="false" ht="23.85" hidden="false" customHeight="false" outlineLevel="0" collapsed="false">
      <c r="A193" s="51" t="str">
        <f aca="false">C_KPI_Benchmark!A193</f>
        <v>3.d-D5-27</v>
      </c>
      <c r="B193" s="52" t="str">
        <f aca="false">C_KPI_Benchmark!D193</f>
        <v>3.d</v>
      </c>
      <c r="C193" s="51" t="str">
        <f aca="false">C_KPI_Benchmark!E193</f>
        <v>AI Code Review Agent (Review Shield)</v>
      </c>
      <c r="D193" s="52" t="str">
        <f aca="false">C_KPI_Benchmark!F193</f>
        <v>D5</v>
      </c>
      <c r="E193" s="51" t="str">
        <f aca="false">C_KPI_Benchmark!J193</f>
        <v>Repositories onboarded (share of active repositories)</v>
      </c>
      <c r="F193" s="52" t="str">
        <f aca="false">C_KPI_Benchmark!K193</f>
        <v>%</v>
      </c>
      <c r="G193" s="51" t="str">
        <f aca="false">C_KPI_Benchmark!L193</f>
        <v>Higher is better</v>
      </c>
      <c r="H193" s="53" t="n">
        <f aca="false">C_KPI_Benchmark!N193</f>
        <v>0.5</v>
      </c>
      <c r="I193" s="54" t="n">
        <f aca="false">IF(C_KPI_Benchmark!O193&lt;&gt;"",C_KPI_Benchmark!O193,IF(G193="Higher is better",H193*(1-A_Scoring_Model!$C$16),H193*(1+A_Scoring_Model!$C$16)))</f>
        <v>0.3</v>
      </c>
      <c r="J193" s="55"/>
      <c r="K193" s="55"/>
      <c r="L193" s="55"/>
      <c r="M193" s="55" t="n">
        <v>0.19</v>
      </c>
      <c r="N193" s="56" t="str">
        <f aca="false">IF(J193="","",IF($H193=$I193,IF(OR(AND($G193="Higher is better",J193&gt;=$H193),AND($G193="Lower is better",J193&lt;=$H193)),A_Scoring_Model!$C$14,0),IF($G193="Higher is better",IF(J193&gt;=$H193,A_Scoring_Model!$C$14,IF(J193&lt;$I193,0,A_Scoring_Model!$C$15+(A_Scoring_Model!$C$14-A_Scoring_Model!$C$15)*(J193-$I193)/($H193-$I193))),IF(J193&lt;=$H193,A_Scoring_Model!$C$14,IF(J193&gt;$I193,0,A_Scoring_Model!$C$15+(A_Scoring_Model!$C$14-A_Scoring_Model!$C$15)*($I193-J193)/($I193-$H193))))))</f>
        <v/>
      </c>
      <c r="O193" s="56" t="str">
        <f aca="false">IF(K193="","",IF($H193=$I193,IF(OR(AND($G193="Higher is better",K193&gt;=$H193),AND($G193="Lower is better",K193&lt;=$H193)),A_Scoring_Model!$C$14,0),IF($G193="Higher is better",IF(K193&gt;=$H193,A_Scoring_Model!$C$14,IF(K193&lt;$I193,0,A_Scoring_Model!$C$15+(A_Scoring_Model!$C$14-A_Scoring_Model!$C$15)*(K193-$I193)/($H193-$I193))),IF(K193&lt;=$H193,A_Scoring_Model!$C$14,IF(K193&gt;$I193,0,A_Scoring_Model!$C$15+(A_Scoring_Model!$C$14-A_Scoring_Model!$C$15)*($I193-K193)/($I193-$H193))))))</f>
        <v/>
      </c>
      <c r="P193" s="56" t="str">
        <f aca="false">IF(L193="","",IF($H193=$I193,IF(OR(AND($G193="Higher is better",L193&gt;=$H193),AND($G193="Lower is better",L193&lt;=$H193)),A_Scoring_Model!$C$14,0),IF($G193="Higher is better",IF(L193&gt;=$H193,A_Scoring_Model!$C$14,IF(L193&lt;$I193,0,A_Scoring_Model!$C$15+(A_Scoring_Model!$C$14-A_Scoring_Model!$C$15)*(L193-$I193)/($H193-$I193))),IF(L193&lt;=$H193,A_Scoring_Model!$C$14,IF(L193&gt;$I193,0,A_Scoring_Model!$C$15+(A_Scoring_Model!$C$14-A_Scoring_Model!$C$15)*($I193-L193)/($I193-$H193))))))</f>
        <v/>
      </c>
      <c r="Q193" s="56" t="n">
        <f aca="false">IF(M193="","",IF($H193=$I193,IF(OR(AND($G193="Higher is better",M193&gt;=$H193),AND($G193="Lower is better",M193&lt;=$H193)),A_Scoring_Model!$C$14,0),IF($G193="Higher is better",IF(M193&gt;=$H193,A_Scoring_Model!$C$14,IF(M193&lt;$I193,0,A_Scoring_Model!$C$15+(A_Scoring_Model!$C$14-A_Scoring_Model!$C$15)*(M193-$I193)/($H193-$I193))),IF(M193&lt;=$H193,A_Scoring_Model!$C$14,IF(M193&gt;$I193,0,A_Scoring_Model!$C$15+(A_Scoring_Model!$C$14-A_Scoring_Model!$C$15)*($I193-M193)/($I193-$H193))))))</f>
        <v>0</v>
      </c>
    </row>
    <row r="194" customFormat="false" ht="23.85" hidden="false" customHeight="false" outlineLevel="0" collapsed="false">
      <c r="A194" s="51" t="str">
        <f aca="false">C_KPI_Benchmark!A194</f>
        <v>3.d-D6-28</v>
      </c>
      <c r="B194" s="52" t="str">
        <f aca="false">C_KPI_Benchmark!D194</f>
        <v>3.d</v>
      </c>
      <c r="C194" s="51" t="str">
        <f aca="false">C_KPI_Benchmark!E194</f>
        <v>AI Code Review Agent (Review Shield)</v>
      </c>
      <c r="D194" s="52" t="str">
        <f aca="false">C_KPI_Benchmark!F194</f>
        <v>D6</v>
      </c>
      <c r="E194" s="51" t="str">
        <f aca="false">C_KPI_Benchmark!J194</f>
        <v>Prompt and configuration versioned and change-controlled</v>
      </c>
      <c r="F194" s="52" t="str">
        <f aca="false">C_KPI_Benchmark!K194</f>
        <v>Yes/No</v>
      </c>
      <c r="G194" s="51" t="str">
        <f aca="false">C_KPI_Benchmark!L194</f>
        <v>Higher is better</v>
      </c>
      <c r="H194" s="60" t="n">
        <f aca="false">C_KPI_Benchmark!N194</f>
        <v>1</v>
      </c>
      <c r="I194" s="56" t="n">
        <f aca="false">IF(C_KPI_Benchmark!O194&lt;&gt;"",C_KPI_Benchmark!O194,IF(G194="Higher is better",H194*(1-A_Scoring_Model!$C$16),H194*(1+A_Scoring_Model!$C$16)))</f>
        <v>0.8</v>
      </c>
      <c r="J194" s="61"/>
      <c r="K194" s="61"/>
      <c r="L194" s="61"/>
      <c r="M194" s="61" t="n">
        <v>1</v>
      </c>
      <c r="N194" s="56" t="str">
        <f aca="false">IF(J194="","",IF($H194=$I194,IF(OR(AND($G194="Higher is better",J194&gt;=$H194),AND($G194="Lower is better",J194&lt;=$H194)),A_Scoring_Model!$C$14,0),IF($G194="Higher is better",IF(J194&gt;=$H194,A_Scoring_Model!$C$14,IF(J194&lt;$I194,0,A_Scoring_Model!$C$15+(A_Scoring_Model!$C$14-A_Scoring_Model!$C$15)*(J194-$I194)/($H194-$I194))),IF(J194&lt;=$H194,A_Scoring_Model!$C$14,IF(J194&gt;$I194,0,A_Scoring_Model!$C$15+(A_Scoring_Model!$C$14-A_Scoring_Model!$C$15)*($I194-J194)/($I194-$H194))))))</f>
        <v/>
      </c>
      <c r="O194" s="56" t="str">
        <f aca="false">IF(K194="","",IF($H194=$I194,IF(OR(AND($G194="Higher is better",K194&gt;=$H194),AND($G194="Lower is better",K194&lt;=$H194)),A_Scoring_Model!$C$14,0),IF($G194="Higher is better",IF(K194&gt;=$H194,A_Scoring_Model!$C$14,IF(K194&lt;$I194,0,A_Scoring_Model!$C$15+(A_Scoring_Model!$C$14-A_Scoring_Model!$C$15)*(K194-$I194)/($H194-$I194))),IF(K194&lt;=$H194,A_Scoring_Model!$C$14,IF(K194&gt;$I194,0,A_Scoring_Model!$C$15+(A_Scoring_Model!$C$14-A_Scoring_Model!$C$15)*($I194-K194)/($I194-$H194))))))</f>
        <v/>
      </c>
      <c r="P194" s="56" t="str">
        <f aca="false">IF(L194="","",IF($H194=$I194,IF(OR(AND($G194="Higher is better",L194&gt;=$H194),AND($G194="Lower is better",L194&lt;=$H194)),A_Scoring_Model!$C$14,0),IF($G194="Higher is better",IF(L194&gt;=$H194,A_Scoring_Model!$C$14,IF(L194&lt;$I194,0,A_Scoring_Model!$C$15+(A_Scoring_Model!$C$14-A_Scoring_Model!$C$15)*(L194-$I194)/($H194-$I194))),IF(L194&lt;=$H194,A_Scoring_Model!$C$14,IF(L194&gt;$I194,0,A_Scoring_Model!$C$15+(A_Scoring_Model!$C$14-A_Scoring_Model!$C$15)*($I194-L194)/($I194-$H194))))))</f>
        <v/>
      </c>
      <c r="Q194" s="56" t="n">
        <f aca="false">IF(M194="","",IF($H194=$I194,IF(OR(AND($G194="Higher is better",M194&gt;=$H194),AND($G194="Lower is better",M194&lt;=$H194)),A_Scoring_Model!$C$14,0),IF($G194="Higher is better",IF(M194&gt;=$H194,A_Scoring_Model!$C$14,IF(M194&lt;$I194,0,A_Scoring_Model!$C$15+(A_Scoring_Model!$C$14-A_Scoring_Model!$C$15)*(M194-$I194)/($H194-$I194))),IF(M194&lt;=$H194,A_Scoring_Model!$C$14,IF(M194&gt;$I194,0,A_Scoring_Model!$C$15+(A_Scoring_Model!$C$14-A_Scoring_Model!$C$15)*($I194-M194)/($I194-$H194))))))</f>
        <v>100</v>
      </c>
    </row>
    <row r="195" customFormat="false" ht="23.85" hidden="false" customHeight="false" outlineLevel="0" collapsed="false">
      <c r="A195" s="51" t="str">
        <f aca="false">C_KPI_Benchmark!A195</f>
        <v>3.d-D6-29</v>
      </c>
      <c r="B195" s="52" t="str">
        <f aca="false">C_KPI_Benchmark!D195</f>
        <v>3.d</v>
      </c>
      <c r="C195" s="51" t="str">
        <f aca="false">C_KPI_Benchmark!E195</f>
        <v>AI Code Review Agent (Review Shield)</v>
      </c>
      <c r="D195" s="52" t="str">
        <f aca="false">C_KPI_Benchmark!F195</f>
        <v>D6</v>
      </c>
      <c r="E195" s="51" t="str">
        <f aca="false">C_KPI_Benchmark!J195</f>
        <v>Golden set and reproducible benchmark harness in place</v>
      </c>
      <c r="F195" s="52" t="str">
        <f aca="false">C_KPI_Benchmark!K195</f>
        <v>Yes/No</v>
      </c>
      <c r="G195" s="51" t="str">
        <f aca="false">C_KPI_Benchmark!L195</f>
        <v>Higher is better</v>
      </c>
      <c r="H195" s="60" t="n">
        <f aca="false">C_KPI_Benchmark!N195</f>
        <v>1</v>
      </c>
      <c r="I195" s="56" t="n">
        <f aca="false">IF(C_KPI_Benchmark!O195&lt;&gt;"",C_KPI_Benchmark!O195,IF(G195="Higher is better",H195*(1-A_Scoring_Model!$C$16),H195*(1+A_Scoring_Model!$C$16)))</f>
        <v>0.8</v>
      </c>
      <c r="J195" s="61"/>
      <c r="K195" s="61"/>
      <c r="L195" s="61"/>
      <c r="M195" s="61" t="n">
        <v>0</v>
      </c>
      <c r="N195" s="56" t="str">
        <f aca="false">IF(J195="","",IF($H195=$I195,IF(OR(AND($G195="Higher is better",J195&gt;=$H195),AND($G195="Lower is better",J195&lt;=$H195)),A_Scoring_Model!$C$14,0),IF($G195="Higher is better",IF(J195&gt;=$H195,A_Scoring_Model!$C$14,IF(J195&lt;$I195,0,A_Scoring_Model!$C$15+(A_Scoring_Model!$C$14-A_Scoring_Model!$C$15)*(J195-$I195)/($H195-$I195))),IF(J195&lt;=$H195,A_Scoring_Model!$C$14,IF(J195&gt;$I195,0,A_Scoring_Model!$C$15+(A_Scoring_Model!$C$14-A_Scoring_Model!$C$15)*($I195-J195)/($I195-$H195))))))</f>
        <v/>
      </c>
      <c r="O195" s="56" t="str">
        <f aca="false">IF(K195="","",IF($H195=$I195,IF(OR(AND($G195="Higher is better",K195&gt;=$H195),AND($G195="Lower is better",K195&lt;=$H195)),A_Scoring_Model!$C$14,0),IF($G195="Higher is better",IF(K195&gt;=$H195,A_Scoring_Model!$C$14,IF(K195&lt;$I195,0,A_Scoring_Model!$C$15+(A_Scoring_Model!$C$14-A_Scoring_Model!$C$15)*(K195-$I195)/($H195-$I195))),IF(K195&lt;=$H195,A_Scoring_Model!$C$14,IF(K195&gt;$I195,0,A_Scoring_Model!$C$15+(A_Scoring_Model!$C$14-A_Scoring_Model!$C$15)*($I195-K195)/($I195-$H195))))))</f>
        <v/>
      </c>
      <c r="P195" s="56" t="str">
        <f aca="false">IF(L195="","",IF($H195=$I195,IF(OR(AND($G195="Higher is better",L195&gt;=$H195),AND($G195="Lower is better",L195&lt;=$H195)),A_Scoring_Model!$C$14,0),IF($G195="Higher is better",IF(L195&gt;=$H195,A_Scoring_Model!$C$14,IF(L195&lt;$I195,0,A_Scoring_Model!$C$15+(A_Scoring_Model!$C$14-A_Scoring_Model!$C$15)*(L195-$I195)/($H195-$I195))),IF(L195&lt;=$H195,A_Scoring_Model!$C$14,IF(L195&gt;$I195,0,A_Scoring_Model!$C$15+(A_Scoring_Model!$C$14-A_Scoring_Model!$C$15)*($I195-L195)/($I195-$H195))))))</f>
        <v/>
      </c>
      <c r="Q195" s="56" t="n">
        <f aca="false">IF(M195="","",IF($H195=$I195,IF(OR(AND($G195="Higher is better",M195&gt;=$H195),AND($G195="Lower is better",M195&lt;=$H195)),A_Scoring_Model!$C$14,0),IF($G195="Higher is better",IF(M195&gt;=$H195,A_Scoring_Model!$C$14,IF(M195&lt;$I195,0,A_Scoring_Model!$C$15+(A_Scoring_Model!$C$14-A_Scoring_Model!$C$15)*(M195-$I195)/($H195-$I195))),IF(M195&lt;=$H195,A_Scoring_Model!$C$14,IF(M195&gt;$I195,0,A_Scoring_Model!$C$15+(A_Scoring_Model!$C$14-A_Scoring_Model!$C$15)*($I195-M195)/($I195-$H195))))))</f>
        <v>0</v>
      </c>
    </row>
    <row r="196" customFormat="false" ht="23.85" hidden="false" customHeight="false" outlineLevel="0" collapsed="false">
      <c r="A196" s="51" t="str">
        <f aca="false">C_KPI_Benchmark!A196</f>
        <v>3.d-D6-30</v>
      </c>
      <c r="B196" s="52" t="str">
        <f aca="false">C_KPI_Benchmark!D196</f>
        <v>3.d</v>
      </c>
      <c r="C196" s="51" t="str">
        <f aca="false">C_KPI_Benchmark!E196</f>
        <v>AI Code Review Agent (Review Shield)</v>
      </c>
      <c r="D196" s="52" t="str">
        <f aca="false">C_KPI_Benchmark!F196</f>
        <v>D6</v>
      </c>
      <c r="E196" s="51" t="str">
        <f aca="false">C_KPI_Benchmark!J196</f>
        <v>Solution code test coverage</v>
      </c>
      <c r="F196" s="52" t="str">
        <f aca="false">C_KPI_Benchmark!K196</f>
        <v>%</v>
      </c>
      <c r="G196" s="51" t="str">
        <f aca="false">C_KPI_Benchmark!L196</f>
        <v>Higher is better</v>
      </c>
      <c r="H196" s="53" t="n">
        <f aca="false">C_KPI_Benchmark!N196</f>
        <v>0.8</v>
      </c>
      <c r="I196" s="54" t="n">
        <f aca="false">IF(C_KPI_Benchmark!O196&lt;&gt;"",C_KPI_Benchmark!O196,IF(G196="Higher is better",H196*(1-A_Scoring_Model!$C$16),H196*(1+A_Scoring_Model!$C$16)))</f>
        <v>0.6</v>
      </c>
      <c r="J196" s="55"/>
      <c r="K196" s="55"/>
      <c r="L196" s="55"/>
      <c r="M196" s="55" t="n">
        <v>0.6</v>
      </c>
      <c r="N196" s="56" t="str">
        <f aca="false">IF(J196="","",IF($H196=$I196,IF(OR(AND($G196="Higher is better",J196&gt;=$H196),AND($G196="Lower is better",J196&lt;=$H196)),A_Scoring_Model!$C$14,0),IF($G196="Higher is better",IF(J196&gt;=$H196,A_Scoring_Model!$C$14,IF(J196&lt;$I196,0,A_Scoring_Model!$C$15+(A_Scoring_Model!$C$14-A_Scoring_Model!$C$15)*(J196-$I196)/($H196-$I196))),IF(J196&lt;=$H196,A_Scoring_Model!$C$14,IF(J196&gt;$I196,0,A_Scoring_Model!$C$15+(A_Scoring_Model!$C$14-A_Scoring_Model!$C$15)*($I196-J196)/($I196-$H196))))))</f>
        <v/>
      </c>
      <c r="O196" s="56" t="str">
        <f aca="false">IF(K196="","",IF($H196=$I196,IF(OR(AND($G196="Higher is better",K196&gt;=$H196),AND($G196="Lower is better",K196&lt;=$H196)),A_Scoring_Model!$C$14,0),IF($G196="Higher is better",IF(K196&gt;=$H196,A_Scoring_Model!$C$14,IF(K196&lt;$I196,0,A_Scoring_Model!$C$15+(A_Scoring_Model!$C$14-A_Scoring_Model!$C$15)*(K196-$I196)/($H196-$I196))),IF(K196&lt;=$H196,A_Scoring_Model!$C$14,IF(K196&gt;$I196,0,A_Scoring_Model!$C$15+(A_Scoring_Model!$C$14-A_Scoring_Model!$C$15)*($I196-K196)/($I196-$H196))))))</f>
        <v/>
      </c>
      <c r="P196" s="56" t="str">
        <f aca="false">IF(L196="","",IF($H196=$I196,IF(OR(AND($G196="Higher is better",L196&gt;=$H196),AND($G196="Lower is better",L196&lt;=$H196)),A_Scoring_Model!$C$14,0),IF($G196="Higher is better",IF(L196&gt;=$H196,A_Scoring_Model!$C$14,IF(L196&lt;$I196,0,A_Scoring_Model!$C$15+(A_Scoring_Model!$C$14-A_Scoring_Model!$C$15)*(L196-$I196)/($H196-$I196))),IF(L196&lt;=$H196,A_Scoring_Model!$C$14,IF(L196&gt;$I196,0,A_Scoring_Model!$C$15+(A_Scoring_Model!$C$14-A_Scoring_Model!$C$15)*($I196-L196)/($I196-$H196))))))</f>
        <v/>
      </c>
      <c r="Q196" s="56" t="n">
        <f aca="false">IF(M196="","",IF($H196=$I196,IF(OR(AND($G196="Higher is better",M196&gt;=$H196),AND($G196="Lower is better",M196&lt;=$H196)),A_Scoring_Model!$C$14,0),IF($G196="Higher is better",IF(M196&gt;=$H196,A_Scoring_Model!$C$14,IF(M196&lt;$I196,0,A_Scoring_Model!$C$15+(A_Scoring_Model!$C$14-A_Scoring_Model!$C$15)*(M196-$I196)/($H196-$I196))),IF(M196&lt;=$H196,A_Scoring_Model!$C$14,IF(M196&gt;$I196,0,A_Scoring_Model!$C$15+(A_Scoring_Model!$C$14-A_Scoring_Model!$C$15)*($I196-M196)/($I196-$H196))))))</f>
        <v>60</v>
      </c>
    </row>
    <row r="197" customFormat="false" ht="23.85" hidden="false" customHeight="false" outlineLevel="0" collapsed="false">
      <c r="A197" s="51" t="str">
        <f aca="false">C_KPI_Benchmark!A197</f>
        <v>3.d-D6-31</v>
      </c>
      <c r="B197" s="52" t="str">
        <f aca="false">C_KPI_Benchmark!D197</f>
        <v>3.d</v>
      </c>
      <c r="C197" s="51" t="str">
        <f aca="false">C_KPI_Benchmark!E197</f>
        <v>AI Code Review Agent (Review Shield)</v>
      </c>
      <c r="D197" s="52" t="str">
        <f aca="false">C_KPI_Benchmark!F197</f>
        <v>D6</v>
      </c>
      <c r="E197" s="51" t="str">
        <f aca="false">C_KPI_Benchmark!J197</f>
        <v>Review Shield critical findings</v>
      </c>
      <c r="F197" s="52" t="str">
        <f aca="false">C_KPI_Benchmark!K197</f>
        <v>count</v>
      </c>
      <c r="G197" s="51" t="str">
        <f aca="false">C_KPI_Benchmark!L197</f>
        <v>Lower is better</v>
      </c>
      <c r="H197" s="62" t="n">
        <f aca="false">C_KPI_Benchmark!N197</f>
        <v>0</v>
      </c>
      <c r="I197" s="63" t="n">
        <f aca="false">IF(C_KPI_Benchmark!O197&lt;&gt;"",C_KPI_Benchmark!O197,IF(G197="Higher is better",H197*(1-A_Scoring_Model!$C$16),H197*(1+A_Scoring_Model!$C$16)))</f>
        <v>0</v>
      </c>
      <c r="J197" s="64"/>
      <c r="K197" s="64"/>
      <c r="L197" s="64"/>
      <c r="M197" s="64" t="n">
        <v>0</v>
      </c>
      <c r="N197" s="56" t="str">
        <f aca="false">IF(J197="","",IF($H197=$I197,IF(OR(AND($G197="Higher is better",J197&gt;=$H197),AND($G197="Lower is better",J197&lt;=$H197)),A_Scoring_Model!$C$14,0),IF($G197="Higher is better",IF(J197&gt;=$H197,A_Scoring_Model!$C$14,IF(J197&lt;$I197,0,A_Scoring_Model!$C$15+(A_Scoring_Model!$C$14-A_Scoring_Model!$C$15)*(J197-$I197)/($H197-$I197))),IF(J197&lt;=$H197,A_Scoring_Model!$C$14,IF(J197&gt;$I197,0,A_Scoring_Model!$C$15+(A_Scoring_Model!$C$14-A_Scoring_Model!$C$15)*($I197-J197)/($I197-$H197))))))</f>
        <v/>
      </c>
      <c r="O197" s="56" t="str">
        <f aca="false">IF(K197="","",IF($H197=$I197,IF(OR(AND($G197="Higher is better",K197&gt;=$H197),AND($G197="Lower is better",K197&lt;=$H197)),A_Scoring_Model!$C$14,0),IF($G197="Higher is better",IF(K197&gt;=$H197,A_Scoring_Model!$C$14,IF(K197&lt;$I197,0,A_Scoring_Model!$C$15+(A_Scoring_Model!$C$14-A_Scoring_Model!$C$15)*(K197-$I197)/($H197-$I197))),IF(K197&lt;=$H197,A_Scoring_Model!$C$14,IF(K197&gt;$I197,0,A_Scoring_Model!$C$15+(A_Scoring_Model!$C$14-A_Scoring_Model!$C$15)*($I197-K197)/($I197-$H197))))))</f>
        <v/>
      </c>
      <c r="P197" s="56" t="str">
        <f aca="false">IF(L197="","",IF($H197=$I197,IF(OR(AND($G197="Higher is better",L197&gt;=$H197),AND($G197="Lower is better",L197&lt;=$H197)),A_Scoring_Model!$C$14,0),IF($G197="Higher is better",IF(L197&gt;=$H197,A_Scoring_Model!$C$14,IF(L197&lt;$I197,0,A_Scoring_Model!$C$15+(A_Scoring_Model!$C$14-A_Scoring_Model!$C$15)*(L197-$I197)/($H197-$I197))),IF(L197&lt;=$H197,A_Scoring_Model!$C$14,IF(L197&gt;$I197,0,A_Scoring_Model!$C$15+(A_Scoring_Model!$C$14-A_Scoring_Model!$C$15)*($I197-L197)/($I197-$H197))))))</f>
        <v/>
      </c>
      <c r="Q197" s="56" t="n">
        <f aca="false">IF(M197="","",IF($H197=$I197,IF(OR(AND($G197="Higher is better",M197&gt;=$H197),AND($G197="Lower is better",M197&lt;=$H197)),A_Scoring_Model!$C$14,0),IF($G197="Higher is better",IF(M197&gt;=$H197,A_Scoring_Model!$C$14,IF(M197&lt;$I197,0,A_Scoring_Model!$C$15+(A_Scoring_Model!$C$14-A_Scoring_Model!$C$15)*(M197-$I197)/($H197-$I197))),IF(M197&lt;=$H197,A_Scoring_Model!$C$14,IF(M197&gt;$I197,0,A_Scoring_Model!$C$15+(A_Scoring_Model!$C$14-A_Scoring_Model!$C$15)*($I197-M197)/($I197-$H197))))))</f>
        <v>100</v>
      </c>
    </row>
    <row r="198" customFormat="false" ht="23.85" hidden="false" customHeight="false" outlineLevel="0" collapsed="false">
      <c r="A198" s="51" t="str">
        <f aca="false">C_KPI_Benchmark!A198</f>
        <v>3.d-D6-32</v>
      </c>
      <c r="B198" s="52" t="str">
        <f aca="false">C_KPI_Benchmark!D198</f>
        <v>3.d</v>
      </c>
      <c r="C198" s="51" t="str">
        <f aca="false">C_KPI_Benchmark!E198</f>
        <v>AI Code Review Agent (Review Shield)</v>
      </c>
      <c r="D198" s="52" t="str">
        <f aca="false">C_KPI_Benchmark!F198</f>
        <v>D6</v>
      </c>
      <c r="E198" s="51" t="str">
        <f aca="false">C_KPI_Benchmark!J198</f>
        <v>SAST high findings and exposed secrets</v>
      </c>
      <c r="F198" s="52" t="str">
        <f aca="false">C_KPI_Benchmark!K198</f>
        <v>count</v>
      </c>
      <c r="G198" s="51" t="str">
        <f aca="false">C_KPI_Benchmark!L198</f>
        <v>Lower is better</v>
      </c>
      <c r="H198" s="62" t="n">
        <f aca="false">C_KPI_Benchmark!N198</f>
        <v>0</v>
      </c>
      <c r="I198" s="63" t="n">
        <f aca="false">IF(C_KPI_Benchmark!O198&lt;&gt;"",C_KPI_Benchmark!O198,IF(G198="Higher is better",H198*(1-A_Scoring_Model!$C$16),H198*(1+A_Scoring_Model!$C$16)))</f>
        <v>0</v>
      </c>
      <c r="J198" s="64"/>
      <c r="K198" s="64"/>
      <c r="L198" s="64"/>
      <c r="M198" s="64" t="n">
        <v>0</v>
      </c>
      <c r="N198" s="56" t="str">
        <f aca="false">IF(J198="","",IF($H198=$I198,IF(OR(AND($G198="Higher is better",J198&gt;=$H198),AND($G198="Lower is better",J198&lt;=$H198)),A_Scoring_Model!$C$14,0),IF($G198="Higher is better",IF(J198&gt;=$H198,A_Scoring_Model!$C$14,IF(J198&lt;$I198,0,A_Scoring_Model!$C$15+(A_Scoring_Model!$C$14-A_Scoring_Model!$C$15)*(J198-$I198)/($H198-$I198))),IF(J198&lt;=$H198,A_Scoring_Model!$C$14,IF(J198&gt;$I198,0,A_Scoring_Model!$C$15+(A_Scoring_Model!$C$14-A_Scoring_Model!$C$15)*($I198-J198)/($I198-$H198))))))</f>
        <v/>
      </c>
      <c r="O198" s="56" t="str">
        <f aca="false">IF(K198="","",IF($H198=$I198,IF(OR(AND($G198="Higher is better",K198&gt;=$H198),AND($G198="Lower is better",K198&lt;=$H198)),A_Scoring_Model!$C$14,0),IF($G198="Higher is better",IF(K198&gt;=$H198,A_Scoring_Model!$C$14,IF(K198&lt;$I198,0,A_Scoring_Model!$C$15+(A_Scoring_Model!$C$14-A_Scoring_Model!$C$15)*(K198-$I198)/($H198-$I198))),IF(K198&lt;=$H198,A_Scoring_Model!$C$14,IF(K198&gt;$I198,0,A_Scoring_Model!$C$15+(A_Scoring_Model!$C$14-A_Scoring_Model!$C$15)*($I198-K198)/($I198-$H198))))))</f>
        <v/>
      </c>
      <c r="P198" s="56" t="str">
        <f aca="false">IF(L198="","",IF($H198=$I198,IF(OR(AND($G198="Higher is better",L198&gt;=$H198),AND($G198="Lower is better",L198&lt;=$H198)),A_Scoring_Model!$C$14,0),IF($G198="Higher is better",IF(L198&gt;=$H198,A_Scoring_Model!$C$14,IF(L198&lt;$I198,0,A_Scoring_Model!$C$15+(A_Scoring_Model!$C$14-A_Scoring_Model!$C$15)*(L198-$I198)/($H198-$I198))),IF(L198&lt;=$H198,A_Scoring_Model!$C$14,IF(L198&gt;$I198,0,A_Scoring_Model!$C$15+(A_Scoring_Model!$C$14-A_Scoring_Model!$C$15)*($I198-L198)/($I198-$H198))))))</f>
        <v/>
      </c>
      <c r="Q198" s="56" t="n">
        <f aca="false">IF(M198="","",IF($H198=$I198,IF(OR(AND($G198="Higher is better",M198&gt;=$H198),AND($G198="Lower is better",M198&lt;=$H198)),A_Scoring_Model!$C$14,0),IF($G198="Higher is better",IF(M198&gt;=$H198,A_Scoring_Model!$C$14,IF(M198&lt;$I198,0,A_Scoring_Model!$C$15+(A_Scoring_Model!$C$14-A_Scoring_Model!$C$15)*(M198-$I198)/($H198-$I198))),IF(M198&lt;=$H198,A_Scoring_Model!$C$14,IF(M198&gt;$I198,0,A_Scoring_Model!$C$15+(A_Scoring_Model!$C$14-A_Scoring_Model!$C$15)*($I198-M198)/($I198-$H198))))))</f>
        <v>100</v>
      </c>
    </row>
    <row r="199" customFormat="false" ht="23.85" hidden="false" customHeight="false" outlineLevel="0" collapsed="false">
      <c r="A199" s="51" t="str">
        <f aca="false">C_KPI_Benchmark!A199</f>
        <v>3.d-D6-33</v>
      </c>
      <c r="B199" s="52" t="str">
        <f aca="false">C_KPI_Benchmark!D199</f>
        <v>3.d</v>
      </c>
      <c r="C199" s="51" t="str">
        <f aca="false">C_KPI_Benchmark!E199</f>
        <v>AI Code Review Agent (Review Shield)</v>
      </c>
      <c r="D199" s="52" t="str">
        <f aca="false">C_KPI_Benchmark!F199</f>
        <v>D6</v>
      </c>
      <c r="E199" s="51" t="str">
        <f aca="false">C_KPI_Benchmark!J199</f>
        <v>Documentation pack complete (README, I/O contract, model card, runbook)</v>
      </c>
      <c r="F199" s="52" t="str">
        <f aca="false">C_KPI_Benchmark!K199</f>
        <v>Yes/No</v>
      </c>
      <c r="G199" s="51" t="str">
        <f aca="false">C_KPI_Benchmark!L199</f>
        <v>Higher is better</v>
      </c>
      <c r="H199" s="60" t="n">
        <f aca="false">C_KPI_Benchmark!N199</f>
        <v>1</v>
      </c>
      <c r="I199" s="56" t="n">
        <f aca="false">IF(C_KPI_Benchmark!O199&lt;&gt;"",C_KPI_Benchmark!O199,IF(G199="Higher is better",H199*(1-A_Scoring_Model!$C$16),H199*(1+A_Scoring_Model!$C$16)))</f>
        <v>0.8</v>
      </c>
      <c r="J199" s="61"/>
      <c r="K199" s="61"/>
      <c r="L199" s="61"/>
      <c r="M199" s="61" t="n">
        <v>0</v>
      </c>
      <c r="N199" s="56" t="str">
        <f aca="false">IF(J199="","",IF($H199=$I199,IF(OR(AND($G199="Higher is better",J199&gt;=$H199),AND($G199="Lower is better",J199&lt;=$H199)),A_Scoring_Model!$C$14,0),IF($G199="Higher is better",IF(J199&gt;=$H199,A_Scoring_Model!$C$14,IF(J199&lt;$I199,0,A_Scoring_Model!$C$15+(A_Scoring_Model!$C$14-A_Scoring_Model!$C$15)*(J199-$I199)/($H199-$I199))),IF(J199&lt;=$H199,A_Scoring_Model!$C$14,IF(J199&gt;$I199,0,A_Scoring_Model!$C$15+(A_Scoring_Model!$C$14-A_Scoring_Model!$C$15)*($I199-J199)/($I199-$H199))))))</f>
        <v/>
      </c>
      <c r="O199" s="56" t="str">
        <f aca="false">IF(K199="","",IF($H199=$I199,IF(OR(AND($G199="Higher is better",K199&gt;=$H199),AND($G199="Lower is better",K199&lt;=$H199)),A_Scoring_Model!$C$14,0),IF($G199="Higher is better",IF(K199&gt;=$H199,A_Scoring_Model!$C$14,IF(K199&lt;$I199,0,A_Scoring_Model!$C$15+(A_Scoring_Model!$C$14-A_Scoring_Model!$C$15)*(K199-$I199)/($H199-$I199))),IF(K199&lt;=$H199,A_Scoring_Model!$C$14,IF(K199&gt;$I199,0,A_Scoring_Model!$C$15+(A_Scoring_Model!$C$14-A_Scoring_Model!$C$15)*($I199-K199)/($I199-$H199))))))</f>
        <v/>
      </c>
      <c r="P199" s="56" t="str">
        <f aca="false">IF(L199="","",IF($H199=$I199,IF(OR(AND($G199="Higher is better",L199&gt;=$H199),AND($G199="Lower is better",L199&lt;=$H199)),A_Scoring_Model!$C$14,0),IF($G199="Higher is better",IF(L199&gt;=$H199,A_Scoring_Model!$C$14,IF(L199&lt;$I199,0,A_Scoring_Model!$C$15+(A_Scoring_Model!$C$14-A_Scoring_Model!$C$15)*(L199-$I199)/($H199-$I199))),IF(L199&lt;=$H199,A_Scoring_Model!$C$14,IF(L199&gt;$I199,0,A_Scoring_Model!$C$15+(A_Scoring_Model!$C$14-A_Scoring_Model!$C$15)*($I199-L199)/($I199-$H199))))))</f>
        <v/>
      </c>
      <c r="Q199" s="56" t="n">
        <f aca="false">IF(M199="","",IF($H199=$I199,IF(OR(AND($G199="Higher is better",M199&gt;=$H199),AND($G199="Lower is better",M199&lt;=$H199)),A_Scoring_Model!$C$14,0),IF($G199="Higher is better",IF(M199&gt;=$H199,A_Scoring_Model!$C$14,IF(M199&lt;$I199,0,A_Scoring_Model!$C$15+(A_Scoring_Model!$C$14-A_Scoring_Model!$C$15)*(M199-$I199)/($H199-$I199))),IF(M199&lt;=$H199,A_Scoring_Model!$C$14,IF(M199&gt;$I199,0,A_Scoring_Model!$C$15+(A_Scoring_Model!$C$14-A_Scoring_Model!$C$15)*($I199-M199)/($I199-$H199))))))</f>
        <v>0</v>
      </c>
    </row>
    <row r="200" customFormat="false" ht="23.85" hidden="false" customHeight="false" outlineLevel="0" collapsed="false">
      <c r="A200" s="51" t="str">
        <f aca="false">C_KPI_Benchmark!A200</f>
        <v>3.d-D6-34</v>
      </c>
      <c r="B200" s="52" t="str">
        <f aca="false">C_KPI_Benchmark!D200</f>
        <v>3.d</v>
      </c>
      <c r="C200" s="51" t="str">
        <f aca="false">C_KPI_Benchmark!E200</f>
        <v>AI Code Review Agent (Review Shield)</v>
      </c>
      <c r="D200" s="52" t="str">
        <f aca="false">C_KPI_Benchmark!F200</f>
        <v>D6</v>
      </c>
      <c r="E200" s="51" t="str">
        <f aca="false">C_KPI_Benchmark!J200</f>
        <v>Named owner and support SLA</v>
      </c>
      <c r="F200" s="52" t="str">
        <f aca="false">C_KPI_Benchmark!K200</f>
        <v>Yes/No</v>
      </c>
      <c r="G200" s="51" t="str">
        <f aca="false">C_KPI_Benchmark!L200</f>
        <v>Higher is better</v>
      </c>
      <c r="H200" s="60" t="n">
        <f aca="false">C_KPI_Benchmark!N200</f>
        <v>1</v>
      </c>
      <c r="I200" s="56" t="n">
        <f aca="false">IF(C_KPI_Benchmark!O200&lt;&gt;"",C_KPI_Benchmark!O200,IF(G200="Higher is better",H200*(1-A_Scoring_Model!$C$16),H200*(1+A_Scoring_Model!$C$16)))</f>
        <v>0.8</v>
      </c>
      <c r="J200" s="61"/>
      <c r="K200" s="61"/>
      <c r="L200" s="61"/>
      <c r="M200" s="61" t="n">
        <v>1</v>
      </c>
      <c r="N200" s="56" t="str">
        <f aca="false">IF(J200="","",IF($H200=$I200,IF(OR(AND($G200="Higher is better",J200&gt;=$H200),AND($G200="Lower is better",J200&lt;=$H200)),A_Scoring_Model!$C$14,0),IF($G200="Higher is better",IF(J200&gt;=$H200,A_Scoring_Model!$C$14,IF(J200&lt;$I200,0,A_Scoring_Model!$C$15+(A_Scoring_Model!$C$14-A_Scoring_Model!$C$15)*(J200-$I200)/($H200-$I200))),IF(J200&lt;=$H200,A_Scoring_Model!$C$14,IF(J200&gt;$I200,0,A_Scoring_Model!$C$15+(A_Scoring_Model!$C$14-A_Scoring_Model!$C$15)*($I200-J200)/($I200-$H200))))))</f>
        <v/>
      </c>
      <c r="O200" s="56" t="str">
        <f aca="false">IF(K200="","",IF($H200=$I200,IF(OR(AND($G200="Higher is better",K200&gt;=$H200),AND($G200="Lower is better",K200&lt;=$H200)),A_Scoring_Model!$C$14,0),IF($G200="Higher is better",IF(K200&gt;=$H200,A_Scoring_Model!$C$14,IF(K200&lt;$I200,0,A_Scoring_Model!$C$15+(A_Scoring_Model!$C$14-A_Scoring_Model!$C$15)*(K200-$I200)/($H200-$I200))),IF(K200&lt;=$H200,A_Scoring_Model!$C$14,IF(K200&gt;$I200,0,A_Scoring_Model!$C$15+(A_Scoring_Model!$C$14-A_Scoring_Model!$C$15)*($I200-K200)/($I200-$H200))))))</f>
        <v/>
      </c>
      <c r="P200" s="56" t="str">
        <f aca="false">IF(L200="","",IF($H200=$I200,IF(OR(AND($G200="Higher is better",L200&gt;=$H200),AND($G200="Lower is better",L200&lt;=$H200)),A_Scoring_Model!$C$14,0),IF($G200="Higher is better",IF(L200&gt;=$H200,A_Scoring_Model!$C$14,IF(L200&lt;$I200,0,A_Scoring_Model!$C$15+(A_Scoring_Model!$C$14-A_Scoring_Model!$C$15)*(L200-$I200)/($H200-$I200))),IF(L200&lt;=$H200,A_Scoring_Model!$C$14,IF(L200&gt;$I200,0,A_Scoring_Model!$C$15+(A_Scoring_Model!$C$14-A_Scoring_Model!$C$15)*($I200-L200)/($I200-$H200))))))</f>
        <v/>
      </c>
      <c r="Q200" s="56" t="n">
        <f aca="false">IF(M200="","",IF($H200=$I200,IF(OR(AND($G200="Higher is better",M200&gt;=$H200),AND($G200="Lower is better",M200&lt;=$H200)),A_Scoring_Model!$C$14,0),IF($G200="Higher is better",IF(M200&gt;=$H200,A_Scoring_Model!$C$14,IF(M200&lt;$I200,0,A_Scoring_Model!$C$15+(A_Scoring_Model!$C$14-A_Scoring_Model!$C$15)*(M200-$I200)/($H200-$I200))),IF(M200&lt;=$H200,A_Scoring_Model!$C$14,IF(M200&gt;$I200,0,A_Scoring_Model!$C$15+(A_Scoring_Model!$C$14-A_Scoring_Model!$C$15)*($I200-M200)/($I200-$H200))))))</f>
        <v>100</v>
      </c>
    </row>
    <row r="201" customFormat="false" ht="15" hidden="false" customHeight="false" outlineLevel="0" collapsed="false">
      <c r="A201" s="51" t="str">
        <f aca="false">C_KPI_Benchmark!A201</f>
        <v>4.a-D1-01</v>
      </c>
      <c r="B201" s="52" t="str">
        <f aca="false">C_KPI_Benchmark!D201</f>
        <v>4.a</v>
      </c>
      <c r="C201" s="51" t="str">
        <f aca="false">C_KPI_Benchmark!E201</f>
        <v>IaC Provisioner Agent</v>
      </c>
      <c r="D201" s="52" t="str">
        <f aca="false">C_KPI_Benchmark!F201</f>
        <v>D1</v>
      </c>
      <c r="E201" s="51" t="str">
        <f aca="false">C_KPI_Benchmark!J201</f>
        <v>IaC validity (validate / lint)</v>
      </c>
      <c r="F201" s="52" t="str">
        <f aca="false">C_KPI_Benchmark!K201</f>
        <v>%</v>
      </c>
      <c r="G201" s="51" t="str">
        <f aca="false">C_KPI_Benchmark!L201</f>
        <v>Higher is better</v>
      </c>
      <c r="H201" s="53" t="n">
        <f aca="false">C_KPI_Benchmark!N201</f>
        <v>1</v>
      </c>
      <c r="I201" s="54" t="n">
        <f aca="false">IF(C_KPI_Benchmark!O201&lt;&gt;"",C_KPI_Benchmark!O201,IF(G201="Higher is better",H201*(1-A_Scoring_Model!$C$16),H201*(1+A_Scoring_Model!$C$16)))</f>
        <v>0.98</v>
      </c>
      <c r="J201" s="55"/>
      <c r="K201" s="55"/>
      <c r="L201" s="55"/>
      <c r="M201" s="55"/>
      <c r="N201" s="56" t="str">
        <f aca="false">IF(J201="","",IF($H201=$I201,IF(OR(AND($G201="Higher is better",J201&gt;=$H201),AND($G201="Lower is better",J201&lt;=$H201)),A_Scoring_Model!$C$14,0),IF($G201="Higher is better",IF(J201&gt;=$H201,A_Scoring_Model!$C$14,IF(J201&lt;$I201,0,A_Scoring_Model!$C$15+(A_Scoring_Model!$C$14-A_Scoring_Model!$C$15)*(J201-$I201)/($H201-$I201))),IF(J201&lt;=$H201,A_Scoring_Model!$C$14,IF(J201&gt;$I201,0,A_Scoring_Model!$C$15+(A_Scoring_Model!$C$14-A_Scoring_Model!$C$15)*($I201-J201)/($I201-$H201))))))</f>
        <v/>
      </c>
      <c r="O201" s="56" t="str">
        <f aca="false">IF(K201="","",IF($H201=$I201,IF(OR(AND($G201="Higher is better",K201&gt;=$H201),AND($G201="Lower is better",K201&lt;=$H201)),A_Scoring_Model!$C$14,0),IF($G201="Higher is better",IF(K201&gt;=$H201,A_Scoring_Model!$C$14,IF(K201&lt;$I201,0,A_Scoring_Model!$C$15+(A_Scoring_Model!$C$14-A_Scoring_Model!$C$15)*(K201-$I201)/($H201-$I201))),IF(K201&lt;=$H201,A_Scoring_Model!$C$14,IF(K201&gt;$I201,0,A_Scoring_Model!$C$15+(A_Scoring_Model!$C$14-A_Scoring_Model!$C$15)*($I201-K201)/($I201-$H201))))))</f>
        <v/>
      </c>
      <c r="P201" s="56" t="str">
        <f aca="false">IF(L201="","",IF($H201=$I201,IF(OR(AND($G201="Higher is better",L201&gt;=$H201),AND($G201="Lower is better",L201&lt;=$H201)),A_Scoring_Model!$C$14,0),IF($G201="Higher is better",IF(L201&gt;=$H201,A_Scoring_Model!$C$14,IF(L201&lt;$I201,0,A_Scoring_Model!$C$15+(A_Scoring_Model!$C$14-A_Scoring_Model!$C$15)*(L201-$I201)/($H201-$I201))),IF(L201&lt;=$H201,A_Scoring_Model!$C$14,IF(L201&gt;$I201,0,A_Scoring_Model!$C$15+(A_Scoring_Model!$C$14-A_Scoring_Model!$C$15)*($I201-L201)/($I201-$H201))))))</f>
        <v/>
      </c>
      <c r="Q201" s="56" t="str">
        <f aca="false">IF(M201="","",IF($H201=$I201,IF(OR(AND($G201="Higher is better",M201&gt;=$H201),AND($G201="Lower is better",M201&lt;=$H201)),A_Scoring_Model!$C$14,0),IF($G201="Higher is better",IF(M201&gt;=$H201,A_Scoring_Model!$C$14,IF(M201&lt;$I201,0,A_Scoring_Model!$C$15+(A_Scoring_Model!$C$14-A_Scoring_Model!$C$15)*(M201-$I201)/($H201-$I201))),IF(M201&lt;=$H201,A_Scoring_Model!$C$14,IF(M201&gt;$I201,0,A_Scoring_Model!$C$15+(A_Scoring_Model!$C$14-A_Scoring_Model!$C$15)*($I201-M201)/($I201-$H201))))))</f>
        <v/>
      </c>
    </row>
    <row r="202" customFormat="false" ht="15" hidden="false" customHeight="false" outlineLevel="0" collapsed="false">
      <c r="A202" s="51" t="str">
        <f aca="false">C_KPI_Benchmark!A202</f>
        <v>4.a-D1-02</v>
      </c>
      <c r="B202" s="52" t="str">
        <f aca="false">C_KPI_Benchmark!D202</f>
        <v>4.a</v>
      </c>
      <c r="C202" s="51" t="str">
        <f aca="false">C_KPI_Benchmark!E202</f>
        <v>IaC Provisioner Agent</v>
      </c>
      <c r="D202" s="52" t="str">
        <f aca="false">C_KPI_Benchmark!F202</f>
        <v>D1</v>
      </c>
      <c r="E202" s="51" t="str">
        <f aca="false">C_KPI_Benchmark!J202</f>
        <v>First-attempt provisioning success</v>
      </c>
      <c r="F202" s="52" t="str">
        <f aca="false">C_KPI_Benchmark!K202</f>
        <v>%</v>
      </c>
      <c r="G202" s="51" t="str">
        <f aca="false">C_KPI_Benchmark!L202</f>
        <v>Higher is better</v>
      </c>
      <c r="H202" s="53" t="n">
        <f aca="false">C_KPI_Benchmark!N202</f>
        <v>0.95</v>
      </c>
      <c r="I202" s="54" t="n">
        <f aca="false">IF(C_KPI_Benchmark!O202&lt;&gt;"",C_KPI_Benchmark!O202,IF(G202="Higher is better",H202*(1-A_Scoring_Model!$C$16),H202*(1+A_Scoring_Model!$C$16)))</f>
        <v>0.85</v>
      </c>
      <c r="J202" s="55"/>
      <c r="K202" s="55"/>
      <c r="L202" s="55"/>
      <c r="M202" s="55"/>
      <c r="N202" s="56" t="str">
        <f aca="false">IF(J202="","",IF($H202=$I202,IF(OR(AND($G202="Higher is better",J202&gt;=$H202),AND($G202="Lower is better",J202&lt;=$H202)),A_Scoring_Model!$C$14,0),IF($G202="Higher is better",IF(J202&gt;=$H202,A_Scoring_Model!$C$14,IF(J202&lt;$I202,0,A_Scoring_Model!$C$15+(A_Scoring_Model!$C$14-A_Scoring_Model!$C$15)*(J202-$I202)/($H202-$I202))),IF(J202&lt;=$H202,A_Scoring_Model!$C$14,IF(J202&gt;$I202,0,A_Scoring_Model!$C$15+(A_Scoring_Model!$C$14-A_Scoring_Model!$C$15)*($I202-J202)/($I202-$H202))))))</f>
        <v/>
      </c>
      <c r="O202" s="56" t="str">
        <f aca="false">IF(K202="","",IF($H202=$I202,IF(OR(AND($G202="Higher is better",K202&gt;=$H202),AND($G202="Lower is better",K202&lt;=$H202)),A_Scoring_Model!$C$14,0),IF($G202="Higher is better",IF(K202&gt;=$H202,A_Scoring_Model!$C$14,IF(K202&lt;$I202,0,A_Scoring_Model!$C$15+(A_Scoring_Model!$C$14-A_Scoring_Model!$C$15)*(K202-$I202)/($H202-$I202))),IF(K202&lt;=$H202,A_Scoring_Model!$C$14,IF(K202&gt;$I202,0,A_Scoring_Model!$C$15+(A_Scoring_Model!$C$14-A_Scoring_Model!$C$15)*($I202-K202)/($I202-$H202))))))</f>
        <v/>
      </c>
      <c r="P202" s="56" t="str">
        <f aca="false">IF(L202="","",IF($H202=$I202,IF(OR(AND($G202="Higher is better",L202&gt;=$H202),AND($G202="Lower is better",L202&lt;=$H202)),A_Scoring_Model!$C$14,0),IF($G202="Higher is better",IF(L202&gt;=$H202,A_Scoring_Model!$C$14,IF(L202&lt;$I202,0,A_Scoring_Model!$C$15+(A_Scoring_Model!$C$14-A_Scoring_Model!$C$15)*(L202-$I202)/($H202-$I202))),IF(L202&lt;=$H202,A_Scoring_Model!$C$14,IF(L202&gt;$I202,0,A_Scoring_Model!$C$15+(A_Scoring_Model!$C$14-A_Scoring_Model!$C$15)*($I202-L202)/($I202-$H202))))))</f>
        <v/>
      </c>
      <c r="Q202" s="56" t="str">
        <f aca="false">IF(M202="","",IF($H202=$I202,IF(OR(AND($G202="Higher is better",M202&gt;=$H202),AND($G202="Lower is better",M202&lt;=$H202)),A_Scoring_Model!$C$14,0),IF($G202="Higher is better",IF(M202&gt;=$H202,A_Scoring_Model!$C$14,IF(M202&lt;$I202,0,A_Scoring_Model!$C$15+(A_Scoring_Model!$C$14-A_Scoring_Model!$C$15)*(M202-$I202)/($H202-$I202))),IF(M202&lt;=$H202,A_Scoring_Model!$C$14,IF(M202&gt;$I202,0,A_Scoring_Model!$C$15+(A_Scoring_Model!$C$14-A_Scoring_Model!$C$15)*($I202-M202)/($I202-$H202))))))</f>
        <v/>
      </c>
    </row>
    <row r="203" customFormat="false" ht="15" hidden="false" customHeight="false" outlineLevel="0" collapsed="false">
      <c r="A203" s="51" t="str">
        <f aca="false">C_KPI_Benchmark!A203</f>
        <v>4.a-D1-03</v>
      </c>
      <c r="B203" s="52" t="str">
        <f aca="false">C_KPI_Benchmark!D203</f>
        <v>4.a</v>
      </c>
      <c r="C203" s="51" t="str">
        <f aca="false">C_KPI_Benchmark!E203</f>
        <v>IaC Provisioner Agent</v>
      </c>
      <c r="D203" s="52" t="str">
        <f aca="false">C_KPI_Benchmark!F203</f>
        <v>D1</v>
      </c>
      <c r="E203" s="51" t="str">
        <f aca="false">C_KPI_Benchmark!J203</f>
        <v>Policy-as-code compliance</v>
      </c>
      <c r="F203" s="52" t="str">
        <f aca="false">C_KPI_Benchmark!K203</f>
        <v>%</v>
      </c>
      <c r="G203" s="51" t="str">
        <f aca="false">C_KPI_Benchmark!L203</f>
        <v>Higher is better</v>
      </c>
      <c r="H203" s="53" t="n">
        <f aca="false">C_KPI_Benchmark!N203</f>
        <v>1</v>
      </c>
      <c r="I203" s="54" t="n">
        <f aca="false">IF(C_KPI_Benchmark!O203&lt;&gt;"",C_KPI_Benchmark!O203,IF(G203="Higher is better",H203*(1-A_Scoring_Model!$C$16),H203*(1+A_Scoring_Model!$C$16)))</f>
        <v>1</v>
      </c>
      <c r="J203" s="55"/>
      <c r="K203" s="55"/>
      <c r="L203" s="55"/>
      <c r="M203" s="55"/>
      <c r="N203" s="56" t="str">
        <f aca="false">IF(J203="","",IF($H203=$I203,IF(OR(AND($G203="Higher is better",J203&gt;=$H203),AND($G203="Lower is better",J203&lt;=$H203)),A_Scoring_Model!$C$14,0),IF($G203="Higher is better",IF(J203&gt;=$H203,A_Scoring_Model!$C$14,IF(J203&lt;$I203,0,A_Scoring_Model!$C$15+(A_Scoring_Model!$C$14-A_Scoring_Model!$C$15)*(J203-$I203)/($H203-$I203))),IF(J203&lt;=$H203,A_Scoring_Model!$C$14,IF(J203&gt;$I203,0,A_Scoring_Model!$C$15+(A_Scoring_Model!$C$14-A_Scoring_Model!$C$15)*($I203-J203)/($I203-$H203))))))</f>
        <v/>
      </c>
      <c r="O203" s="56" t="str">
        <f aca="false">IF(K203="","",IF($H203=$I203,IF(OR(AND($G203="Higher is better",K203&gt;=$H203),AND($G203="Lower is better",K203&lt;=$H203)),A_Scoring_Model!$C$14,0),IF($G203="Higher is better",IF(K203&gt;=$H203,A_Scoring_Model!$C$14,IF(K203&lt;$I203,0,A_Scoring_Model!$C$15+(A_Scoring_Model!$C$14-A_Scoring_Model!$C$15)*(K203-$I203)/($H203-$I203))),IF(K203&lt;=$H203,A_Scoring_Model!$C$14,IF(K203&gt;$I203,0,A_Scoring_Model!$C$15+(A_Scoring_Model!$C$14-A_Scoring_Model!$C$15)*($I203-K203)/($I203-$H203))))))</f>
        <v/>
      </c>
      <c r="P203" s="56" t="str">
        <f aca="false">IF(L203="","",IF($H203=$I203,IF(OR(AND($G203="Higher is better",L203&gt;=$H203),AND($G203="Lower is better",L203&lt;=$H203)),A_Scoring_Model!$C$14,0),IF($G203="Higher is better",IF(L203&gt;=$H203,A_Scoring_Model!$C$14,IF(L203&lt;$I203,0,A_Scoring_Model!$C$15+(A_Scoring_Model!$C$14-A_Scoring_Model!$C$15)*(L203-$I203)/($H203-$I203))),IF(L203&lt;=$H203,A_Scoring_Model!$C$14,IF(L203&gt;$I203,0,A_Scoring_Model!$C$15+(A_Scoring_Model!$C$14-A_Scoring_Model!$C$15)*($I203-L203)/($I203-$H203))))))</f>
        <v/>
      </c>
      <c r="Q203" s="56" t="str">
        <f aca="false">IF(M203="","",IF($H203=$I203,IF(OR(AND($G203="Higher is better",M203&gt;=$H203),AND($G203="Lower is better",M203&lt;=$H203)),A_Scoring_Model!$C$14,0),IF($G203="Higher is better",IF(M203&gt;=$H203,A_Scoring_Model!$C$14,IF(M203&lt;$I203,0,A_Scoring_Model!$C$15+(A_Scoring_Model!$C$14-A_Scoring_Model!$C$15)*(M203-$I203)/($H203-$I203))),IF(M203&lt;=$H203,A_Scoring_Model!$C$14,IF(M203&gt;$I203,0,A_Scoring_Model!$C$15+(A_Scoring_Model!$C$14-A_Scoring_Model!$C$15)*($I203-M203)/($I203-$H203))))))</f>
        <v/>
      </c>
    </row>
    <row r="204" customFormat="false" ht="23.85" hidden="false" customHeight="false" outlineLevel="0" collapsed="false">
      <c r="A204" s="51" t="str">
        <f aca="false">C_KPI_Benchmark!A204</f>
        <v>4.a-D2-04</v>
      </c>
      <c r="B204" s="52" t="str">
        <f aca="false">C_KPI_Benchmark!D204</f>
        <v>4.a</v>
      </c>
      <c r="C204" s="51" t="str">
        <f aca="false">C_KPI_Benchmark!E204</f>
        <v>IaC Provisioner Agent</v>
      </c>
      <c r="D204" s="52" t="str">
        <f aca="false">C_KPI_Benchmark!F204</f>
        <v>D2</v>
      </c>
      <c r="E204" s="51" t="str">
        <f aca="false">C_KPI_Benchmark!J204</f>
        <v>Module registry covers VM, K8s and bare-metal host + DUT rigs</v>
      </c>
      <c r="F204" s="52" t="str">
        <f aca="false">C_KPI_Benchmark!K204</f>
        <v>Yes/No</v>
      </c>
      <c r="G204" s="51" t="str">
        <f aca="false">C_KPI_Benchmark!L204</f>
        <v>Higher is better</v>
      </c>
      <c r="H204" s="60" t="n">
        <f aca="false">C_KPI_Benchmark!N204</f>
        <v>1</v>
      </c>
      <c r="I204" s="56" t="n">
        <f aca="false">IF(C_KPI_Benchmark!O204&lt;&gt;"",C_KPI_Benchmark!O204,IF(G204="Higher is better",H204*(1-A_Scoring_Model!$C$16),H204*(1+A_Scoring_Model!$C$16)))</f>
        <v>0.8</v>
      </c>
      <c r="J204" s="61"/>
      <c r="K204" s="61"/>
      <c r="L204" s="61"/>
      <c r="M204" s="61"/>
      <c r="N204" s="56" t="str">
        <f aca="false">IF(J204="","",IF($H204=$I204,IF(OR(AND($G204="Higher is better",J204&gt;=$H204),AND($G204="Lower is better",J204&lt;=$H204)),A_Scoring_Model!$C$14,0),IF($G204="Higher is better",IF(J204&gt;=$H204,A_Scoring_Model!$C$14,IF(J204&lt;$I204,0,A_Scoring_Model!$C$15+(A_Scoring_Model!$C$14-A_Scoring_Model!$C$15)*(J204-$I204)/($H204-$I204))),IF(J204&lt;=$H204,A_Scoring_Model!$C$14,IF(J204&gt;$I204,0,A_Scoring_Model!$C$15+(A_Scoring_Model!$C$14-A_Scoring_Model!$C$15)*($I204-J204)/($I204-$H204))))))</f>
        <v/>
      </c>
      <c r="O204" s="56" t="str">
        <f aca="false">IF(K204="","",IF($H204=$I204,IF(OR(AND($G204="Higher is better",K204&gt;=$H204),AND($G204="Lower is better",K204&lt;=$H204)),A_Scoring_Model!$C$14,0),IF($G204="Higher is better",IF(K204&gt;=$H204,A_Scoring_Model!$C$14,IF(K204&lt;$I204,0,A_Scoring_Model!$C$15+(A_Scoring_Model!$C$14-A_Scoring_Model!$C$15)*(K204-$I204)/($H204-$I204))),IF(K204&lt;=$H204,A_Scoring_Model!$C$14,IF(K204&gt;$I204,0,A_Scoring_Model!$C$15+(A_Scoring_Model!$C$14-A_Scoring_Model!$C$15)*($I204-K204)/($I204-$H204))))))</f>
        <v/>
      </c>
      <c r="P204" s="56" t="str">
        <f aca="false">IF(L204="","",IF($H204=$I204,IF(OR(AND($G204="Higher is better",L204&gt;=$H204),AND($G204="Lower is better",L204&lt;=$H204)),A_Scoring_Model!$C$14,0),IF($G204="Higher is better",IF(L204&gt;=$H204,A_Scoring_Model!$C$14,IF(L204&lt;$I204,0,A_Scoring_Model!$C$15+(A_Scoring_Model!$C$14-A_Scoring_Model!$C$15)*(L204-$I204)/($H204-$I204))),IF(L204&lt;=$H204,A_Scoring_Model!$C$14,IF(L204&gt;$I204,0,A_Scoring_Model!$C$15+(A_Scoring_Model!$C$14-A_Scoring_Model!$C$15)*($I204-L204)/($I204-$H204))))))</f>
        <v/>
      </c>
      <c r="Q204" s="56" t="str">
        <f aca="false">IF(M204="","",IF($H204=$I204,IF(OR(AND($G204="Higher is better",M204&gt;=$H204),AND($G204="Lower is better",M204&lt;=$H204)),A_Scoring_Model!$C$14,0),IF($G204="Higher is better",IF(M204&gt;=$H204,A_Scoring_Model!$C$14,IF(M204&lt;$I204,0,A_Scoring_Model!$C$15+(A_Scoring_Model!$C$14-A_Scoring_Model!$C$15)*(M204-$I204)/($H204-$I204))),IF(M204&lt;=$H204,A_Scoring_Model!$C$14,IF(M204&gt;$I204,0,A_Scoring_Model!$C$15+(A_Scoring_Model!$C$14-A_Scoring_Model!$C$15)*($I204-M204)/($I204-$H204))))))</f>
        <v/>
      </c>
    </row>
    <row r="205" customFormat="false" ht="23.85" hidden="false" customHeight="false" outlineLevel="0" collapsed="false">
      <c r="A205" s="51" t="str">
        <f aca="false">C_KPI_Benchmark!A205</f>
        <v>4.a-D2-05</v>
      </c>
      <c r="B205" s="52" t="str">
        <f aca="false">C_KPI_Benchmark!D205</f>
        <v>4.a</v>
      </c>
      <c r="C205" s="51" t="str">
        <f aca="false">C_KPI_Benchmark!E205</f>
        <v>IaC Provisioner Agent</v>
      </c>
      <c r="D205" s="52" t="str">
        <f aca="false">C_KPI_Benchmark!F205</f>
        <v>D2</v>
      </c>
      <c r="E205" s="51" t="str">
        <f aca="false">C_KPI_Benchmark!J205</f>
        <v>Product lines supported with ≤10% efficacy drop (NVMe SSD, UFS, eMMC/uSD, PSSD)</v>
      </c>
      <c r="F205" s="52" t="str">
        <f aca="false">C_KPI_Benchmark!K205</f>
        <v>count</v>
      </c>
      <c r="G205" s="51" t="str">
        <f aca="false">C_KPI_Benchmark!L205</f>
        <v>Higher is better</v>
      </c>
      <c r="H205" s="62" t="n">
        <f aca="false">C_KPI_Benchmark!N205</f>
        <v>3</v>
      </c>
      <c r="I205" s="63" t="n">
        <f aca="false">IF(C_KPI_Benchmark!O205&lt;&gt;"",C_KPI_Benchmark!O205,IF(G205="Higher is better",H205*(1-A_Scoring_Model!$C$16),H205*(1+A_Scoring_Model!$C$16)))</f>
        <v>2</v>
      </c>
      <c r="J205" s="64"/>
      <c r="K205" s="64"/>
      <c r="L205" s="64"/>
      <c r="M205" s="64"/>
      <c r="N205" s="56" t="str">
        <f aca="false">IF(J205="","",IF($H205=$I205,IF(OR(AND($G205="Higher is better",J205&gt;=$H205),AND($G205="Lower is better",J205&lt;=$H205)),A_Scoring_Model!$C$14,0),IF($G205="Higher is better",IF(J205&gt;=$H205,A_Scoring_Model!$C$14,IF(J205&lt;$I205,0,A_Scoring_Model!$C$15+(A_Scoring_Model!$C$14-A_Scoring_Model!$C$15)*(J205-$I205)/($H205-$I205))),IF(J205&lt;=$H205,A_Scoring_Model!$C$14,IF(J205&gt;$I205,0,A_Scoring_Model!$C$15+(A_Scoring_Model!$C$14-A_Scoring_Model!$C$15)*($I205-J205)/($I205-$H205))))))</f>
        <v/>
      </c>
      <c r="O205" s="56" t="str">
        <f aca="false">IF(K205="","",IF($H205=$I205,IF(OR(AND($G205="Higher is better",K205&gt;=$H205),AND($G205="Lower is better",K205&lt;=$H205)),A_Scoring_Model!$C$14,0),IF($G205="Higher is better",IF(K205&gt;=$H205,A_Scoring_Model!$C$14,IF(K205&lt;$I205,0,A_Scoring_Model!$C$15+(A_Scoring_Model!$C$14-A_Scoring_Model!$C$15)*(K205-$I205)/($H205-$I205))),IF(K205&lt;=$H205,A_Scoring_Model!$C$14,IF(K205&gt;$I205,0,A_Scoring_Model!$C$15+(A_Scoring_Model!$C$14-A_Scoring_Model!$C$15)*($I205-K205)/($I205-$H205))))))</f>
        <v/>
      </c>
      <c r="P205" s="56" t="str">
        <f aca="false">IF(L205="","",IF($H205=$I205,IF(OR(AND($G205="Higher is better",L205&gt;=$H205),AND($G205="Lower is better",L205&lt;=$H205)),A_Scoring_Model!$C$14,0),IF($G205="Higher is better",IF(L205&gt;=$H205,A_Scoring_Model!$C$14,IF(L205&lt;$I205,0,A_Scoring_Model!$C$15+(A_Scoring_Model!$C$14-A_Scoring_Model!$C$15)*(L205-$I205)/($H205-$I205))),IF(L205&lt;=$H205,A_Scoring_Model!$C$14,IF(L205&gt;$I205,0,A_Scoring_Model!$C$15+(A_Scoring_Model!$C$14-A_Scoring_Model!$C$15)*($I205-L205)/($I205-$H205))))))</f>
        <v/>
      </c>
      <c r="Q205" s="56" t="str">
        <f aca="false">IF(M205="","",IF($H205=$I205,IF(OR(AND($G205="Higher is better",M205&gt;=$H205),AND($G205="Lower is better",M205&lt;=$H205)),A_Scoring_Model!$C$14,0),IF($G205="Higher is better",IF(M205&gt;=$H205,A_Scoring_Model!$C$14,IF(M205&lt;$I205,0,A_Scoring_Model!$C$15+(A_Scoring_Model!$C$14-A_Scoring_Model!$C$15)*(M205-$I205)/($H205-$I205))),IF(M205&lt;=$H205,A_Scoring_Model!$C$14,IF(M205&gt;$I205,0,A_Scoring_Model!$C$15+(A_Scoring_Model!$C$14-A_Scoring_Model!$C$15)*($I205-M205)/($I205-$H205))))))</f>
        <v/>
      </c>
    </row>
    <row r="206" customFormat="false" ht="15" hidden="false" customHeight="false" outlineLevel="0" collapsed="false">
      <c r="A206" s="51" t="str">
        <f aca="false">C_KPI_Benchmark!A206</f>
        <v>4.a-D2-06</v>
      </c>
      <c r="B206" s="52" t="str">
        <f aca="false">C_KPI_Benchmark!D206</f>
        <v>4.a</v>
      </c>
      <c r="C206" s="51" t="str">
        <f aca="false">C_KPI_Benchmark!E206</f>
        <v>IaC Provisioner Agent</v>
      </c>
      <c r="D206" s="52" t="str">
        <f aca="false">C_KPI_Benchmark!F206</f>
        <v>D2</v>
      </c>
      <c r="E206" s="51" t="str">
        <f aca="false">C_KPI_Benchmark!J206</f>
        <v>Uses Zion shared services instead of re-implementing them</v>
      </c>
      <c r="F206" s="52" t="str">
        <f aca="false">C_KPI_Benchmark!K206</f>
        <v>Yes/No</v>
      </c>
      <c r="G206" s="51" t="str">
        <f aca="false">C_KPI_Benchmark!L206</f>
        <v>Higher is better</v>
      </c>
      <c r="H206" s="60" t="n">
        <f aca="false">C_KPI_Benchmark!N206</f>
        <v>1</v>
      </c>
      <c r="I206" s="56" t="n">
        <f aca="false">IF(C_KPI_Benchmark!O206&lt;&gt;"",C_KPI_Benchmark!O206,IF(G206="Higher is better",H206*(1-A_Scoring_Model!$C$16),H206*(1+A_Scoring_Model!$C$16)))</f>
        <v>0.8</v>
      </c>
      <c r="J206" s="61"/>
      <c r="K206" s="61"/>
      <c r="L206" s="61"/>
      <c r="M206" s="61"/>
      <c r="N206" s="56" t="str">
        <f aca="false">IF(J206="","",IF($H206=$I206,IF(OR(AND($G206="Higher is better",J206&gt;=$H206),AND($G206="Lower is better",J206&lt;=$H206)),A_Scoring_Model!$C$14,0),IF($G206="Higher is better",IF(J206&gt;=$H206,A_Scoring_Model!$C$14,IF(J206&lt;$I206,0,A_Scoring_Model!$C$15+(A_Scoring_Model!$C$14-A_Scoring_Model!$C$15)*(J206-$I206)/($H206-$I206))),IF(J206&lt;=$H206,A_Scoring_Model!$C$14,IF(J206&gt;$I206,0,A_Scoring_Model!$C$15+(A_Scoring_Model!$C$14-A_Scoring_Model!$C$15)*($I206-J206)/($I206-$H206))))))</f>
        <v/>
      </c>
      <c r="O206" s="56" t="str">
        <f aca="false">IF(K206="","",IF($H206=$I206,IF(OR(AND($G206="Higher is better",K206&gt;=$H206),AND($G206="Lower is better",K206&lt;=$H206)),A_Scoring_Model!$C$14,0),IF($G206="Higher is better",IF(K206&gt;=$H206,A_Scoring_Model!$C$14,IF(K206&lt;$I206,0,A_Scoring_Model!$C$15+(A_Scoring_Model!$C$14-A_Scoring_Model!$C$15)*(K206-$I206)/($H206-$I206))),IF(K206&lt;=$H206,A_Scoring_Model!$C$14,IF(K206&gt;$I206,0,A_Scoring_Model!$C$15+(A_Scoring_Model!$C$14-A_Scoring_Model!$C$15)*($I206-K206)/($I206-$H206))))))</f>
        <v/>
      </c>
      <c r="P206" s="56" t="str">
        <f aca="false">IF(L206="","",IF($H206=$I206,IF(OR(AND($G206="Higher is better",L206&gt;=$H206),AND($G206="Lower is better",L206&lt;=$H206)),A_Scoring_Model!$C$14,0),IF($G206="Higher is better",IF(L206&gt;=$H206,A_Scoring_Model!$C$14,IF(L206&lt;$I206,0,A_Scoring_Model!$C$15+(A_Scoring_Model!$C$14-A_Scoring_Model!$C$15)*(L206-$I206)/($H206-$I206))),IF(L206&lt;=$H206,A_Scoring_Model!$C$14,IF(L206&gt;$I206,0,A_Scoring_Model!$C$15+(A_Scoring_Model!$C$14-A_Scoring_Model!$C$15)*($I206-L206)/($I206-$H206))))))</f>
        <v/>
      </c>
      <c r="Q206" s="56" t="str">
        <f aca="false">IF(M206="","",IF($H206=$I206,IF(OR(AND($G206="Higher is better",M206&gt;=$H206),AND($G206="Lower is better",M206&lt;=$H206)),A_Scoring_Model!$C$14,0),IF($G206="Higher is better",IF(M206&gt;=$H206,A_Scoring_Model!$C$14,IF(M206&lt;$I206,0,A_Scoring_Model!$C$15+(A_Scoring_Model!$C$14-A_Scoring_Model!$C$15)*(M206-$I206)/($H206-$I206))),IF(M206&lt;=$H206,A_Scoring_Model!$C$14,IF(M206&gt;$I206,0,A_Scoring_Model!$C$15+(A_Scoring_Model!$C$14-A_Scoring_Model!$C$15)*($I206-M206)/($I206-$H206))))))</f>
        <v/>
      </c>
    </row>
    <row r="207" customFormat="false" ht="15" hidden="false" customHeight="false" outlineLevel="0" collapsed="false">
      <c r="A207" s="51" t="str">
        <f aca="false">C_KPI_Benchmark!A207</f>
        <v>4.a-D3-07</v>
      </c>
      <c r="B207" s="52" t="str">
        <f aca="false">C_KPI_Benchmark!D207</f>
        <v>4.a</v>
      </c>
      <c r="C207" s="51" t="str">
        <f aca="false">C_KPI_Benchmark!E207</f>
        <v>IaC Provisioner Agent</v>
      </c>
      <c r="D207" s="52" t="str">
        <f aca="false">C_KPI_Benchmark!F207</f>
        <v>D3</v>
      </c>
      <c r="E207" s="51" t="str">
        <f aca="false">C_KPI_Benchmark!J207</f>
        <v>Rigs provisioned in parallel</v>
      </c>
      <c r="F207" s="52" t="str">
        <f aca="false">C_KPI_Benchmark!K207</f>
        <v>count</v>
      </c>
      <c r="G207" s="51" t="str">
        <f aca="false">C_KPI_Benchmark!L207</f>
        <v>Higher is better</v>
      </c>
      <c r="H207" s="62" t="n">
        <f aca="false">C_KPI_Benchmark!N207</f>
        <v>50</v>
      </c>
      <c r="I207" s="63" t="n">
        <f aca="false">IF(C_KPI_Benchmark!O207&lt;&gt;"",C_KPI_Benchmark!O207,IF(G207="Higher is better",H207*(1-A_Scoring_Model!$C$16),H207*(1+A_Scoring_Model!$C$16)))</f>
        <v>40</v>
      </c>
      <c r="J207" s="64"/>
      <c r="K207" s="64"/>
      <c r="L207" s="64"/>
      <c r="M207" s="64"/>
      <c r="N207" s="56" t="str">
        <f aca="false">IF(J207="","",IF($H207=$I207,IF(OR(AND($G207="Higher is better",J207&gt;=$H207),AND($G207="Lower is better",J207&lt;=$H207)),A_Scoring_Model!$C$14,0),IF($G207="Higher is better",IF(J207&gt;=$H207,A_Scoring_Model!$C$14,IF(J207&lt;$I207,0,A_Scoring_Model!$C$15+(A_Scoring_Model!$C$14-A_Scoring_Model!$C$15)*(J207-$I207)/($H207-$I207))),IF(J207&lt;=$H207,A_Scoring_Model!$C$14,IF(J207&gt;$I207,0,A_Scoring_Model!$C$15+(A_Scoring_Model!$C$14-A_Scoring_Model!$C$15)*($I207-J207)/($I207-$H207))))))</f>
        <v/>
      </c>
      <c r="O207" s="56" t="str">
        <f aca="false">IF(K207="","",IF($H207=$I207,IF(OR(AND($G207="Higher is better",K207&gt;=$H207),AND($G207="Lower is better",K207&lt;=$H207)),A_Scoring_Model!$C$14,0),IF($G207="Higher is better",IF(K207&gt;=$H207,A_Scoring_Model!$C$14,IF(K207&lt;$I207,0,A_Scoring_Model!$C$15+(A_Scoring_Model!$C$14-A_Scoring_Model!$C$15)*(K207-$I207)/($H207-$I207))),IF(K207&lt;=$H207,A_Scoring_Model!$C$14,IF(K207&gt;$I207,0,A_Scoring_Model!$C$15+(A_Scoring_Model!$C$14-A_Scoring_Model!$C$15)*($I207-K207)/($I207-$H207))))))</f>
        <v/>
      </c>
      <c r="P207" s="56" t="str">
        <f aca="false">IF(L207="","",IF($H207=$I207,IF(OR(AND($G207="Higher is better",L207&gt;=$H207),AND($G207="Lower is better",L207&lt;=$H207)),A_Scoring_Model!$C$14,0),IF($G207="Higher is better",IF(L207&gt;=$H207,A_Scoring_Model!$C$14,IF(L207&lt;$I207,0,A_Scoring_Model!$C$15+(A_Scoring_Model!$C$14-A_Scoring_Model!$C$15)*(L207-$I207)/($H207-$I207))),IF(L207&lt;=$H207,A_Scoring_Model!$C$14,IF(L207&gt;$I207,0,A_Scoring_Model!$C$15+(A_Scoring_Model!$C$14-A_Scoring_Model!$C$15)*($I207-L207)/($I207-$H207))))))</f>
        <v/>
      </c>
      <c r="Q207" s="56" t="str">
        <f aca="false">IF(M207="","",IF($H207=$I207,IF(OR(AND($G207="Higher is better",M207&gt;=$H207),AND($G207="Lower is better",M207&lt;=$H207)),A_Scoring_Model!$C$14,0),IF($G207="Higher is better",IF(M207&gt;=$H207,A_Scoring_Model!$C$14,IF(M207&lt;$I207,0,A_Scoring_Model!$C$15+(A_Scoring_Model!$C$14-A_Scoring_Model!$C$15)*(M207-$I207)/($H207-$I207))),IF(M207&lt;=$H207,A_Scoring_Model!$C$14,IF(M207&gt;$I207,0,A_Scoring_Model!$C$15+(A_Scoring_Model!$C$14-A_Scoring_Model!$C$15)*($I207-M207)/($I207-$H207))))))</f>
        <v/>
      </c>
    </row>
    <row r="208" customFormat="false" ht="15" hidden="false" customHeight="false" outlineLevel="0" collapsed="false">
      <c r="A208" s="51" t="str">
        <f aca="false">C_KPI_Benchmark!A208</f>
        <v>4.a-D3-08</v>
      </c>
      <c r="B208" s="52" t="str">
        <f aca="false">C_KPI_Benchmark!D208</f>
        <v>4.a</v>
      </c>
      <c r="C208" s="51" t="str">
        <f aca="false">C_KPI_Benchmark!E208</f>
        <v>IaC Provisioner Agent</v>
      </c>
      <c r="D208" s="52" t="str">
        <f aca="false">C_KPI_Benchmark!F208</f>
        <v>D3</v>
      </c>
      <c r="E208" s="51" t="str">
        <f aca="false">C_KPI_Benchmark!J208</f>
        <v>Environment ready time</v>
      </c>
      <c r="F208" s="52" t="str">
        <f aca="false">C_KPI_Benchmark!K208</f>
        <v>min</v>
      </c>
      <c r="G208" s="51" t="str">
        <f aca="false">C_KPI_Benchmark!L208</f>
        <v>Lower is better</v>
      </c>
      <c r="H208" s="62" t="n">
        <f aca="false">C_KPI_Benchmark!N208</f>
        <v>30</v>
      </c>
      <c r="I208" s="63" t="n">
        <f aca="false">IF(C_KPI_Benchmark!O208&lt;&gt;"",C_KPI_Benchmark!O208,IF(G208="Higher is better",H208*(1-A_Scoring_Model!$C$16),H208*(1+A_Scoring_Model!$C$16)))</f>
        <v>36</v>
      </c>
      <c r="J208" s="64"/>
      <c r="K208" s="64"/>
      <c r="L208" s="64"/>
      <c r="M208" s="64"/>
      <c r="N208" s="56" t="str">
        <f aca="false">IF(J208="","",IF($H208=$I208,IF(OR(AND($G208="Higher is better",J208&gt;=$H208),AND($G208="Lower is better",J208&lt;=$H208)),A_Scoring_Model!$C$14,0),IF($G208="Higher is better",IF(J208&gt;=$H208,A_Scoring_Model!$C$14,IF(J208&lt;$I208,0,A_Scoring_Model!$C$15+(A_Scoring_Model!$C$14-A_Scoring_Model!$C$15)*(J208-$I208)/($H208-$I208))),IF(J208&lt;=$H208,A_Scoring_Model!$C$14,IF(J208&gt;$I208,0,A_Scoring_Model!$C$15+(A_Scoring_Model!$C$14-A_Scoring_Model!$C$15)*($I208-J208)/($I208-$H208))))))</f>
        <v/>
      </c>
      <c r="O208" s="56" t="str">
        <f aca="false">IF(K208="","",IF($H208=$I208,IF(OR(AND($G208="Higher is better",K208&gt;=$H208),AND($G208="Lower is better",K208&lt;=$H208)),A_Scoring_Model!$C$14,0),IF($G208="Higher is better",IF(K208&gt;=$H208,A_Scoring_Model!$C$14,IF(K208&lt;$I208,0,A_Scoring_Model!$C$15+(A_Scoring_Model!$C$14-A_Scoring_Model!$C$15)*(K208-$I208)/($H208-$I208))),IF(K208&lt;=$H208,A_Scoring_Model!$C$14,IF(K208&gt;$I208,0,A_Scoring_Model!$C$15+(A_Scoring_Model!$C$14-A_Scoring_Model!$C$15)*($I208-K208)/($I208-$H208))))))</f>
        <v/>
      </c>
      <c r="P208" s="56" t="str">
        <f aca="false">IF(L208="","",IF($H208=$I208,IF(OR(AND($G208="Higher is better",L208&gt;=$H208),AND($G208="Lower is better",L208&lt;=$H208)),A_Scoring_Model!$C$14,0),IF($G208="Higher is better",IF(L208&gt;=$H208,A_Scoring_Model!$C$14,IF(L208&lt;$I208,0,A_Scoring_Model!$C$15+(A_Scoring_Model!$C$14-A_Scoring_Model!$C$15)*(L208-$I208)/($H208-$I208))),IF(L208&lt;=$H208,A_Scoring_Model!$C$14,IF(L208&gt;$I208,0,A_Scoring_Model!$C$15+(A_Scoring_Model!$C$14-A_Scoring_Model!$C$15)*($I208-L208)/($I208-$H208))))))</f>
        <v/>
      </c>
      <c r="Q208" s="56" t="str">
        <f aca="false">IF(M208="","",IF($H208=$I208,IF(OR(AND($G208="Higher is better",M208&gt;=$H208),AND($G208="Lower is better",M208&lt;=$H208)),A_Scoring_Model!$C$14,0),IF($G208="Higher is better",IF(M208&gt;=$H208,A_Scoring_Model!$C$14,IF(M208&lt;$I208,0,A_Scoring_Model!$C$15+(A_Scoring_Model!$C$14-A_Scoring_Model!$C$15)*(M208-$I208)/($H208-$I208))),IF(M208&lt;=$H208,A_Scoring_Model!$C$14,IF(M208&gt;$I208,0,A_Scoring_Model!$C$15+(A_Scoring_Model!$C$14-A_Scoring_Model!$C$15)*($I208-M208)/($I208-$H208))))))</f>
        <v/>
      </c>
    </row>
    <row r="209" customFormat="false" ht="15" hidden="false" customHeight="false" outlineLevel="0" collapsed="false">
      <c r="A209" s="51" t="str">
        <f aca="false">C_KPI_Benchmark!A209</f>
        <v>4.a-D3-09</v>
      </c>
      <c r="B209" s="52" t="str">
        <f aca="false">C_KPI_Benchmark!D209</f>
        <v>4.a</v>
      </c>
      <c r="C209" s="51" t="str">
        <f aca="false">C_KPI_Benchmark!E209</f>
        <v>IaC Provisioner Agent</v>
      </c>
      <c r="D209" s="52" t="str">
        <f aca="false">C_KPI_Benchmark!F209</f>
        <v>D3</v>
      </c>
      <c r="E209" s="51" t="str">
        <f aca="false">C_KPI_Benchmark!J209</f>
        <v>Latency degradation at 10× load</v>
      </c>
      <c r="F209" s="52" t="str">
        <f aca="false">C_KPI_Benchmark!K209</f>
        <v>%</v>
      </c>
      <c r="G209" s="51" t="str">
        <f aca="false">C_KPI_Benchmark!L209</f>
        <v>Lower is better</v>
      </c>
      <c r="H209" s="53" t="n">
        <f aca="false">C_KPI_Benchmark!N209</f>
        <v>0.2</v>
      </c>
      <c r="I209" s="54" t="n">
        <f aca="false">IF(C_KPI_Benchmark!O209&lt;&gt;"",C_KPI_Benchmark!O209,IF(G209="Higher is better",H209*(1-A_Scoring_Model!$C$16),H209*(1+A_Scoring_Model!$C$16)))</f>
        <v>0.4</v>
      </c>
      <c r="J209" s="55"/>
      <c r="K209" s="55"/>
      <c r="L209" s="55"/>
      <c r="M209" s="55"/>
      <c r="N209" s="56" t="str">
        <f aca="false">IF(J209="","",IF($H209=$I209,IF(OR(AND($G209="Higher is better",J209&gt;=$H209),AND($G209="Lower is better",J209&lt;=$H209)),A_Scoring_Model!$C$14,0),IF($G209="Higher is better",IF(J209&gt;=$H209,A_Scoring_Model!$C$14,IF(J209&lt;$I209,0,A_Scoring_Model!$C$15+(A_Scoring_Model!$C$14-A_Scoring_Model!$C$15)*(J209-$I209)/($H209-$I209))),IF(J209&lt;=$H209,A_Scoring_Model!$C$14,IF(J209&gt;$I209,0,A_Scoring_Model!$C$15+(A_Scoring_Model!$C$14-A_Scoring_Model!$C$15)*($I209-J209)/($I209-$H209))))))</f>
        <v/>
      </c>
      <c r="O209" s="56" t="str">
        <f aca="false">IF(K209="","",IF($H209=$I209,IF(OR(AND($G209="Higher is better",K209&gt;=$H209),AND($G209="Lower is better",K209&lt;=$H209)),A_Scoring_Model!$C$14,0),IF($G209="Higher is better",IF(K209&gt;=$H209,A_Scoring_Model!$C$14,IF(K209&lt;$I209,0,A_Scoring_Model!$C$15+(A_Scoring_Model!$C$14-A_Scoring_Model!$C$15)*(K209-$I209)/($H209-$I209))),IF(K209&lt;=$H209,A_Scoring_Model!$C$14,IF(K209&gt;$I209,0,A_Scoring_Model!$C$15+(A_Scoring_Model!$C$14-A_Scoring_Model!$C$15)*($I209-K209)/($I209-$H209))))))</f>
        <v/>
      </c>
      <c r="P209" s="56" t="str">
        <f aca="false">IF(L209="","",IF($H209=$I209,IF(OR(AND($G209="Higher is better",L209&gt;=$H209),AND($G209="Lower is better",L209&lt;=$H209)),A_Scoring_Model!$C$14,0),IF($G209="Higher is better",IF(L209&gt;=$H209,A_Scoring_Model!$C$14,IF(L209&lt;$I209,0,A_Scoring_Model!$C$15+(A_Scoring_Model!$C$14-A_Scoring_Model!$C$15)*(L209-$I209)/($H209-$I209))),IF(L209&lt;=$H209,A_Scoring_Model!$C$14,IF(L209&gt;$I209,0,A_Scoring_Model!$C$15+(A_Scoring_Model!$C$14-A_Scoring_Model!$C$15)*($I209-L209)/($I209-$H209))))))</f>
        <v/>
      </c>
      <c r="Q209" s="56" t="str">
        <f aca="false">IF(M209="","",IF($H209=$I209,IF(OR(AND($G209="Higher is better",M209&gt;=$H209),AND($G209="Lower is better",M209&lt;=$H209)),A_Scoring_Model!$C$14,0),IF($G209="Higher is better",IF(M209&gt;=$H209,A_Scoring_Model!$C$14,IF(M209&lt;$I209,0,A_Scoring_Model!$C$15+(A_Scoring_Model!$C$14-A_Scoring_Model!$C$15)*(M209-$I209)/($H209-$I209))),IF(M209&lt;=$H209,A_Scoring_Model!$C$14,IF(M209&gt;$I209,0,A_Scoring_Model!$C$15+(A_Scoring_Model!$C$14-A_Scoring_Model!$C$15)*($I209-M209)/($I209-$H209))))))</f>
        <v/>
      </c>
    </row>
    <row r="210" customFormat="false" ht="15" hidden="false" customHeight="false" outlineLevel="0" collapsed="false">
      <c r="A210" s="51" t="str">
        <f aca="false">C_KPI_Benchmark!A210</f>
        <v>4.a-D4-10</v>
      </c>
      <c r="B210" s="52" t="str">
        <f aca="false">C_KPI_Benchmark!D210</f>
        <v>4.a</v>
      </c>
      <c r="C210" s="51" t="str">
        <f aca="false">C_KPI_Benchmark!E210</f>
        <v>IaC Provisioner Agent</v>
      </c>
      <c r="D210" s="52" t="str">
        <f aca="false">C_KPI_Benchmark!F210</f>
        <v>D4</v>
      </c>
      <c r="E210" s="51" t="str">
        <f aca="false">C_KPI_Benchmark!J210</f>
        <v>Idempotent re-apply (no diff)</v>
      </c>
      <c r="F210" s="52" t="str">
        <f aca="false">C_KPI_Benchmark!K210</f>
        <v>%</v>
      </c>
      <c r="G210" s="51" t="str">
        <f aca="false">C_KPI_Benchmark!L210</f>
        <v>Higher is better</v>
      </c>
      <c r="H210" s="53" t="n">
        <f aca="false">C_KPI_Benchmark!N210</f>
        <v>1</v>
      </c>
      <c r="I210" s="54" t="n">
        <f aca="false">IF(C_KPI_Benchmark!O210&lt;&gt;"",C_KPI_Benchmark!O210,IF(G210="Higher is better",H210*(1-A_Scoring_Model!$C$16),H210*(1+A_Scoring_Model!$C$16)))</f>
        <v>0.8</v>
      </c>
      <c r="J210" s="55"/>
      <c r="K210" s="55"/>
      <c r="L210" s="55"/>
      <c r="M210" s="55"/>
      <c r="N210" s="56" t="str">
        <f aca="false">IF(J210="","",IF($H210=$I210,IF(OR(AND($G210="Higher is better",J210&gt;=$H210),AND($G210="Lower is better",J210&lt;=$H210)),A_Scoring_Model!$C$14,0),IF($G210="Higher is better",IF(J210&gt;=$H210,A_Scoring_Model!$C$14,IF(J210&lt;$I210,0,A_Scoring_Model!$C$15+(A_Scoring_Model!$C$14-A_Scoring_Model!$C$15)*(J210-$I210)/($H210-$I210))),IF(J210&lt;=$H210,A_Scoring_Model!$C$14,IF(J210&gt;$I210,0,A_Scoring_Model!$C$15+(A_Scoring_Model!$C$14-A_Scoring_Model!$C$15)*($I210-J210)/($I210-$H210))))))</f>
        <v/>
      </c>
      <c r="O210" s="56" t="str">
        <f aca="false">IF(K210="","",IF($H210=$I210,IF(OR(AND($G210="Higher is better",K210&gt;=$H210),AND($G210="Lower is better",K210&lt;=$H210)),A_Scoring_Model!$C$14,0),IF($G210="Higher is better",IF(K210&gt;=$H210,A_Scoring_Model!$C$14,IF(K210&lt;$I210,0,A_Scoring_Model!$C$15+(A_Scoring_Model!$C$14-A_Scoring_Model!$C$15)*(K210-$I210)/($H210-$I210))),IF(K210&lt;=$H210,A_Scoring_Model!$C$14,IF(K210&gt;$I210,0,A_Scoring_Model!$C$15+(A_Scoring_Model!$C$14-A_Scoring_Model!$C$15)*($I210-K210)/($I210-$H210))))))</f>
        <v/>
      </c>
      <c r="P210" s="56" t="str">
        <f aca="false">IF(L210="","",IF($H210=$I210,IF(OR(AND($G210="Higher is better",L210&gt;=$H210),AND($G210="Lower is better",L210&lt;=$H210)),A_Scoring_Model!$C$14,0),IF($G210="Higher is better",IF(L210&gt;=$H210,A_Scoring_Model!$C$14,IF(L210&lt;$I210,0,A_Scoring_Model!$C$15+(A_Scoring_Model!$C$14-A_Scoring_Model!$C$15)*(L210-$I210)/($H210-$I210))),IF(L210&lt;=$H210,A_Scoring_Model!$C$14,IF(L210&gt;$I210,0,A_Scoring_Model!$C$15+(A_Scoring_Model!$C$14-A_Scoring_Model!$C$15)*($I210-L210)/($I210-$H210))))))</f>
        <v/>
      </c>
      <c r="Q210" s="56" t="str">
        <f aca="false">IF(M210="","",IF($H210=$I210,IF(OR(AND($G210="Higher is better",M210&gt;=$H210),AND($G210="Lower is better",M210&lt;=$H210)),A_Scoring_Model!$C$14,0),IF($G210="Higher is better",IF(M210&gt;=$H210,A_Scoring_Model!$C$14,IF(M210&lt;$I210,0,A_Scoring_Model!$C$15+(A_Scoring_Model!$C$14-A_Scoring_Model!$C$15)*(M210-$I210)/($H210-$I210))),IF(M210&lt;=$H210,A_Scoring_Model!$C$14,IF(M210&gt;$I210,0,A_Scoring_Model!$C$15+(A_Scoring_Model!$C$14-A_Scoring_Model!$C$15)*($I210-M210)/($I210-$H210))))))</f>
        <v/>
      </c>
    </row>
    <row r="211" customFormat="false" ht="15" hidden="false" customHeight="false" outlineLevel="0" collapsed="false">
      <c r="A211" s="51" t="str">
        <f aca="false">C_KPI_Benchmark!A211</f>
        <v>4.a-D4-11</v>
      </c>
      <c r="B211" s="52" t="str">
        <f aca="false">C_KPI_Benchmark!D211</f>
        <v>4.a</v>
      </c>
      <c r="C211" s="51" t="str">
        <f aca="false">C_KPI_Benchmark!E211</f>
        <v>IaC Provisioner Agent</v>
      </c>
      <c r="D211" s="52" t="str">
        <f aca="false">C_KPI_Benchmark!F211</f>
        <v>D4</v>
      </c>
      <c r="E211" s="51" t="str">
        <f aca="false">C_KPI_Benchmark!J211</f>
        <v>Destroy / rollback success</v>
      </c>
      <c r="F211" s="52" t="str">
        <f aca="false">C_KPI_Benchmark!K211</f>
        <v>%</v>
      </c>
      <c r="G211" s="51" t="str">
        <f aca="false">C_KPI_Benchmark!L211</f>
        <v>Higher is better</v>
      </c>
      <c r="H211" s="53" t="n">
        <f aca="false">C_KPI_Benchmark!N211</f>
        <v>1</v>
      </c>
      <c r="I211" s="54" t="n">
        <f aca="false">IF(C_KPI_Benchmark!O211&lt;&gt;"",C_KPI_Benchmark!O211,IF(G211="Higher is better",H211*(1-A_Scoring_Model!$C$16),H211*(1+A_Scoring_Model!$C$16)))</f>
        <v>0.8</v>
      </c>
      <c r="J211" s="55"/>
      <c r="K211" s="55"/>
      <c r="L211" s="55"/>
      <c r="M211" s="55"/>
      <c r="N211" s="56" t="str">
        <f aca="false">IF(J211="","",IF($H211=$I211,IF(OR(AND($G211="Higher is better",J211&gt;=$H211),AND($G211="Lower is better",J211&lt;=$H211)),A_Scoring_Model!$C$14,0),IF($G211="Higher is better",IF(J211&gt;=$H211,A_Scoring_Model!$C$14,IF(J211&lt;$I211,0,A_Scoring_Model!$C$15+(A_Scoring_Model!$C$14-A_Scoring_Model!$C$15)*(J211-$I211)/($H211-$I211))),IF(J211&lt;=$H211,A_Scoring_Model!$C$14,IF(J211&gt;$I211,0,A_Scoring_Model!$C$15+(A_Scoring_Model!$C$14-A_Scoring_Model!$C$15)*($I211-J211)/($I211-$H211))))))</f>
        <v/>
      </c>
      <c r="O211" s="56" t="str">
        <f aca="false">IF(K211="","",IF($H211=$I211,IF(OR(AND($G211="Higher is better",K211&gt;=$H211),AND($G211="Lower is better",K211&lt;=$H211)),A_Scoring_Model!$C$14,0),IF($G211="Higher is better",IF(K211&gt;=$H211,A_Scoring_Model!$C$14,IF(K211&lt;$I211,0,A_Scoring_Model!$C$15+(A_Scoring_Model!$C$14-A_Scoring_Model!$C$15)*(K211-$I211)/($H211-$I211))),IF(K211&lt;=$H211,A_Scoring_Model!$C$14,IF(K211&gt;$I211,0,A_Scoring_Model!$C$15+(A_Scoring_Model!$C$14-A_Scoring_Model!$C$15)*($I211-K211)/($I211-$H211))))))</f>
        <v/>
      </c>
      <c r="P211" s="56" t="str">
        <f aca="false">IF(L211="","",IF($H211=$I211,IF(OR(AND($G211="Higher is better",L211&gt;=$H211),AND($G211="Lower is better",L211&lt;=$H211)),A_Scoring_Model!$C$14,0),IF($G211="Higher is better",IF(L211&gt;=$H211,A_Scoring_Model!$C$14,IF(L211&lt;$I211,0,A_Scoring_Model!$C$15+(A_Scoring_Model!$C$14-A_Scoring_Model!$C$15)*(L211-$I211)/($H211-$I211))),IF(L211&lt;=$H211,A_Scoring_Model!$C$14,IF(L211&gt;$I211,0,A_Scoring_Model!$C$15+(A_Scoring_Model!$C$14-A_Scoring_Model!$C$15)*($I211-L211)/($I211-$H211))))))</f>
        <v/>
      </c>
      <c r="Q211" s="56" t="str">
        <f aca="false">IF(M211="","",IF($H211=$I211,IF(OR(AND($G211="Higher is better",M211&gt;=$H211),AND($G211="Lower is better",M211&lt;=$H211)),A_Scoring_Model!$C$14,0),IF($G211="Higher is better",IF(M211&gt;=$H211,A_Scoring_Model!$C$14,IF(M211&lt;$I211,0,A_Scoring_Model!$C$15+(A_Scoring_Model!$C$14-A_Scoring_Model!$C$15)*(M211-$I211)/($H211-$I211))),IF(M211&lt;=$H211,A_Scoring_Model!$C$14,IF(M211&gt;$I211,0,A_Scoring_Model!$C$15+(A_Scoring_Model!$C$14-A_Scoring_Model!$C$15)*($I211-M211)/($I211-$H211))))))</f>
        <v/>
      </c>
    </row>
    <row r="212" customFormat="false" ht="15" hidden="false" customHeight="false" outlineLevel="0" collapsed="false">
      <c r="A212" s="51" t="str">
        <f aca="false">C_KPI_Benchmark!A212</f>
        <v>4.a-D4-12</v>
      </c>
      <c r="B212" s="52" t="str">
        <f aca="false">C_KPI_Benchmark!D212</f>
        <v>4.a</v>
      </c>
      <c r="C212" s="51" t="str">
        <f aca="false">C_KPI_Benchmark!E212</f>
        <v>IaC Provisioner Agent</v>
      </c>
      <c r="D212" s="52" t="str">
        <f aca="false">C_KPI_Benchmark!F212</f>
        <v>D4</v>
      </c>
      <c r="E212" s="51" t="str">
        <f aca="false">C_KPI_Benchmark!J212</f>
        <v>Service availability</v>
      </c>
      <c r="F212" s="52" t="str">
        <f aca="false">C_KPI_Benchmark!K212</f>
        <v>%</v>
      </c>
      <c r="G212" s="51" t="str">
        <f aca="false">C_KPI_Benchmark!L212</f>
        <v>Higher is better</v>
      </c>
      <c r="H212" s="53" t="n">
        <f aca="false">C_KPI_Benchmark!N212</f>
        <v>0.995</v>
      </c>
      <c r="I212" s="54" t="n">
        <f aca="false">IF(C_KPI_Benchmark!O212&lt;&gt;"",C_KPI_Benchmark!O212,IF(G212="Higher is better",H212*(1-A_Scoring_Model!$C$16),H212*(1+A_Scoring_Model!$C$16)))</f>
        <v>0.99</v>
      </c>
      <c r="J212" s="55"/>
      <c r="K212" s="55"/>
      <c r="L212" s="55"/>
      <c r="M212" s="55"/>
      <c r="N212" s="56" t="str">
        <f aca="false">IF(J212="","",IF($H212=$I212,IF(OR(AND($G212="Higher is better",J212&gt;=$H212),AND($G212="Lower is better",J212&lt;=$H212)),A_Scoring_Model!$C$14,0),IF($G212="Higher is better",IF(J212&gt;=$H212,A_Scoring_Model!$C$14,IF(J212&lt;$I212,0,A_Scoring_Model!$C$15+(A_Scoring_Model!$C$14-A_Scoring_Model!$C$15)*(J212-$I212)/($H212-$I212))),IF(J212&lt;=$H212,A_Scoring_Model!$C$14,IF(J212&gt;$I212,0,A_Scoring_Model!$C$15+(A_Scoring_Model!$C$14-A_Scoring_Model!$C$15)*($I212-J212)/($I212-$H212))))))</f>
        <v/>
      </c>
      <c r="O212" s="56" t="str">
        <f aca="false">IF(K212="","",IF($H212=$I212,IF(OR(AND($G212="Higher is better",K212&gt;=$H212),AND($G212="Lower is better",K212&lt;=$H212)),A_Scoring_Model!$C$14,0),IF($G212="Higher is better",IF(K212&gt;=$H212,A_Scoring_Model!$C$14,IF(K212&lt;$I212,0,A_Scoring_Model!$C$15+(A_Scoring_Model!$C$14-A_Scoring_Model!$C$15)*(K212-$I212)/($H212-$I212))),IF(K212&lt;=$H212,A_Scoring_Model!$C$14,IF(K212&gt;$I212,0,A_Scoring_Model!$C$15+(A_Scoring_Model!$C$14-A_Scoring_Model!$C$15)*($I212-K212)/($I212-$H212))))))</f>
        <v/>
      </c>
      <c r="P212" s="56" t="str">
        <f aca="false">IF(L212="","",IF($H212=$I212,IF(OR(AND($G212="Higher is better",L212&gt;=$H212),AND($G212="Lower is better",L212&lt;=$H212)),A_Scoring_Model!$C$14,0),IF($G212="Higher is better",IF(L212&gt;=$H212,A_Scoring_Model!$C$14,IF(L212&lt;$I212,0,A_Scoring_Model!$C$15+(A_Scoring_Model!$C$14-A_Scoring_Model!$C$15)*(L212-$I212)/($H212-$I212))),IF(L212&lt;=$H212,A_Scoring_Model!$C$14,IF(L212&gt;$I212,0,A_Scoring_Model!$C$15+(A_Scoring_Model!$C$14-A_Scoring_Model!$C$15)*($I212-L212)/($I212-$H212))))))</f>
        <v/>
      </c>
      <c r="Q212" s="56" t="str">
        <f aca="false">IF(M212="","",IF($H212=$I212,IF(OR(AND($G212="Higher is better",M212&gt;=$H212),AND($G212="Lower is better",M212&lt;=$H212)),A_Scoring_Model!$C$14,0),IF($G212="Higher is better",IF(M212&gt;=$H212,A_Scoring_Model!$C$14,IF(M212&lt;$I212,0,A_Scoring_Model!$C$15+(A_Scoring_Model!$C$14-A_Scoring_Model!$C$15)*(M212-$I212)/($H212-$I212))),IF(M212&lt;=$H212,A_Scoring_Model!$C$14,IF(M212&gt;$I212,0,A_Scoring_Model!$C$15+(A_Scoring_Model!$C$14-A_Scoring_Model!$C$15)*($I212-M212)/($I212-$H212))))))</f>
        <v/>
      </c>
    </row>
    <row r="213" customFormat="false" ht="15" hidden="false" customHeight="false" outlineLevel="0" collapsed="false">
      <c r="A213" s="51" t="str">
        <f aca="false">C_KPI_Benchmark!A213</f>
        <v>4.a-D5-13</v>
      </c>
      <c r="B213" s="52" t="str">
        <f aca="false">C_KPI_Benchmark!D213</f>
        <v>4.a</v>
      </c>
      <c r="C213" s="51" t="str">
        <f aca="false">C_KPI_Benchmark!E213</f>
        <v>IaC Provisioner Agent</v>
      </c>
      <c r="D213" s="52" t="str">
        <f aca="false">C_KPI_Benchmark!F213</f>
        <v>D5</v>
      </c>
      <c r="E213" s="51" t="str">
        <f aca="false">C_KPI_Benchmark!J213</f>
        <v>Environment setup lead time reduction</v>
      </c>
      <c r="F213" s="52" t="str">
        <f aca="false">C_KPI_Benchmark!K213</f>
        <v>%</v>
      </c>
      <c r="G213" s="51" t="str">
        <f aca="false">C_KPI_Benchmark!L213</f>
        <v>Higher is better</v>
      </c>
      <c r="H213" s="53" t="n">
        <f aca="false">C_KPI_Benchmark!N213</f>
        <v>0.7</v>
      </c>
      <c r="I213" s="54" t="n">
        <f aca="false">IF(C_KPI_Benchmark!O213&lt;&gt;"",C_KPI_Benchmark!O213,IF(G213="Higher is better",H213*(1-A_Scoring_Model!$C$16),H213*(1+A_Scoring_Model!$C$16)))</f>
        <v>0.56</v>
      </c>
      <c r="J213" s="55"/>
      <c r="K213" s="55"/>
      <c r="L213" s="55"/>
      <c r="M213" s="55"/>
      <c r="N213" s="56" t="str">
        <f aca="false">IF(J213="","",IF($H213=$I213,IF(OR(AND($G213="Higher is better",J213&gt;=$H213),AND($G213="Lower is better",J213&lt;=$H213)),A_Scoring_Model!$C$14,0),IF($G213="Higher is better",IF(J213&gt;=$H213,A_Scoring_Model!$C$14,IF(J213&lt;$I213,0,A_Scoring_Model!$C$15+(A_Scoring_Model!$C$14-A_Scoring_Model!$C$15)*(J213-$I213)/($H213-$I213))),IF(J213&lt;=$H213,A_Scoring_Model!$C$14,IF(J213&gt;$I213,0,A_Scoring_Model!$C$15+(A_Scoring_Model!$C$14-A_Scoring_Model!$C$15)*($I213-J213)/($I213-$H213))))))</f>
        <v/>
      </c>
      <c r="O213" s="56" t="str">
        <f aca="false">IF(K213="","",IF($H213=$I213,IF(OR(AND($G213="Higher is better",K213&gt;=$H213),AND($G213="Lower is better",K213&lt;=$H213)),A_Scoring_Model!$C$14,0),IF($G213="Higher is better",IF(K213&gt;=$H213,A_Scoring_Model!$C$14,IF(K213&lt;$I213,0,A_Scoring_Model!$C$15+(A_Scoring_Model!$C$14-A_Scoring_Model!$C$15)*(K213-$I213)/($H213-$I213))),IF(K213&lt;=$H213,A_Scoring_Model!$C$14,IF(K213&gt;$I213,0,A_Scoring_Model!$C$15+(A_Scoring_Model!$C$14-A_Scoring_Model!$C$15)*($I213-K213)/($I213-$H213))))))</f>
        <v/>
      </c>
      <c r="P213" s="56" t="str">
        <f aca="false">IF(L213="","",IF($H213=$I213,IF(OR(AND($G213="Higher is better",L213&gt;=$H213),AND($G213="Lower is better",L213&lt;=$H213)),A_Scoring_Model!$C$14,0),IF($G213="Higher is better",IF(L213&gt;=$H213,A_Scoring_Model!$C$14,IF(L213&lt;$I213,0,A_Scoring_Model!$C$15+(A_Scoring_Model!$C$14-A_Scoring_Model!$C$15)*(L213-$I213)/($H213-$I213))),IF(L213&lt;=$H213,A_Scoring_Model!$C$14,IF(L213&gt;$I213,0,A_Scoring_Model!$C$15+(A_Scoring_Model!$C$14-A_Scoring_Model!$C$15)*($I213-L213)/($I213-$H213))))))</f>
        <v/>
      </c>
      <c r="Q213" s="56" t="str">
        <f aca="false">IF(M213="","",IF($H213=$I213,IF(OR(AND($G213="Higher is better",M213&gt;=$H213),AND($G213="Lower is better",M213&lt;=$H213)),A_Scoring_Model!$C$14,0),IF($G213="Higher is better",IF(M213&gt;=$H213,A_Scoring_Model!$C$14,IF(M213&lt;$I213,0,A_Scoring_Model!$C$15+(A_Scoring_Model!$C$14-A_Scoring_Model!$C$15)*(M213-$I213)/($H213-$I213))),IF(M213&lt;=$H213,A_Scoring_Model!$C$14,IF(M213&gt;$I213,0,A_Scoring_Model!$C$15+(A_Scoring_Model!$C$14-A_Scoring_Model!$C$15)*($I213-M213)/($I213-$H213))))))</f>
        <v/>
      </c>
    </row>
    <row r="214" customFormat="false" ht="15" hidden="false" customHeight="false" outlineLevel="0" collapsed="false">
      <c r="A214" s="51" t="str">
        <f aca="false">C_KPI_Benchmark!A214</f>
        <v>4.a-D6-14</v>
      </c>
      <c r="B214" s="52" t="str">
        <f aca="false">C_KPI_Benchmark!D214</f>
        <v>4.a</v>
      </c>
      <c r="C214" s="51" t="str">
        <f aca="false">C_KPI_Benchmark!E214</f>
        <v>IaC Provisioner Agent</v>
      </c>
      <c r="D214" s="52" t="str">
        <f aca="false">C_KPI_Benchmark!F214</f>
        <v>D6</v>
      </c>
      <c r="E214" s="51" t="str">
        <f aca="false">C_KPI_Benchmark!J214</f>
        <v>Solution code test coverage</v>
      </c>
      <c r="F214" s="52" t="str">
        <f aca="false">C_KPI_Benchmark!K214</f>
        <v>%</v>
      </c>
      <c r="G214" s="51" t="str">
        <f aca="false">C_KPI_Benchmark!L214</f>
        <v>Higher is better</v>
      </c>
      <c r="H214" s="53" t="n">
        <f aca="false">C_KPI_Benchmark!N214</f>
        <v>0.8</v>
      </c>
      <c r="I214" s="54" t="n">
        <f aca="false">IF(C_KPI_Benchmark!O214&lt;&gt;"",C_KPI_Benchmark!O214,IF(G214="Higher is better",H214*(1-A_Scoring_Model!$C$16),H214*(1+A_Scoring_Model!$C$16)))</f>
        <v>0.6</v>
      </c>
      <c r="J214" s="55"/>
      <c r="K214" s="55"/>
      <c r="L214" s="55"/>
      <c r="M214" s="55"/>
      <c r="N214" s="56" t="str">
        <f aca="false">IF(J214="","",IF($H214=$I214,IF(OR(AND($G214="Higher is better",J214&gt;=$H214),AND($G214="Lower is better",J214&lt;=$H214)),A_Scoring_Model!$C$14,0),IF($G214="Higher is better",IF(J214&gt;=$H214,A_Scoring_Model!$C$14,IF(J214&lt;$I214,0,A_Scoring_Model!$C$15+(A_Scoring_Model!$C$14-A_Scoring_Model!$C$15)*(J214-$I214)/($H214-$I214))),IF(J214&lt;=$H214,A_Scoring_Model!$C$14,IF(J214&gt;$I214,0,A_Scoring_Model!$C$15+(A_Scoring_Model!$C$14-A_Scoring_Model!$C$15)*($I214-J214)/($I214-$H214))))))</f>
        <v/>
      </c>
      <c r="O214" s="56" t="str">
        <f aca="false">IF(K214="","",IF($H214=$I214,IF(OR(AND($G214="Higher is better",K214&gt;=$H214),AND($G214="Lower is better",K214&lt;=$H214)),A_Scoring_Model!$C$14,0),IF($G214="Higher is better",IF(K214&gt;=$H214,A_Scoring_Model!$C$14,IF(K214&lt;$I214,0,A_Scoring_Model!$C$15+(A_Scoring_Model!$C$14-A_Scoring_Model!$C$15)*(K214-$I214)/($H214-$I214))),IF(K214&lt;=$H214,A_Scoring_Model!$C$14,IF(K214&gt;$I214,0,A_Scoring_Model!$C$15+(A_Scoring_Model!$C$14-A_Scoring_Model!$C$15)*($I214-K214)/($I214-$H214))))))</f>
        <v/>
      </c>
      <c r="P214" s="56" t="str">
        <f aca="false">IF(L214="","",IF($H214=$I214,IF(OR(AND($G214="Higher is better",L214&gt;=$H214),AND($G214="Lower is better",L214&lt;=$H214)),A_Scoring_Model!$C$14,0),IF($G214="Higher is better",IF(L214&gt;=$H214,A_Scoring_Model!$C$14,IF(L214&lt;$I214,0,A_Scoring_Model!$C$15+(A_Scoring_Model!$C$14-A_Scoring_Model!$C$15)*(L214-$I214)/($H214-$I214))),IF(L214&lt;=$H214,A_Scoring_Model!$C$14,IF(L214&gt;$I214,0,A_Scoring_Model!$C$15+(A_Scoring_Model!$C$14-A_Scoring_Model!$C$15)*($I214-L214)/($I214-$H214))))))</f>
        <v/>
      </c>
      <c r="Q214" s="56" t="str">
        <f aca="false">IF(M214="","",IF($H214=$I214,IF(OR(AND($G214="Higher is better",M214&gt;=$H214),AND($G214="Lower is better",M214&lt;=$H214)),A_Scoring_Model!$C$14,0),IF($G214="Higher is better",IF(M214&gt;=$H214,A_Scoring_Model!$C$14,IF(M214&lt;$I214,0,A_Scoring_Model!$C$15+(A_Scoring_Model!$C$14-A_Scoring_Model!$C$15)*(M214-$I214)/($H214-$I214))),IF(M214&lt;=$H214,A_Scoring_Model!$C$14,IF(M214&gt;$I214,0,A_Scoring_Model!$C$15+(A_Scoring_Model!$C$14-A_Scoring_Model!$C$15)*($I214-M214)/($I214-$H214))))))</f>
        <v/>
      </c>
    </row>
    <row r="215" customFormat="false" ht="15" hidden="false" customHeight="false" outlineLevel="0" collapsed="false">
      <c r="A215" s="51" t="str">
        <f aca="false">C_KPI_Benchmark!A215</f>
        <v>4.a-D6-15</v>
      </c>
      <c r="B215" s="52" t="str">
        <f aca="false">C_KPI_Benchmark!D215</f>
        <v>4.a</v>
      </c>
      <c r="C215" s="51" t="str">
        <f aca="false">C_KPI_Benchmark!E215</f>
        <v>IaC Provisioner Agent</v>
      </c>
      <c r="D215" s="52" t="str">
        <f aca="false">C_KPI_Benchmark!F215</f>
        <v>D6</v>
      </c>
      <c r="E215" s="51" t="str">
        <f aca="false">C_KPI_Benchmark!J215</f>
        <v>Review Shield critical findings</v>
      </c>
      <c r="F215" s="52" t="str">
        <f aca="false">C_KPI_Benchmark!K215</f>
        <v>count</v>
      </c>
      <c r="G215" s="51" t="str">
        <f aca="false">C_KPI_Benchmark!L215</f>
        <v>Lower is better</v>
      </c>
      <c r="H215" s="62" t="n">
        <f aca="false">C_KPI_Benchmark!N215</f>
        <v>0</v>
      </c>
      <c r="I215" s="63" t="n">
        <f aca="false">IF(C_KPI_Benchmark!O215&lt;&gt;"",C_KPI_Benchmark!O215,IF(G215="Higher is better",H215*(1-A_Scoring_Model!$C$16),H215*(1+A_Scoring_Model!$C$16)))</f>
        <v>0</v>
      </c>
      <c r="J215" s="64"/>
      <c r="K215" s="64"/>
      <c r="L215" s="64"/>
      <c r="M215" s="64"/>
      <c r="N215" s="56" t="str">
        <f aca="false">IF(J215="","",IF($H215=$I215,IF(OR(AND($G215="Higher is better",J215&gt;=$H215),AND($G215="Lower is better",J215&lt;=$H215)),A_Scoring_Model!$C$14,0),IF($G215="Higher is better",IF(J215&gt;=$H215,A_Scoring_Model!$C$14,IF(J215&lt;$I215,0,A_Scoring_Model!$C$15+(A_Scoring_Model!$C$14-A_Scoring_Model!$C$15)*(J215-$I215)/($H215-$I215))),IF(J215&lt;=$H215,A_Scoring_Model!$C$14,IF(J215&gt;$I215,0,A_Scoring_Model!$C$15+(A_Scoring_Model!$C$14-A_Scoring_Model!$C$15)*($I215-J215)/($I215-$H215))))))</f>
        <v/>
      </c>
      <c r="O215" s="56" t="str">
        <f aca="false">IF(K215="","",IF($H215=$I215,IF(OR(AND($G215="Higher is better",K215&gt;=$H215),AND($G215="Lower is better",K215&lt;=$H215)),A_Scoring_Model!$C$14,0),IF($G215="Higher is better",IF(K215&gt;=$H215,A_Scoring_Model!$C$14,IF(K215&lt;$I215,0,A_Scoring_Model!$C$15+(A_Scoring_Model!$C$14-A_Scoring_Model!$C$15)*(K215-$I215)/($H215-$I215))),IF(K215&lt;=$H215,A_Scoring_Model!$C$14,IF(K215&gt;$I215,0,A_Scoring_Model!$C$15+(A_Scoring_Model!$C$14-A_Scoring_Model!$C$15)*($I215-K215)/($I215-$H215))))))</f>
        <v/>
      </c>
      <c r="P215" s="56" t="str">
        <f aca="false">IF(L215="","",IF($H215=$I215,IF(OR(AND($G215="Higher is better",L215&gt;=$H215),AND($G215="Lower is better",L215&lt;=$H215)),A_Scoring_Model!$C$14,0),IF($G215="Higher is better",IF(L215&gt;=$H215,A_Scoring_Model!$C$14,IF(L215&lt;$I215,0,A_Scoring_Model!$C$15+(A_Scoring_Model!$C$14-A_Scoring_Model!$C$15)*(L215-$I215)/($H215-$I215))),IF(L215&lt;=$H215,A_Scoring_Model!$C$14,IF(L215&gt;$I215,0,A_Scoring_Model!$C$15+(A_Scoring_Model!$C$14-A_Scoring_Model!$C$15)*($I215-L215)/($I215-$H215))))))</f>
        <v/>
      </c>
      <c r="Q215" s="56" t="str">
        <f aca="false">IF(M215="","",IF($H215=$I215,IF(OR(AND($G215="Higher is better",M215&gt;=$H215),AND($G215="Lower is better",M215&lt;=$H215)),A_Scoring_Model!$C$14,0),IF($G215="Higher is better",IF(M215&gt;=$H215,A_Scoring_Model!$C$14,IF(M215&lt;$I215,0,A_Scoring_Model!$C$15+(A_Scoring_Model!$C$14-A_Scoring_Model!$C$15)*(M215-$I215)/($H215-$I215))),IF(M215&lt;=$H215,A_Scoring_Model!$C$14,IF(M215&gt;$I215,0,A_Scoring_Model!$C$15+(A_Scoring_Model!$C$14-A_Scoring_Model!$C$15)*($I215-M215)/($I215-$H215))))))</f>
        <v/>
      </c>
    </row>
    <row r="216" customFormat="false" ht="15" hidden="false" customHeight="false" outlineLevel="0" collapsed="false">
      <c r="A216" s="51" t="str">
        <f aca="false">C_KPI_Benchmark!A216</f>
        <v>4.a-D6-16</v>
      </c>
      <c r="B216" s="52" t="str">
        <f aca="false">C_KPI_Benchmark!D216</f>
        <v>4.a</v>
      </c>
      <c r="C216" s="51" t="str">
        <f aca="false">C_KPI_Benchmark!E216</f>
        <v>IaC Provisioner Agent</v>
      </c>
      <c r="D216" s="52" t="str">
        <f aca="false">C_KPI_Benchmark!F216</f>
        <v>D6</v>
      </c>
      <c r="E216" s="51" t="str">
        <f aca="false">C_KPI_Benchmark!J216</f>
        <v>SAST high findings and exposed secrets</v>
      </c>
      <c r="F216" s="52" t="str">
        <f aca="false">C_KPI_Benchmark!K216</f>
        <v>count</v>
      </c>
      <c r="G216" s="51" t="str">
        <f aca="false">C_KPI_Benchmark!L216</f>
        <v>Lower is better</v>
      </c>
      <c r="H216" s="62" t="n">
        <f aca="false">C_KPI_Benchmark!N216</f>
        <v>0</v>
      </c>
      <c r="I216" s="63" t="n">
        <f aca="false">IF(C_KPI_Benchmark!O216&lt;&gt;"",C_KPI_Benchmark!O216,IF(G216="Higher is better",H216*(1-A_Scoring_Model!$C$16),H216*(1+A_Scoring_Model!$C$16)))</f>
        <v>0</v>
      </c>
      <c r="J216" s="64"/>
      <c r="K216" s="64"/>
      <c r="L216" s="64"/>
      <c r="M216" s="64"/>
      <c r="N216" s="56" t="str">
        <f aca="false">IF(J216="","",IF($H216=$I216,IF(OR(AND($G216="Higher is better",J216&gt;=$H216),AND($G216="Lower is better",J216&lt;=$H216)),A_Scoring_Model!$C$14,0),IF($G216="Higher is better",IF(J216&gt;=$H216,A_Scoring_Model!$C$14,IF(J216&lt;$I216,0,A_Scoring_Model!$C$15+(A_Scoring_Model!$C$14-A_Scoring_Model!$C$15)*(J216-$I216)/($H216-$I216))),IF(J216&lt;=$H216,A_Scoring_Model!$C$14,IF(J216&gt;$I216,0,A_Scoring_Model!$C$15+(A_Scoring_Model!$C$14-A_Scoring_Model!$C$15)*($I216-J216)/($I216-$H216))))))</f>
        <v/>
      </c>
      <c r="O216" s="56" t="str">
        <f aca="false">IF(K216="","",IF($H216=$I216,IF(OR(AND($G216="Higher is better",K216&gt;=$H216),AND($G216="Lower is better",K216&lt;=$H216)),A_Scoring_Model!$C$14,0),IF($G216="Higher is better",IF(K216&gt;=$H216,A_Scoring_Model!$C$14,IF(K216&lt;$I216,0,A_Scoring_Model!$C$15+(A_Scoring_Model!$C$14-A_Scoring_Model!$C$15)*(K216-$I216)/($H216-$I216))),IF(K216&lt;=$H216,A_Scoring_Model!$C$14,IF(K216&gt;$I216,0,A_Scoring_Model!$C$15+(A_Scoring_Model!$C$14-A_Scoring_Model!$C$15)*($I216-K216)/($I216-$H216))))))</f>
        <v/>
      </c>
      <c r="P216" s="56" t="str">
        <f aca="false">IF(L216="","",IF($H216=$I216,IF(OR(AND($G216="Higher is better",L216&gt;=$H216),AND($G216="Lower is better",L216&lt;=$H216)),A_Scoring_Model!$C$14,0),IF($G216="Higher is better",IF(L216&gt;=$H216,A_Scoring_Model!$C$14,IF(L216&lt;$I216,0,A_Scoring_Model!$C$15+(A_Scoring_Model!$C$14-A_Scoring_Model!$C$15)*(L216-$I216)/($H216-$I216))),IF(L216&lt;=$H216,A_Scoring_Model!$C$14,IF(L216&gt;$I216,0,A_Scoring_Model!$C$15+(A_Scoring_Model!$C$14-A_Scoring_Model!$C$15)*($I216-L216)/($I216-$H216))))))</f>
        <v/>
      </c>
      <c r="Q216" s="56" t="str">
        <f aca="false">IF(M216="","",IF($H216=$I216,IF(OR(AND($G216="Higher is better",M216&gt;=$H216),AND($G216="Lower is better",M216&lt;=$H216)),A_Scoring_Model!$C$14,0),IF($G216="Higher is better",IF(M216&gt;=$H216,A_Scoring_Model!$C$14,IF(M216&lt;$I216,0,A_Scoring_Model!$C$15+(A_Scoring_Model!$C$14-A_Scoring_Model!$C$15)*(M216-$I216)/($H216-$I216))),IF(M216&lt;=$H216,A_Scoring_Model!$C$14,IF(M216&gt;$I216,0,A_Scoring_Model!$C$15+(A_Scoring_Model!$C$14-A_Scoring_Model!$C$15)*($I216-M216)/($I216-$H216))))))</f>
        <v/>
      </c>
    </row>
    <row r="217" customFormat="false" ht="23.85" hidden="false" customHeight="false" outlineLevel="0" collapsed="false">
      <c r="A217" s="51" t="str">
        <f aca="false">C_KPI_Benchmark!A217</f>
        <v>4.a-D6-17</v>
      </c>
      <c r="B217" s="52" t="str">
        <f aca="false">C_KPI_Benchmark!D217</f>
        <v>4.a</v>
      </c>
      <c r="C217" s="51" t="str">
        <f aca="false">C_KPI_Benchmark!E217</f>
        <v>IaC Provisioner Agent</v>
      </c>
      <c r="D217" s="52" t="str">
        <f aca="false">C_KPI_Benchmark!F217</f>
        <v>D6</v>
      </c>
      <c r="E217" s="51" t="str">
        <f aca="false">C_KPI_Benchmark!J217</f>
        <v>Documentation pack complete (README, I/O contract, model card, runbook)</v>
      </c>
      <c r="F217" s="52" t="str">
        <f aca="false">C_KPI_Benchmark!K217</f>
        <v>Yes/No</v>
      </c>
      <c r="G217" s="51" t="str">
        <f aca="false">C_KPI_Benchmark!L217</f>
        <v>Higher is better</v>
      </c>
      <c r="H217" s="60" t="n">
        <f aca="false">C_KPI_Benchmark!N217</f>
        <v>1</v>
      </c>
      <c r="I217" s="56" t="n">
        <f aca="false">IF(C_KPI_Benchmark!O217&lt;&gt;"",C_KPI_Benchmark!O217,IF(G217="Higher is better",H217*(1-A_Scoring_Model!$C$16),H217*(1+A_Scoring_Model!$C$16)))</f>
        <v>0.8</v>
      </c>
      <c r="J217" s="61"/>
      <c r="K217" s="61"/>
      <c r="L217" s="61"/>
      <c r="M217" s="61"/>
      <c r="N217" s="56" t="str">
        <f aca="false">IF(J217="","",IF($H217=$I217,IF(OR(AND($G217="Higher is better",J217&gt;=$H217),AND($G217="Lower is better",J217&lt;=$H217)),A_Scoring_Model!$C$14,0),IF($G217="Higher is better",IF(J217&gt;=$H217,A_Scoring_Model!$C$14,IF(J217&lt;$I217,0,A_Scoring_Model!$C$15+(A_Scoring_Model!$C$14-A_Scoring_Model!$C$15)*(J217-$I217)/($H217-$I217))),IF(J217&lt;=$H217,A_Scoring_Model!$C$14,IF(J217&gt;$I217,0,A_Scoring_Model!$C$15+(A_Scoring_Model!$C$14-A_Scoring_Model!$C$15)*($I217-J217)/($I217-$H217))))))</f>
        <v/>
      </c>
      <c r="O217" s="56" t="str">
        <f aca="false">IF(K217="","",IF($H217=$I217,IF(OR(AND($G217="Higher is better",K217&gt;=$H217),AND($G217="Lower is better",K217&lt;=$H217)),A_Scoring_Model!$C$14,0),IF($G217="Higher is better",IF(K217&gt;=$H217,A_Scoring_Model!$C$14,IF(K217&lt;$I217,0,A_Scoring_Model!$C$15+(A_Scoring_Model!$C$14-A_Scoring_Model!$C$15)*(K217-$I217)/($H217-$I217))),IF(K217&lt;=$H217,A_Scoring_Model!$C$14,IF(K217&gt;$I217,0,A_Scoring_Model!$C$15+(A_Scoring_Model!$C$14-A_Scoring_Model!$C$15)*($I217-K217)/($I217-$H217))))))</f>
        <v/>
      </c>
      <c r="P217" s="56" t="str">
        <f aca="false">IF(L217="","",IF($H217=$I217,IF(OR(AND($G217="Higher is better",L217&gt;=$H217),AND($G217="Lower is better",L217&lt;=$H217)),A_Scoring_Model!$C$14,0),IF($G217="Higher is better",IF(L217&gt;=$H217,A_Scoring_Model!$C$14,IF(L217&lt;$I217,0,A_Scoring_Model!$C$15+(A_Scoring_Model!$C$14-A_Scoring_Model!$C$15)*(L217-$I217)/($H217-$I217))),IF(L217&lt;=$H217,A_Scoring_Model!$C$14,IF(L217&gt;$I217,0,A_Scoring_Model!$C$15+(A_Scoring_Model!$C$14-A_Scoring_Model!$C$15)*($I217-L217)/($I217-$H217))))))</f>
        <v/>
      </c>
      <c r="Q217" s="56" t="str">
        <f aca="false">IF(M217="","",IF($H217=$I217,IF(OR(AND($G217="Higher is better",M217&gt;=$H217),AND($G217="Lower is better",M217&lt;=$H217)),A_Scoring_Model!$C$14,0),IF($G217="Higher is better",IF(M217&gt;=$H217,A_Scoring_Model!$C$14,IF(M217&lt;$I217,0,A_Scoring_Model!$C$15+(A_Scoring_Model!$C$14-A_Scoring_Model!$C$15)*(M217-$I217)/($H217-$I217))),IF(M217&lt;=$H217,A_Scoring_Model!$C$14,IF(M217&gt;$I217,0,A_Scoring_Model!$C$15+(A_Scoring_Model!$C$14-A_Scoring_Model!$C$15)*($I217-M217)/($I217-$H217))))))</f>
        <v/>
      </c>
    </row>
    <row r="218" customFormat="false" ht="15" hidden="false" customHeight="false" outlineLevel="0" collapsed="false">
      <c r="A218" s="51" t="str">
        <f aca="false">C_KPI_Benchmark!A218</f>
        <v>4.a-D6-18</v>
      </c>
      <c r="B218" s="52" t="str">
        <f aca="false">C_KPI_Benchmark!D218</f>
        <v>4.a</v>
      </c>
      <c r="C218" s="51" t="str">
        <f aca="false">C_KPI_Benchmark!E218</f>
        <v>IaC Provisioner Agent</v>
      </c>
      <c r="D218" s="52" t="str">
        <f aca="false">C_KPI_Benchmark!F218</f>
        <v>D6</v>
      </c>
      <c r="E218" s="51" t="str">
        <f aca="false">C_KPI_Benchmark!J218</f>
        <v>Named owner and support SLA</v>
      </c>
      <c r="F218" s="52" t="str">
        <f aca="false">C_KPI_Benchmark!K218</f>
        <v>Yes/No</v>
      </c>
      <c r="G218" s="51" t="str">
        <f aca="false">C_KPI_Benchmark!L218</f>
        <v>Higher is better</v>
      </c>
      <c r="H218" s="60" t="n">
        <f aca="false">C_KPI_Benchmark!N218</f>
        <v>1</v>
      </c>
      <c r="I218" s="56" t="n">
        <f aca="false">IF(C_KPI_Benchmark!O218&lt;&gt;"",C_KPI_Benchmark!O218,IF(G218="Higher is better",H218*(1-A_Scoring_Model!$C$16),H218*(1+A_Scoring_Model!$C$16)))</f>
        <v>0.8</v>
      </c>
      <c r="J218" s="61"/>
      <c r="K218" s="61"/>
      <c r="L218" s="61"/>
      <c r="M218" s="61"/>
      <c r="N218" s="56" t="str">
        <f aca="false">IF(J218="","",IF($H218=$I218,IF(OR(AND($G218="Higher is better",J218&gt;=$H218),AND($G218="Lower is better",J218&lt;=$H218)),A_Scoring_Model!$C$14,0),IF($G218="Higher is better",IF(J218&gt;=$H218,A_Scoring_Model!$C$14,IF(J218&lt;$I218,0,A_Scoring_Model!$C$15+(A_Scoring_Model!$C$14-A_Scoring_Model!$C$15)*(J218-$I218)/($H218-$I218))),IF(J218&lt;=$H218,A_Scoring_Model!$C$14,IF(J218&gt;$I218,0,A_Scoring_Model!$C$15+(A_Scoring_Model!$C$14-A_Scoring_Model!$C$15)*($I218-J218)/($I218-$H218))))))</f>
        <v/>
      </c>
      <c r="O218" s="56" t="str">
        <f aca="false">IF(K218="","",IF($H218=$I218,IF(OR(AND($G218="Higher is better",K218&gt;=$H218),AND($G218="Lower is better",K218&lt;=$H218)),A_Scoring_Model!$C$14,0),IF($G218="Higher is better",IF(K218&gt;=$H218,A_Scoring_Model!$C$14,IF(K218&lt;$I218,0,A_Scoring_Model!$C$15+(A_Scoring_Model!$C$14-A_Scoring_Model!$C$15)*(K218-$I218)/($H218-$I218))),IF(K218&lt;=$H218,A_Scoring_Model!$C$14,IF(K218&gt;$I218,0,A_Scoring_Model!$C$15+(A_Scoring_Model!$C$14-A_Scoring_Model!$C$15)*($I218-K218)/($I218-$H218))))))</f>
        <v/>
      </c>
      <c r="P218" s="56" t="str">
        <f aca="false">IF(L218="","",IF($H218=$I218,IF(OR(AND($G218="Higher is better",L218&gt;=$H218),AND($G218="Lower is better",L218&lt;=$H218)),A_Scoring_Model!$C$14,0),IF($G218="Higher is better",IF(L218&gt;=$H218,A_Scoring_Model!$C$14,IF(L218&lt;$I218,0,A_Scoring_Model!$C$15+(A_Scoring_Model!$C$14-A_Scoring_Model!$C$15)*(L218-$I218)/($H218-$I218))),IF(L218&lt;=$H218,A_Scoring_Model!$C$14,IF(L218&gt;$I218,0,A_Scoring_Model!$C$15+(A_Scoring_Model!$C$14-A_Scoring_Model!$C$15)*($I218-L218)/($I218-$H218))))))</f>
        <v/>
      </c>
      <c r="Q218" s="56" t="str">
        <f aca="false">IF(M218="","",IF($H218=$I218,IF(OR(AND($G218="Higher is better",M218&gt;=$H218),AND($G218="Lower is better",M218&lt;=$H218)),A_Scoring_Model!$C$14,0),IF($G218="Higher is better",IF(M218&gt;=$H218,A_Scoring_Model!$C$14,IF(M218&lt;$I218,0,A_Scoring_Model!$C$15+(A_Scoring_Model!$C$14-A_Scoring_Model!$C$15)*(M218-$I218)/($H218-$I218))),IF(M218&lt;=$H218,A_Scoring_Model!$C$14,IF(M218&gt;$I218,0,A_Scoring_Model!$C$15+(A_Scoring_Model!$C$14-A_Scoring_Model!$C$15)*($I218-M218)/($I218-$H218))))))</f>
        <v/>
      </c>
    </row>
    <row r="219" customFormat="false" ht="15" hidden="false" customHeight="false" outlineLevel="0" collapsed="false">
      <c r="A219" s="51" t="str">
        <f aca="false">C_KPI_Benchmark!A219</f>
        <v>4.b-D1-01</v>
      </c>
      <c r="B219" s="52" t="str">
        <f aca="false">C_KPI_Benchmark!D219</f>
        <v>4.b</v>
      </c>
      <c r="C219" s="51" t="str">
        <f aca="false">C_KPI_Benchmark!E219</f>
        <v>Env Validator &amp; Drift Detector</v>
      </c>
      <c r="D219" s="52" t="str">
        <f aca="false">C_KPI_Benchmark!F219</f>
        <v>D1</v>
      </c>
      <c r="E219" s="51" t="str">
        <f aca="false">C_KPI_Benchmark!J219</f>
        <v>Drift detection recall</v>
      </c>
      <c r="F219" s="52" t="str">
        <f aca="false">C_KPI_Benchmark!K219</f>
        <v>%</v>
      </c>
      <c r="G219" s="51" t="str">
        <f aca="false">C_KPI_Benchmark!L219</f>
        <v>Higher is better</v>
      </c>
      <c r="H219" s="53" t="n">
        <f aca="false">C_KPI_Benchmark!N219</f>
        <v>0.95</v>
      </c>
      <c r="I219" s="54" t="n">
        <f aca="false">IF(C_KPI_Benchmark!O219&lt;&gt;"",C_KPI_Benchmark!O219,IF(G219="Higher is better",H219*(1-A_Scoring_Model!$C$16),H219*(1+A_Scoring_Model!$C$16)))</f>
        <v>0.88</v>
      </c>
      <c r="J219" s="55"/>
      <c r="K219" s="55"/>
      <c r="L219" s="55"/>
      <c r="M219" s="55"/>
      <c r="N219" s="56" t="str">
        <f aca="false">IF(J219="","",IF($H219=$I219,IF(OR(AND($G219="Higher is better",J219&gt;=$H219),AND($G219="Lower is better",J219&lt;=$H219)),A_Scoring_Model!$C$14,0),IF($G219="Higher is better",IF(J219&gt;=$H219,A_Scoring_Model!$C$14,IF(J219&lt;$I219,0,A_Scoring_Model!$C$15+(A_Scoring_Model!$C$14-A_Scoring_Model!$C$15)*(J219-$I219)/($H219-$I219))),IF(J219&lt;=$H219,A_Scoring_Model!$C$14,IF(J219&gt;$I219,0,A_Scoring_Model!$C$15+(A_Scoring_Model!$C$14-A_Scoring_Model!$C$15)*($I219-J219)/($I219-$H219))))))</f>
        <v/>
      </c>
      <c r="O219" s="56" t="str">
        <f aca="false">IF(K219="","",IF($H219=$I219,IF(OR(AND($G219="Higher is better",K219&gt;=$H219),AND($G219="Lower is better",K219&lt;=$H219)),A_Scoring_Model!$C$14,0),IF($G219="Higher is better",IF(K219&gt;=$H219,A_Scoring_Model!$C$14,IF(K219&lt;$I219,0,A_Scoring_Model!$C$15+(A_Scoring_Model!$C$14-A_Scoring_Model!$C$15)*(K219-$I219)/($H219-$I219))),IF(K219&lt;=$H219,A_Scoring_Model!$C$14,IF(K219&gt;$I219,0,A_Scoring_Model!$C$15+(A_Scoring_Model!$C$14-A_Scoring_Model!$C$15)*($I219-K219)/($I219-$H219))))))</f>
        <v/>
      </c>
      <c r="P219" s="56" t="str">
        <f aca="false">IF(L219="","",IF($H219=$I219,IF(OR(AND($G219="Higher is better",L219&gt;=$H219),AND($G219="Lower is better",L219&lt;=$H219)),A_Scoring_Model!$C$14,0),IF($G219="Higher is better",IF(L219&gt;=$H219,A_Scoring_Model!$C$14,IF(L219&lt;$I219,0,A_Scoring_Model!$C$15+(A_Scoring_Model!$C$14-A_Scoring_Model!$C$15)*(L219-$I219)/($H219-$I219))),IF(L219&lt;=$H219,A_Scoring_Model!$C$14,IF(L219&gt;$I219,0,A_Scoring_Model!$C$15+(A_Scoring_Model!$C$14-A_Scoring_Model!$C$15)*($I219-L219)/($I219-$H219))))))</f>
        <v/>
      </c>
      <c r="Q219" s="56" t="str">
        <f aca="false">IF(M219="","",IF($H219=$I219,IF(OR(AND($G219="Higher is better",M219&gt;=$H219),AND($G219="Lower is better",M219&lt;=$H219)),A_Scoring_Model!$C$14,0),IF($G219="Higher is better",IF(M219&gt;=$H219,A_Scoring_Model!$C$14,IF(M219&lt;$I219,0,A_Scoring_Model!$C$15+(A_Scoring_Model!$C$14-A_Scoring_Model!$C$15)*(M219-$I219)/($H219-$I219))),IF(M219&lt;=$H219,A_Scoring_Model!$C$14,IF(M219&gt;$I219,0,A_Scoring_Model!$C$15+(A_Scoring_Model!$C$14-A_Scoring_Model!$C$15)*($I219-M219)/($I219-$H219))))))</f>
        <v/>
      </c>
    </row>
    <row r="220" customFormat="false" ht="15" hidden="false" customHeight="false" outlineLevel="0" collapsed="false">
      <c r="A220" s="51" t="str">
        <f aca="false">C_KPI_Benchmark!A220</f>
        <v>4.b-D1-02</v>
      </c>
      <c r="B220" s="52" t="str">
        <f aca="false">C_KPI_Benchmark!D220</f>
        <v>4.b</v>
      </c>
      <c r="C220" s="51" t="str">
        <f aca="false">C_KPI_Benchmark!E220</f>
        <v>Env Validator &amp; Drift Detector</v>
      </c>
      <c r="D220" s="52" t="str">
        <f aca="false">C_KPI_Benchmark!F220</f>
        <v>D1</v>
      </c>
      <c r="E220" s="51" t="str">
        <f aca="false">C_KPI_Benchmark!J220</f>
        <v>Drift detection precision</v>
      </c>
      <c r="F220" s="52" t="str">
        <f aca="false">C_KPI_Benchmark!K220</f>
        <v>%</v>
      </c>
      <c r="G220" s="51" t="str">
        <f aca="false">C_KPI_Benchmark!L220</f>
        <v>Higher is better</v>
      </c>
      <c r="H220" s="53" t="n">
        <f aca="false">C_KPI_Benchmark!N220</f>
        <v>0.9</v>
      </c>
      <c r="I220" s="54" t="n">
        <f aca="false">IF(C_KPI_Benchmark!O220&lt;&gt;"",C_KPI_Benchmark!O220,IF(G220="Higher is better",H220*(1-A_Scoring_Model!$C$16),H220*(1+A_Scoring_Model!$C$16)))</f>
        <v>0.8</v>
      </c>
      <c r="J220" s="55"/>
      <c r="K220" s="55"/>
      <c r="L220" s="55"/>
      <c r="M220" s="55"/>
      <c r="N220" s="56" t="str">
        <f aca="false">IF(J220="","",IF($H220=$I220,IF(OR(AND($G220="Higher is better",J220&gt;=$H220),AND($G220="Lower is better",J220&lt;=$H220)),A_Scoring_Model!$C$14,0),IF($G220="Higher is better",IF(J220&gt;=$H220,A_Scoring_Model!$C$14,IF(J220&lt;$I220,0,A_Scoring_Model!$C$15+(A_Scoring_Model!$C$14-A_Scoring_Model!$C$15)*(J220-$I220)/($H220-$I220))),IF(J220&lt;=$H220,A_Scoring_Model!$C$14,IF(J220&gt;$I220,0,A_Scoring_Model!$C$15+(A_Scoring_Model!$C$14-A_Scoring_Model!$C$15)*($I220-J220)/($I220-$H220))))))</f>
        <v/>
      </c>
      <c r="O220" s="56" t="str">
        <f aca="false">IF(K220="","",IF($H220=$I220,IF(OR(AND($G220="Higher is better",K220&gt;=$H220),AND($G220="Lower is better",K220&lt;=$H220)),A_Scoring_Model!$C$14,0),IF($G220="Higher is better",IF(K220&gt;=$H220,A_Scoring_Model!$C$14,IF(K220&lt;$I220,0,A_Scoring_Model!$C$15+(A_Scoring_Model!$C$14-A_Scoring_Model!$C$15)*(K220-$I220)/($H220-$I220))),IF(K220&lt;=$H220,A_Scoring_Model!$C$14,IF(K220&gt;$I220,0,A_Scoring_Model!$C$15+(A_Scoring_Model!$C$14-A_Scoring_Model!$C$15)*($I220-K220)/($I220-$H220))))))</f>
        <v/>
      </c>
      <c r="P220" s="56" t="str">
        <f aca="false">IF(L220="","",IF($H220=$I220,IF(OR(AND($G220="Higher is better",L220&gt;=$H220),AND($G220="Lower is better",L220&lt;=$H220)),A_Scoring_Model!$C$14,0),IF($G220="Higher is better",IF(L220&gt;=$H220,A_Scoring_Model!$C$14,IF(L220&lt;$I220,0,A_Scoring_Model!$C$15+(A_Scoring_Model!$C$14-A_Scoring_Model!$C$15)*(L220-$I220)/($H220-$I220))),IF(L220&lt;=$H220,A_Scoring_Model!$C$14,IF(L220&gt;$I220,0,A_Scoring_Model!$C$15+(A_Scoring_Model!$C$14-A_Scoring_Model!$C$15)*($I220-L220)/($I220-$H220))))))</f>
        <v/>
      </c>
      <c r="Q220" s="56" t="str">
        <f aca="false">IF(M220="","",IF($H220=$I220,IF(OR(AND($G220="Higher is better",M220&gt;=$H220),AND($G220="Lower is better",M220&lt;=$H220)),A_Scoring_Model!$C$14,0),IF($G220="Higher is better",IF(M220&gt;=$H220,A_Scoring_Model!$C$14,IF(M220&lt;$I220,0,A_Scoring_Model!$C$15+(A_Scoring_Model!$C$14-A_Scoring_Model!$C$15)*(M220-$I220)/($H220-$I220))),IF(M220&lt;=$H220,A_Scoring_Model!$C$14,IF(M220&gt;$I220,0,A_Scoring_Model!$C$15+(A_Scoring_Model!$C$14-A_Scoring_Model!$C$15)*($I220-M220)/($I220-$H220))))))</f>
        <v/>
      </c>
    </row>
    <row r="221" customFormat="false" ht="15" hidden="false" customHeight="false" outlineLevel="0" collapsed="false">
      <c r="A221" s="51" t="str">
        <f aca="false">C_KPI_Benchmark!A221</f>
        <v>4.b-D1-03</v>
      </c>
      <c r="B221" s="52" t="str">
        <f aca="false">C_KPI_Benchmark!D221</f>
        <v>4.b</v>
      </c>
      <c r="C221" s="51" t="str">
        <f aca="false">C_KPI_Benchmark!E221</f>
        <v>Env Validator &amp; Drift Detector</v>
      </c>
      <c r="D221" s="52" t="str">
        <f aca="false">C_KPI_Benchmark!F221</f>
        <v>D1</v>
      </c>
      <c r="E221" s="51" t="str">
        <f aca="false">C_KPI_Benchmark!J221</f>
        <v>Health-check false negatives</v>
      </c>
      <c r="F221" s="52" t="str">
        <f aca="false">C_KPI_Benchmark!K221</f>
        <v>%</v>
      </c>
      <c r="G221" s="51" t="str">
        <f aca="false">C_KPI_Benchmark!L221</f>
        <v>Lower is better</v>
      </c>
      <c r="H221" s="53" t="n">
        <f aca="false">C_KPI_Benchmark!N221</f>
        <v>0.02</v>
      </c>
      <c r="I221" s="54" t="n">
        <f aca="false">IF(C_KPI_Benchmark!O221&lt;&gt;"",C_KPI_Benchmark!O221,IF(G221="Higher is better",H221*(1-A_Scoring_Model!$C$16),H221*(1+A_Scoring_Model!$C$16)))</f>
        <v>0.05</v>
      </c>
      <c r="J221" s="55"/>
      <c r="K221" s="55"/>
      <c r="L221" s="55"/>
      <c r="M221" s="55"/>
      <c r="N221" s="56" t="str">
        <f aca="false">IF(J221="","",IF($H221=$I221,IF(OR(AND($G221="Higher is better",J221&gt;=$H221),AND($G221="Lower is better",J221&lt;=$H221)),A_Scoring_Model!$C$14,0),IF($G221="Higher is better",IF(J221&gt;=$H221,A_Scoring_Model!$C$14,IF(J221&lt;$I221,0,A_Scoring_Model!$C$15+(A_Scoring_Model!$C$14-A_Scoring_Model!$C$15)*(J221-$I221)/($H221-$I221))),IF(J221&lt;=$H221,A_Scoring_Model!$C$14,IF(J221&gt;$I221,0,A_Scoring_Model!$C$15+(A_Scoring_Model!$C$14-A_Scoring_Model!$C$15)*($I221-J221)/($I221-$H221))))))</f>
        <v/>
      </c>
      <c r="O221" s="56" t="str">
        <f aca="false">IF(K221="","",IF($H221=$I221,IF(OR(AND($G221="Higher is better",K221&gt;=$H221),AND($G221="Lower is better",K221&lt;=$H221)),A_Scoring_Model!$C$14,0),IF($G221="Higher is better",IF(K221&gt;=$H221,A_Scoring_Model!$C$14,IF(K221&lt;$I221,0,A_Scoring_Model!$C$15+(A_Scoring_Model!$C$14-A_Scoring_Model!$C$15)*(K221-$I221)/($H221-$I221))),IF(K221&lt;=$H221,A_Scoring_Model!$C$14,IF(K221&gt;$I221,0,A_Scoring_Model!$C$15+(A_Scoring_Model!$C$14-A_Scoring_Model!$C$15)*($I221-K221)/($I221-$H221))))))</f>
        <v/>
      </c>
      <c r="P221" s="56" t="str">
        <f aca="false">IF(L221="","",IF($H221=$I221,IF(OR(AND($G221="Higher is better",L221&gt;=$H221),AND($G221="Lower is better",L221&lt;=$H221)),A_Scoring_Model!$C$14,0),IF($G221="Higher is better",IF(L221&gt;=$H221,A_Scoring_Model!$C$14,IF(L221&lt;$I221,0,A_Scoring_Model!$C$15+(A_Scoring_Model!$C$14-A_Scoring_Model!$C$15)*(L221-$I221)/($H221-$I221))),IF(L221&lt;=$H221,A_Scoring_Model!$C$14,IF(L221&gt;$I221,0,A_Scoring_Model!$C$15+(A_Scoring_Model!$C$14-A_Scoring_Model!$C$15)*($I221-L221)/($I221-$H221))))))</f>
        <v/>
      </c>
      <c r="Q221" s="56" t="str">
        <f aca="false">IF(M221="","",IF($H221=$I221,IF(OR(AND($G221="Higher is better",M221&gt;=$H221),AND($G221="Lower is better",M221&lt;=$H221)),A_Scoring_Model!$C$14,0),IF($G221="Higher is better",IF(M221&gt;=$H221,A_Scoring_Model!$C$14,IF(M221&lt;$I221,0,A_Scoring_Model!$C$15+(A_Scoring_Model!$C$14-A_Scoring_Model!$C$15)*(M221-$I221)/($H221-$I221))),IF(M221&lt;=$H221,A_Scoring_Model!$C$14,IF(M221&gt;$I221,0,A_Scoring_Model!$C$15+(A_Scoring_Model!$C$14-A_Scoring_Model!$C$15)*($I221-M221)/($I221-$H221))))))</f>
        <v/>
      </c>
    </row>
    <row r="222" customFormat="false" ht="15" hidden="false" customHeight="false" outlineLevel="0" collapsed="false">
      <c r="A222" s="51" t="str">
        <f aca="false">C_KPI_Benchmark!A222</f>
        <v>4.b-D2-04</v>
      </c>
      <c r="B222" s="52" t="str">
        <f aca="false">C_KPI_Benchmark!D222</f>
        <v>4.b</v>
      </c>
      <c r="C222" s="51" t="str">
        <f aca="false">C_KPI_Benchmark!E222</f>
        <v>Env Validator &amp; Drift Detector</v>
      </c>
      <c r="D222" s="52" t="str">
        <f aca="false">C_KPI_Benchmark!F222</f>
        <v>D2</v>
      </c>
      <c r="E222" s="51" t="str">
        <f aca="false">C_KPI_Benchmark!J222</f>
        <v>Probe plug-ins + golden config per product</v>
      </c>
      <c r="F222" s="52" t="str">
        <f aca="false">C_KPI_Benchmark!K222</f>
        <v>Yes/No</v>
      </c>
      <c r="G222" s="51" t="str">
        <f aca="false">C_KPI_Benchmark!L222</f>
        <v>Higher is better</v>
      </c>
      <c r="H222" s="60" t="n">
        <f aca="false">C_KPI_Benchmark!N222</f>
        <v>1</v>
      </c>
      <c r="I222" s="56" t="n">
        <f aca="false">IF(C_KPI_Benchmark!O222&lt;&gt;"",C_KPI_Benchmark!O222,IF(G222="Higher is better",H222*(1-A_Scoring_Model!$C$16),H222*(1+A_Scoring_Model!$C$16)))</f>
        <v>0.8</v>
      </c>
      <c r="J222" s="61"/>
      <c r="K222" s="61"/>
      <c r="L222" s="61"/>
      <c r="M222" s="61"/>
      <c r="N222" s="56" t="str">
        <f aca="false">IF(J222="","",IF($H222=$I222,IF(OR(AND($G222="Higher is better",J222&gt;=$H222),AND($G222="Lower is better",J222&lt;=$H222)),A_Scoring_Model!$C$14,0),IF($G222="Higher is better",IF(J222&gt;=$H222,A_Scoring_Model!$C$14,IF(J222&lt;$I222,0,A_Scoring_Model!$C$15+(A_Scoring_Model!$C$14-A_Scoring_Model!$C$15)*(J222-$I222)/($H222-$I222))),IF(J222&lt;=$H222,A_Scoring_Model!$C$14,IF(J222&gt;$I222,0,A_Scoring_Model!$C$15+(A_Scoring_Model!$C$14-A_Scoring_Model!$C$15)*($I222-J222)/($I222-$H222))))))</f>
        <v/>
      </c>
      <c r="O222" s="56" t="str">
        <f aca="false">IF(K222="","",IF($H222=$I222,IF(OR(AND($G222="Higher is better",K222&gt;=$H222),AND($G222="Lower is better",K222&lt;=$H222)),A_Scoring_Model!$C$14,0),IF($G222="Higher is better",IF(K222&gt;=$H222,A_Scoring_Model!$C$14,IF(K222&lt;$I222,0,A_Scoring_Model!$C$15+(A_Scoring_Model!$C$14-A_Scoring_Model!$C$15)*(K222-$I222)/($H222-$I222))),IF(K222&lt;=$H222,A_Scoring_Model!$C$14,IF(K222&gt;$I222,0,A_Scoring_Model!$C$15+(A_Scoring_Model!$C$14-A_Scoring_Model!$C$15)*($I222-K222)/($I222-$H222))))))</f>
        <v/>
      </c>
      <c r="P222" s="56" t="str">
        <f aca="false">IF(L222="","",IF($H222=$I222,IF(OR(AND($G222="Higher is better",L222&gt;=$H222),AND($G222="Lower is better",L222&lt;=$H222)),A_Scoring_Model!$C$14,0),IF($G222="Higher is better",IF(L222&gt;=$H222,A_Scoring_Model!$C$14,IF(L222&lt;$I222,0,A_Scoring_Model!$C$15+(A_Scoring_Model!$C$14-A_Scoring_Model!$C$15)*(L222-$I222)/($H222-$I222))),IF(L222&lt;=$H222,A_Scoring_Model!$C$14,IF(L222&gt;$I222,0,A_Scoring_Model!$C$15+(A_Scoring_Model!$C$14-A_Scoring_Model!$C$15)*($I222-L222)/($I222-$H222))))))</f>
        <v/>
      </c>
      <c r="Q222" s="56" t="str">
        <f aca="false">IF(M222="","",IF($H222=$I222,IF(OR(AND($G222="Higher is better",M222&gt;=$H222),AND($G222="Lower is better",M222&lt;=$H222)),A_Scoring_Model!$C$14,0),IF($G222="Higher is better",IF(M222&gt;=$H222,A_Scoring_Model!$C$14,IF(M222&lt;$I222,0,A_Scoring_Model!$C$15+(A_Scoring_Model!$C$14-A_Scoring_Model!$C$15)*(M222-$I222)/($H222-$I222))),IF(M222&lt;=$H222,A_Scoring_Model!$C$14,IF(M222&gt;$I222,0,A_Scoring_Model!$C$15+(A_Scoring_Model!$C$14-A_Scoring_Model!$C$15)*($I222-M222)/($I222-$H222))))))</f>
        <v/>
      </c>
    </row>
    <row r="223" customFormat="false" ht="23.85" hidden="false" customHeight="false" outlineLevel="0" collapsed="false">
      <c r="A223" s="51" t="str">
        <f aca="false">C_KPI_Benchmark!A223</f>
        <v>4.b-D2-05</v>
      </c>
      <c r="B223" s="52" t="str">
        <f aca="false">C_KPI_Benchmark!D223</f>
        <v>4.b</v>
      </c>
      <c r="C223" s="51" t="str">
        <f aca="false">C_KPI_Benchmark!E223</f>
        <v>Env Validator &amp; Drift Detector</v>
      </c>
      <c r="D223" s="52" t="str">
        <f aca="false">C_KPI_Benchmark!F223</f>
        <v>D2</v>
      </c>
      <c r="E223" s="51" t="str">
        <f aca="false">C_KPI_Benchmark!J223</f>
        <v>Product lines supported with ≤10% efficacy drop (NVMe SSD, UFS, eMMC/uSD, PSSD)</v>
      </c>
      <c r="F223" s="52" t="str">
        <f aca="false">C_KPI_Benchmark!K223</f>
        <v>count</v>
      </c>
      <c r="G223" s="51" t="str">
        <f aca="false">C_KPI_Benchmark!L223</f>
        <v>Higher is better</v>
      </c>
      <c r="H223" s="62" t="n">
        <f aca="false">C_KPI_Benchmark!N223</f>
        <v>3</v>
      </c>
      <c r="I223" s="63" t="n">
        <f aca="false">IF(C_KPI_Benchmark!O223&lt;&gt;"",C_KPI_Benchmark!O223,IF(G223="Higher is better",H223*(1-A_Scoring_Model!$C$16),H223*(1+A_Scoring_Model!$C$16)))</f>
        <v>2</v>
      </c>
      <c r="J223" s="64"/>
      <c r="K223" s="64"/>
      <c r="L223" s="64"/>
      <c r="M223" s="64"/>
      <c r="N223" s="56" t="str">
        <f aca="false">IF(J223="","",IF($H223=$I223,IF(OR(AND($G223="Higher is better",J223&gt;=$H223),AND($G223="Lower is better",J223&lt;=$H223)),A_Scoring_Model!$C$14,0),IF($G223="Higher is better",IF(J223&gt;=$H223,A_Scoring_Model!$C$14,IF(J223&lt;$I223,0,A_Scoring_Model!$C$15+(A_Scoring_Model!$C$14-A_Scoring_Model!$C$15)*(J223-$I223)/($H223-$I223))),IF(J223&lt;=$H223,A_Scoring_Model!$C$14,IF(J223&gt;$I223,0,A_Scoring_Model!$C$15+(A_Scoring_Model!$C$14-A_Scoring_Model!$C$15)*($I223-J223)/($I223-$H223))))))</f>
        <v/>
      </c>
      <c r="O223" s="56" t="str">
        <f aca="false">IF(K223="","",IF($H223=$I223,IF(OR(AND($G223="Higher is better",K223&gt;=$H223),AND($G223="Lower is better",K223&lt;=$H223)),A_Scoring_Model!$C$14,0),IF($G223="Higher is better",IF(K223&gt;=$H223,A_Scoring_Model!$C$14,IF(K223&lt;$I223,0,A_Scoring_Model!$C$15+(A_Scoring_Model!$C$14-A_Scoring_Model!$C$15)*(K223-$I223)/($H223-$I223))),IF(K223&lt;=$H223,A_Scoring_Model!$C$14,IF(K223&gt;$I223,0,A_Scoring_Model!$C$15+(A_Scoring_Model!$C$14-A_Scoring_Model!$C$15)*($I223-K223)/($I223-$H223))))))</f>
        <v/>
      </c>
      <c r="P223" s="56" t="str">
        <f aca="false">IF(L223="","",IF($H223=$I223,IF(OR(AND($G223="Higher is better",L223&gt;=$H223),AND($G223="Lower is better",L223&lt;=$H223)),A_Scoring_Model!$C$14,0),IF($G223="Higher is better",IF(L223&gt;=$H223,A_Scoring_Model!$C$14,IF(L223&lt;$I223,0,A_Scoring_Model!$C$15+(A_Scoring_Model!$C$14-A_Scoring_Model!$C$15)*(L223-$I223)/($H223-$I223))),IF(L223&lt;=$H223,A_Scoring_Model!$C$14,IF(L223&gt;$I223,0,A_Scoring_Model!$C$15+(A_Scoring_Model!$C$14-A_Scoring_Model!$C$15)*($I223-L223)/($I223-$H223))))))</f>
        <v/>
      </c>
      <c r="Q223" s="56" t="str">
        <f aca="false">IF(M223="","",IF($H223=$I223,IF(OR(AND($G223="Higher is better",M223&gt;=$H223),AND($G223="Lower is better",M223&lt;=$H223)),A_Scoring_Model!$C$14,0),IF($G223="Higher is better",IF(M223&gt;=$H223,A_Scoring_Model!$C$14,IF(M223&lt;$I223,0,A_Scoring_Model!$C$15+(A_Scoring_Model!$C$14-A_Scoring_Model!$C$15)*(M223-$I223)/($H223-$I223))),IF(M223&lt;=$H223,A_Scoring_Model!$C$14,IF(M223&gt;$I223,0,A_Scoring_Model!$C$15+(A_Scoring_Model!$C$14-A_Scoring_Model!$C$15)*($I223-M223)/($I223-$H223))))))</f>
        <v/>
      </c>
    </row>
    <row r="224" customFormat="false" ht="15" hidden="false" customHeight="false" outlineLevel="0" collapsed="false">
      <c r="A224" s="51" t="str">
        <f aca="false">C_KPI_Benchmark!A224</f>
        <v>4.b-D2-06</v>
      </c>
      <c r="B224" s="52" t="str">
        <f aca="false">C_KPI_Benchmark!D224</f>
        <v>4.b</v>
      </c>
      <c r="C224" s="51" t="str">
        <f aca="false">C_KPI_Benchmark!E224</f>
        <v>Env Validator &amp; Drift Detector</v>
      </c>
      <c r="D224" s="52" t="str">
        <f aca="false">C_KPI_Benchmark!F224</f>
        <v>D2</v>
      </c>
      <c r="E224" s="51" t="str">
        <f aca="false">C_KPI_Benchmark!J224</f>
        <v>Uses Zion shared services instead of re-implementing them</v>
      </c>
      <c r="F224" s="52" t="str">
        <f aca="false">C_KPI_Benchmark!K224</f>
        <v>Yes/No</v>
      </c>
      <c r="G224" s="51" t="str">
        <f aca="false">C_KPI_Benchmark!L224</f>
        <v>Higher is better</v>
      </c>
      <c r="H224" s="60" t="n">
        <f aca="false">C_KPI_Benchmark!N224</f>
        <v>1</v>
      </c>
      <c r="I224" s="56" t="n">
        <f aca="false">IF(C_KPI_Benchmark!O224&lt;&gt;"",C_KPI_Benchmark!O224,IF(G224="Higher is better",H224*(1-A_Scoring_Model!$C$16),H224*(1+A_Scoring_Model!$C$16)))</f>
        <v>0.8</v>
      </c>
      <c r="J224" s="61"/>
      <c r="K224" s="61"/>
      <c r="L224" s="61"/>
      <c r="M224" s="61"/>
      <c r="N224" s="56" t="str">
        <f aca="false">IF(J224="","",IF($H224=$I224,IF(OR(AND($G224="Higher is better",J224&gt;=$H224),AND($G224="Lower is better",J224&lt;=$H224)),A_Scoring_Model!$C$14,0),IF($G224="Higher is better",IF(J224&gt;=$H224,A_Scoring_Model!$C$14,IF(J224&lt;$I224,0,A_Scoring_Model!$C$15+(A_Scoring_Model!$C$14-A_Scoring_Model!$C$15)*(J224-$I224)/($H224-$I224))),IF(J224&lt;=$H224,A_Scoring_Model!$C$14,IF(J224&gt;$I224,0,A_Scoring_Model!$C$15+(A_Scoring_Model!$C$14-A_Scoring_Model!$C$15)*($I224-J224)/($I224-$H224))))))</f>
        <v/>
      </c>
      <c r="O224" s="56" t="str">
        <f aca="false">IF(K224="","",IF($H224=$I224,IF(OR(AND($G224="Higher is better",K224&gt;=$H224),AND($G224="Lower is better",K224&lt;=$H224)),A_Scoring_Model!$C$14,0),IF($G224="Higher is better",IF(K224&gt;=$H224,A_Scoring_Model!$C$14,IF(K224&lt;$I224,0,A_Scoring_Model!$C$15+(A_Scoring_Model!$C$14-A_Scoring_Model!$C$15)*(K224-$I224)/($H224-$I224))),IF(K224&lt;=$H224,A_Scoring_Model!$C$14,IF(K224&gt;$I224,0,A_Scoring_Model!$C$15+(A_Scoring_Model!$C$14-A_Scoring_Model!$C$15)*($I224-K224)/($I224-$H224))))))</f>
        <v/>
      </c>
      <c r="P224" s="56" t="str">
        <f aca="false">IF(L224="","",IF($H224=$I224,IF(OR(AND($G224="Higher is better",L224&gt;=$H224),AND($G224="Lower is better",L224&lt;=$H224)),A_Scoring_Model!$C$14,0),IF($G224="Higher is better",IF(L224&gt;=$H224,A_Scoring_Model!$C$14,IF(L224&lt;$I224,0,A_Scoring_Model!$C$15+(A_Scoring_Model!$C$14-A_Scoring_Model!$C$15)*(L224-$I224)/($H224-$I224))),IF(L224&lt;=$H224,A_Scoring_Model!$C$14,IF(L224&gt;$I224,0,A_Scoring_Model!$C$15+(A_Scoring_Model!$C$14-A_Scoring_Model!$C$15)*($I224-L224)/($I224-$H224))))))</f>
        <v/>
      </c>
      <c r="Q224" s="56" t="str">
        <f aca="false">IF(M224="","",IF($H224=$I224,IF(OR(AND($G224="Higher is better",M224&gt;=$H224),AND($G224="Lower is better",M224&lt;=$H224)),A_Scoring_Model!$C$14,0),IF($G224="Higher is better",IF(M224&gt;=$H224,A_Scoring_Model!$C$14,IF(M224&lt;$I224,0,A_Scoring_Model!$C$15+(A_Scoring_Model!$C$14-A_Scoring_Model!$C$15)*(M224-$I224)/($H224-$I224))),IF(M224&lt;=$H224,A_Scoring_Model!$C$14,IF(M224&gt;$I224,0,A_Scoring_Model!$C$15+(A_Scoring_Model!$C$14-A_Scoring_Model!$C$15)*($I224-M224)/($I224-$H224))))))</f>
        <v/>
      </c>
    </row>
    <row r="225" customFormat="false" ht="15" hidden="false" customHeight="false" outlineLevel="0" collapsed="false">
      <c r="A225" s="51" t="str">
        <f aca="false">C_KPI_Benchmark!A225</f>
        <v>4.b-D3-07</v>
      </c>
      <c r="B225" s="52" t="str">
        <f aca="false">C_KPI_Benchmark!D225</f>
        <v>4.b</v>
      </c>
      <c r="C225" s="51" t="str">
        <f aca="false">C_KPI_Benchmark!E225</f>
        <v>Env Validator &amp; Drift Detector</v>
      </c>
      <c r="D225" s="52" t="str">
        <f aca="false">C_KPI_Benchmark!F225</f>
        <v>D3</v>
      </c>
      <c r="E225" s="51" t="str">
        <f aca="false">C_KPI_Benchmark!J225</f>
        <v>Scan time for 500 rigs</v>
      </c>
      <c r="F225" s="52" t="str">
        <f aca="false">C_KPI_Benchmark!K225</f>
        <v>min</v>
      </c>
      <c r="G225" s="51" t="str">
        <f aca="false">C_KPI_Benchmark!L225</f>
        <v>Lower is better</v>
      </c>
      <c r="H225" s="62" t="n">
        <f aca="false">C_KPI_Benchmark!N225</f>
        <v>5</v>
      </c>
      <c r="I225" s="63" t="n">
        <f aca="false">IF(C_KPI_Benchmark!O225&lt;&gt;"",C_KPI_Benchmark!O225,IF(G225="Higher is better",H225*(1-A_Scoring_Model!$C$16),H225*(1+A_Scoring_Model!$C$16)))</f>
        <v>6</v>
      </c>
      <c r="J225" s="64"/>
      <c r="K225" s="64"/>
      <c r="L225" s="64"/>
      <c r="M225" s="64"/>
      <c r="N225" s="56" t="str">
        <f aca="false">IF(J225="","",IF($H225=$I225,IF(OR(AND($G225="Higher is better",J225&gt;=$H225),AND($G225="Lower is better",J225&lt;=$H225)),A_Scoring_Model!$C$14,0),IF($G225="Higher is better",IF(J225&gt;=$H225,A_Scoring_Model!$C$14,IF(J225&lt;$I225,0,A_Scoring_Model!$C$15+(A_Scoring_Model!$C$14-A_Scoring_Model!$C$15)*(J225-$I225)/($H225-$I225))),IF(J225&lt;=$H225,A_Scoring_Model!$C$14,IF(J225&gt;$I225,0,A_Scoring_Model!$C$15+(A_Scoring_Model!$C$14-A_Scoring_Model!$C$15)*($I225-J225)/($I225-$H225))))))</f>
        <v/>
      </c>
      <c r="O225" s="56" t="str">
        <f aca="false">IF(K225="","",IF($H225=$I225,IF(OR(AND($G225="Higher is better",K225&gt;=$H225),AND($G225="Lower is better",K225&lt;=$H225)),A_Scoring_Model!$C$14,0),IF($G225="Higher is better",IF(K225&gt;=$H225,A_Scoring_Model!$C$14,IF(K225&lt;$I225,0,A_Scoring_Model!$C$15+(A_Scoring_Model!$C$14-A_Scoring_Model!$C$15)*(K225-$I225)/($H225-$I225))),IF(K225&lt;=$H225,A_Scoring_Model!$C$14,IF(K225&gt;$I225,0,A_Scoring_Model!$C$15+(A_Scoring_Model!$C$14-A_Scoring_Model!$C$15)*($I225-K225)/($I225-$H225))))))</f>
        <v/>
      </c>
      <c r="P225" s="56" t="str">
        <f aca="false">IF(L225="","",IF($H225=$I225,IF(OR(AND($G225="Higher is better",L225&gt;=$H225),AND($G225="Lower is better",L225&lt;=$H225)),A_Scoring_Model!$C$14,0),IF($G225="Higher is better",IF(L225&gt;=$H225,A_Scoring_Model!$C$14,IF(L225&lt;$I225,0,A_Scoring_Model!$C$15+(A_Scoring_Model!$C$14-A_Scoring_Model!$C$15)*(L225-$I225)/($H225-$I225))),IF(L225&lt;=$H225,A_Scoring_Model!$C$14,IF(L225&gt;$I225,0,A_Scoring_Model!$C$15+(A_Scoring_Model!$C$14-A_Scoring_Model!$C$15)*($I225-L225)/($I225-$H225))))))</f>
        <v/>
      </c>
      <c r="Q225" s="56" t="str">
        <f aca="false">IF(M225="","",IF($H225=$I225,IF(OR(AND($G225="Higher is better",M225&gt;=$H225),AND($G225="Lower is better",M225&lt;=$H225)),A_Scoring_Model!$C$14,0),IF($G225="Higher is better",IF(M225&gt;=$H225,A_Scoring_Model!$C$14,IF(M225&lt;$I225,0,A_Scoring_Model!$C$15+(A_Scoring_Model!$C$14-A_Scoring_Model!$C$15)*(M225-$I225)/($H225-$I225))),IF(M225&lt;=$H225,A_Scoring_Model!$C$14,IF(M225&gt;$I225,0,A_Scoring_Model!$C$15+(A_Scoring_Model!$C$14-A_Scoring_Model!$C$15)*($I225-M225)/($I225-$H225))))))</f>
        <v/>
      </c>
    </row>
    <row r="226" customFormat="false" ht="15" hidden="false" customHeight="false" outlineLevel="0" collapsed="false">
      <c r="A226" s="51" t="str">
        <f aca="false">C_KPI_Benchmark!A226</f>
        <v>4.b-D3-08</v>
      </c>
      <c r="B226" s="52" t="str">
        <f aca="false">C_KPI_Benchmark!D226</f>
        <v>4.b</v>
      </c>
      <c r="C226" s="51" t="str">
        <f aca="false">C_KPI_Benchmark!E226</f>
        <v>Env Validator &amp; Drift Detector</v>
      </c>
      <c r="D226" s="52" t="str">
        <f aca="false">C_KPI_Benchmark!F226</f>
        <v>D3</v>
      </c>
      <c r="E226" s="51" t="str">
        <f aca="false">C_KPI_Benchmark!J226</f>
        <v>Latency degradation at 10× load</v>
      </c>
      <c r="F226" s="52" t="str">
        <f aca="false">C_KPI_Benchmark!K226</f>
        <v>%</v>
      </c>
      <c r="G226" s="51" t="str">
        <f aca="false">C_KPI_Benchmark!L226</f>
        <v>Lower is better</v>
      </c>
      <c r="H226" s="53" t="n">
        <f aca="false">C_KPI_Benchmark!N226</f>
        <v>0.2</v>
      </c>
      <c r="I226" s="54" t="n">
        <f aca="false">IF(C_KPI_Benchmark!O226&lt;&gt;"",C_KPI_Benchmark!O226,IF(G226="Higher is better",H226*(1-A_Scoring_Model!$C$16),H226*(1+A_Scoring_Model!$C$16)))</f>
        <v>0.4</v>
      </c>
      <c r="J226" s="55"/>
      <c r="K226" s="55"/>
      <c r="L226" s="55"/>
      <c r="M226" s="55"/>
      <c r="N226" s="56" t="str">
        <f aca="false">IF(J226="","",IF($H226=$I226,IF(OR(AND($G226="Higher is better",J226&gt;=$H226),AND($G226="Lower is better",J226&lt;=$H226)),A_Scoring_Model!$C$14,0),IF($G226="Higher is better",IF(J226&gt;=$H226,A_Scoring_Model!$C$14,IF(J226&lt;$I226,0,A_Scoring_Model!$C$15+(A_Scoring_Model!$C$14-A_Scoring_Model!$C$15)*(J226-$I226)/($H226-$I226))),IF(J226&lt;=$H226,A_Scoring_Model!$C$14,IF(J226&gt;$I226,0,A_Scoring_Model!$C$15+(A_Scoring_Model!$C$14-A_Scoring_Model!$C$15)*($I226-J226)/($I226-$H226))))))</f>
        <v/>
      </c>
      <c r="O226" s="56" t="str">
        <f aca="false">IF(K226="","",IF($H226=$I226,IF(OR(AND($G226="Higher is better",K226&gt;=$H226),AND($G226="Lower is better",K226&lt;=$H226)),A_Scoring_Model!$C$14,0),IF($G226="Higher is better",IF(K226&gt;=$H226,A_Scoring_Model!$C$14,IF(K226&lt;$I226,0,A_Scoring_Model!$C$15+(A_Scoring_Model!$C$14-A_Scoring_Model!$C$15)*(K226-$I226)/($H226-$I226))),IF(K226&lt;=$H226,A_Scoring_Model!$C$14,IF(K226&gt;$I226,0,A_Scoring_Model!$C$15+(A_Scoring_Model!$C$14-A_Scoring_Model!$C$15)*($I226-K226)/($I226-$H226))))))</f>
        <v/>
      </c>
      <c r="P226" s="56" t="str">
        <f aca="false">IF(L226="","",IF($H226=$I226,IF(OR(AND($G226="Higher is better",L226&gt;=$H226),AND($G226="Lower is better",L226&lt;=$H226)),A_Scoring_Model!$C$14,0),IF($G226="Higher is better",IF(L226&gt;=$H226,A_Scoring_Model!$C$14,IF(L226&lt;$I226,0,A_Scoring_Model!$C$15+(A_Scoring_Model!$C$14-A_Scoring_Model!$C$15)*(L226-$I226)/($H226-$I226))),IF(L226&lt;=$H226,A_Scoring_Model!$C$14,IF(L226&gt;$I226,0,A_Scoring_Model!$C$15+(A_Scoring_Model!$C$14-A_Scoring_Model!$C$15)*($I226-L226)/($I226-$H226))))))</f>
        <v/>
      </c>
      <c r="Q226" s="56" t="str">
        <f aca="false">IF(M226="","",IF($H226=$I226,IF(OR(AND($G226="Higher is better",M226&gt;=$H226),AND($G226="Lower is better",M226&lt;=$H226)),A_Scoring_Model!$C$14,0),IF($G226="Higher is better",IF(M226&gt;=$H226,A_Scoring_Model!$C$14,IF(M226&lt;$I226,0,A_Scoring_Model!$C$15+(A_Scoring_Model!$C$14-A_Scoring_Model!$C$15)*(M226-$I226)/($H226-$I226))),IF(M226&lt;=$H226,A_Scoring_Model!$C$14,IF(M226&gt;$I226,0,A_Scoring_Model!$C$15+(A_Scoring_Model!$C$14-A_Scoring_Model!$C$15)*($I226-M226)/($I226-$H226))))))</f>
        <v/>
      </c>
    </row>
    <row r="227" customFormat="false" ht="15" hidden="false" customHeight="false" outlineLevel="0" collapsed="false">
      <c r="A227" s="51" t="str">
        <f aca="false">C_KPI_Benchmark!A227</f>
        <v>4.b-D4-09</v>
      </c>
      <c r="B227" s="52" t="str">
        <f aca="false">C_KPI_Benchmark!D227</f>
        <v>4.b</v>
      </c>
      <c r="C227" s="51" t="str">
        <f aca="false">C_KPI_Benchmark!E227</f>
        <v>Env Validator &amp; Drift Detector</v>
      </c>
      <c r="D227" s="52" t="str">
        <f aca="false">C_KPI_Benchmark!F227</f>
        <v>D4</v>
      </c>
      <c r="E227" s="51" t="str">
        <f aca="false">C_KPI_Benchmark!J227</f>
        <v>Drifts reported with expected vs actual</v>
      </c>
      <c r="F227" s="52" t="str">
        <f aca="false">C_KPI_Benchmark!K227</f>
        <v>%</v>
      </c>
      <c r="G227" s="51" t="str">
        <f aca="false">C_KPI_Benchmark!L227</f>
        <v>Higher is better</v>
      </c>
      <c r="H227" s="53" t="n">
        <f aca="false">C_KPI_Benchmark!N227</f>
        <v>1</v>
      </c>
      <c r="I227" s="54" t="n">
        <f aca="false">IF(C_KPI_Benchmark!O227&lt;&gt;"",C_KPI_Benchmark!O227,IF(G227="Higher is better",H227*(1-A_Scoring_Model!$C$16),H227*(1+A_Scoring_Model!$C$16)))</f>
        <v>0.8</v>
      </c>
      <c r="J227" s="55"/>
      <c r="K227" s="55"/>
      <c r="L227" s="55"/>
      <c r="M227" s="55"/>
      <c r="N227" s="56" t="str">
        <f aca="false">IF(J227="","",IF($H227=$I227,IF(OR(AND($G227="Higher is better",J227&gt;=$H227),AND($G227="Lower is better",J227&lt;=$H227)),A_Scoring_Model!$C$14,0),IF($G227="Higher is better",IF(J227&gt;=$H227,A_Scoring_Model!$C$14,IF(J227&lt;$I227,0,A_Scoring_Model!$C$15+(A_Scoring_Model!$C$14-A_Scoring_Model!$C$15)*(J227-$I227)/($H227-$I227))),IF(J227&lt;=$H227,A_Scoring_Model!$C$14,IF(J227&gt;$I227,0,A_Scoring_Model!$C$15+(A_Scoring_Model!$C$14-A_Scoring_Model!$C$15)*($I227-J227)/($I227-$H227))))))</f>
        <v/>
      </c>
      <c r="O227" s="56" t="str">
        <f aca="false">IF(K227="","",IF($H227=$I227,IF(OR(AND($G227="Higher is better",K227&gt;=$H227),AND($G227="Lower is better",K227&lt;=$H227)),A_Scoring_Model!$C$14,0),IF($G227="Higher is better",IF(K227&gt;=$H227,A_Scoring_Model!$C$14,IF(K227&lt;$I227,0,A_Scoring_Model!$C$15+(A_Scoring_Model!$C$14-A_Scoring_Model!$C$15)*(K227-$I227)/($H227-$I227))),IF(K227&lt;=$H227,A_Scoring_Model!$C$14,IF(K227&gt;$I227,0,A_Scoring_Model!$C$15+(A_Scoring_Model!$C$14-A_Scoring_Model!$C$15)*($I227-K227)/($I227-$H227))))))</f>
        <v/>
      </c>
      <c r="P227" s="56" t="str">
        <f aca="false">IF(L227="","",IF($H227=$I227,IF(OR(AND($G227="Higher is better",L227&gt;=$H227),AND($G227="Lower is better",L227&lt;=$H227)),A_Scoring_Model!$C$14,0),IF($G227="Higher is better",IF(L227&gt;=$H227,A_Scoring_Model!$C$14,IF(L227&lt;$I227,0,A_Scoring_Model!$C$15+(A_Scoring_Model!$C$14-A_Scoring_Model!$C$15)*(L227-$I227)/($H227-$I227))),IF(L227&lt;=$H227,A_Scoring_Model!$C$14,IF(L227&gt;$I227,0,A_Scoring_Model!$C$15+(A_Scoring_Model!$C$14-A_Scoring_Model!$C$15)*($I227-L227)/($I227-$H227))))))</f>
        <v/>
      </c>
      <c r="Q227" s="56" t="str">
        <f aca="false">IF(M227="","",IF($H227=$I227,IF(OR(AND($G227="Higher is better",M227&gt;=$H227),AND($G227="Lower is better",M227&lt;=$H227)),A_Scoring_Model!$C$14,0),IF($G227="Higher is better",IF(M227&gt;=$H227,A_Scoring_Model!$C$14,IF(M227&lt;$I227,0,A_Scoring_Model!$C$15+(A_Scoring_Model!$C$14-A_Scoring_Model!$C$15)*(M227-$I227)/($H227-$I227))),IF(M227&lt;=$H227,A_Scoring_Model!$C$14,IF(M227&gt;$I227,0,A_Scoring_Model!$C$15+(A_Scoring_Model!$C$14-A_Scoring_Model!$C$15)*($I227-M227)/($I227-$H227))))))</f>
        <v/>
      </c>
    </row>
    <row r="228" customFormat="false" ht="15" hidden="false" customHeight="false" outlineLevel="0" collapsed="false">
      <c r="A228" s="51" t="str">
        <f aca="false">C_KPI_Benchmark!A228</f>
        <v>4.b-D4-10</v>
      </c>
      <c r="B228" s="52" t="str">
        <f aca="false">C_KPI_Benchmark!D228</f>
        <v>4.b</v>
      </c>
      <c r="C228" s="51" t="str">
        <f aca="false">C_KPI_Benchmark!E228</f>
        <v>Env Validator &amp; Drift Detector</v>
      </c>
      <c r="D228" s="52" t="str">
        <f aca="false">C_KPI_Benchmark!F228</f>
        <v>D4</v>
      </c>
      <c r="E228" s="51" t="str">
        <f aca="false">C_KPI_Benchmark!J228</f>
        <v>Service availability</v>
      </c>
      <c r="F228" s="52" t="str">
        <f aca="false">C_KPI_Benchmark!K228</f>
        <v>%</v>
      </c>
      <c r="G228" s="51" t="str">
        <f aca="false">C_KPI_Benchmark!L228</f>
        <v>Higher is better</v>
      </c>
      <c r="H228" s="53" t="n">
        <f aca="false">C_KPI_Benchmark!N228</f>
        <v>0.995</v>
      </c>
      <c r="I228" s="54" t="n">
        <f aca="false">IF(C_KPI_Benchmark!O228&lt;&gt;"",C_KPI_Benchmark!O228,IF(G228="Higher is better",H228*(1-A_Scoring_Model!$C$16),H228*(1+A_Scoring_Model!$C$16)))</f>
        <v>0.99</v>
      </c>
      <c r="J228" s="55"/>
      <c r="K228" s="55"/>
      <c r="L228" s="55"/>
      <c r="M228" s="55"/>
      <c r="N228" s="56" t="str">
        <f aca="false">IF(J228="","",IF($H228=$I228,IF(OR(AND($G228="Higher is better",J228&gt;=$H228),AND($G228="Lower is better",J228&lt;=$H228)),A_Scoring_Model!$C$14,0),IF($G228="Higher is better",IF(J228&gt;=$H228,A_Scoring_Model!$C$14,IF(J228&lt;$I228,0,A_Scoring_Model!$C$15+(A_Scoring_Model!$C$14-A_Scoring_Model!$C$15)*(J228-$I228)/($H228-$I228))),IF(J228&lt;=$H228,A_Scoring_Model!$C$14,IF(J228&gt;$I228,0,A_Scoring_Model!$C$15+(A_Scoring_Model!$C$14-A_Scoring_Model!$C$15)*($I228-J228)/($I228-$H228))))))</f>
        <v/>
      </c>
      <c r="O228" s="56" t="str">
        <f aca="false">IF(K228="","",IF($H228=$I228,IF(OR(AND($G228="Higher is better",K228&gt;=$H228),AND($G228="Lower is better",K228&lt;=$H228)),A_Scoring_Model!$C$14,0),IF($G228="Higher is better",IF(K228&gt;=$H228,A_Scoring_Model!$C$14,IF(K228&lt;$I228,0,A_Scoring_Model!$C$15+(A_Scoring_Model!$C$14-A_Scoring_Model!$C$15)*(K228-$I228)/($H228-$I228))),IF(K228&lt;=$H228,A_Scoring_Model!$C$14,IF(K228&gt;$I228,0,A_Scoring_Model!$C$15+(A_Scoring_Model!$C$14-A_Scoring_Model!$C$15)*($I228-K228)/($I228-$H228))))))</f>
        <v/>
      </c>
      <c r="P228" s="56" t="str">
        <f aca="false">IF(L228="","",IF($H228=$I228,IF(OR(AND($G228="Higher is better",L228&gt;=$H228),AND($G228="Lower is better",L228&lt;=$H228)),A_Scoring_Model!$C$14,0),IF($G228="Higher is better",IF(L228&gt;=$H228,A_Scoring_Model!$C$14,IF(L228&lt;$I228,0,A_Scoring_Model!$C$15+(A_Scoring_Model!$C$14-A_Scoring_Model!$C$15)*(L228-$I228)/($H228-$I228))),IF(L228&lt;=$H228,A_Scoring_Model!$C$14,IF(L228&gt;$I228,0,A_Scoring_Model!$C$15+(A_Scoring_Model!$C$14-A_Scoring_Model!$C$15)*($I228-L228)/($I228-$H228))))))</f>
        <v/>
      </c>
      <c r="Q228" s="56" t="str">
        <f aca="false">IF(M228="","",IF($H228=$I228,IF(OR(AND($G228="Higher is better",M228&gt;=$H228),AND($G228="Lower is better",M228&lt;=$H228)),A_Scoring_Model!$C$14,0),IF($G228="Higher is better",IF(M228&gt;=$H228,A_Scoring_Model!$C$14,IF(M228&lt;$I228,0,A_Scoring_Model!$C$15+(A_Scoring_Model!$C$14-A_Scoring_Model!$C$15)*(M228-$I228)/($H228-$I228))),IF(M228&lt;=$H228,A_Scoring_Model!$C$14,IF(M228&gt;$I228,0,A_Scoring_Model!$C$15+(A_Scoring_Model!$C$14-A_Scoring_Model!$C$15)*($I228-M228)/($I228-$H228))))))</f>
        <v/>
      </c>
    </row>
    <row r="229" customFormat="false" ht="15" hidden="false" customHeight="false" outlineLevel="0" collapsed="false">
      <c r="A229" s="51" t="str">
        <f aca="false">C_KPI_Benchmark!A229</f>
        <v>4.b-D5-11</v>
      </c>
      <c r="B229" s="52" t="str">
        <f aca="false">C_KPI_Benchmark!D229</f>
        <v>4.b</v>
      </c>
      <c r="C229" s="51" t="str">
        <f aca="false">C_KPI_Benchmark!E229</f>
        <v>Env Validator &amp; Drift Detector</v>
      </c>
      <c r="D229" s="52" t="str">
        <f aca="false">C_KPI_Benchmark!F229</f>
        <v>D5</v>
      </c>
      <c r="E229" s="51" t="str">
        <f aca="false">C_KPI_Benchmark!J229</f>
        <v>Env-caused false test failures reduction</v>
      </c>
      <c r="F229" s="52" t="str">
        <f aca="false">C_KPI_Benchmark!K229</f>
        <v>%</v>
      </c>
      <c r="G229" s="51" t="str">
        <f aca="false">C_KPI_Benchmark!L229</f>
        <v>Higher is better</v>
      </c>
      <c r="H229" s="53" t="n">
        <f aca="false">C_KPI_Benchmark!N229</f>
        <v>0.6</v>
      </c>
      <c r="I229" s="54" t="n">
        <f aca="false">IF(C_KPI_Benchmark!O229&lt;&gt;"",C_KPI_Benchmark!O229,IF(G229="Higher is better",H229*(1-A_Scoring_Model!$C$16),H229*(1+A_Scoring_Model!$C$16)))</f>
        <v>0.48</v>
      </c>
      <c r="J229" s="55"/>
      <c r="K229" s="55"/>
      <c r="L229" s="55"/>
      <c r="M229" s="55"/>
      <c r="N229" s="56" t="str">
        <f aca="false">IF(J229="","",IF($H229=$I229,IF(OR(AND($G229="Higher is better",J229&gt;=$H229),AND($G229="Lower is better",J229&lt;=$H229)),A_Scoring_Model!$C$14,0),IF($G229="Higher is better",IF(J229&gt;=$H229,A_Scoring_Model!$C$14,IF(J229&lt;$I229,0,A_Scoring_Model!$C$15+(A_Scoring_Model!$C$14-A_Scoring_Model!$C$15)*(J229-$I229)/($H229-$I229))),IF(J229&lt;=$H229,A_Scoring_Model!$C$14,IF(J229&gt;$I229,0,A_Scoring_Model!$C$15+(A_Scoring_Model!$C$14-A_Scoring_Model!$C$15)*($I229-J229)/($I229-$H229))))))</f>
        <v/>
      </c>
      <c r="O229" s="56" t="str">
        <f aca="false">IF(K229="","",IF($H229=$I229,IF(OR(AND($G229="Higher is better",K229&gt;=$H229),AND($G229="Lower is better",K229&lt;=$H229)),A_Scoring_Model!$C$14,0),IF($G229="Higher is better",IF(K229&gt;=$H229,A_Scoring_Model!$C$14,IF(K229&lt;$I229,0,A_Scoring_Model!$C$15+(A_Scoring_Model!$C$14-A_Scoring_Model!$C$15)*(K229-$I229)/($H229-$I229))),IF(K229&lt;=$H229,A_Scoring_Model!$C$14,IF(K229&gt;$I229,0,A_Scoring_Model!$C$15+(A_Scoring_Model!$C$14-A_Scoring_Model!$C$15)*($I229-K229)/($I229-$H229))))))</f>
        <v/>
      </c>
      <c r="P229" s="56" t="str">
        <f aca="false">IF(L229="","",IF($H229=$I229,IF(OR(AND($G229="Higher is better",L229&gt;=$H229),AND($G229="Lower is better",L229&lt;=$H229)),A_Scoring_Model!$C$14,0),IF($G229="Higher is better",IF(L229&gt;=$H229,A_Scoring_Model!$C$14,IF(L229&lt;$I229,0,A_Scoring_Model!$C$15+(A_Scoring_Model!$C$14-A_Scoring_Model!$C$15)*(L229-$I229)/($H229-$I229))),IF(L229&lt;=$H229,A_Scoring_Model!$C$14,IF(L229&gt;$I229,0,A_Scoring_Model!$C$15+(A_Scoring_Model!$C$14-A_Scoring_Model!$C$15)*($I229-L229)/($I229-$H229))))))</f>
        <v/>
      </c>
      <c r="Q229" s="56" t="str">
        <f aca="false">IF(M229="","",IF($H229=$I229,IF(OR(AND($G229="Higher is better",M229&gt;=$H229),AND($G229="Lower is better",M229&lt;=$H229)),A_Scoring_Model!$C$14,0),IF($G229="Higher is better",IF(M229&gt;=$H229,A_Scoring_Model!$C$14,IF(M229&lt;$I229,0,A_Scoring_Model!$C$15+(A_Scoring_Model!$C$14-A_Scoring_Model!$C$15)*(M229-$I229)/($H229-$I229))),IF(M229&lt;=$H229,A_Scoring_Model!$C$14,IF(M229&gt;$I229,0,A_Scoring_Model!$C$15+(A_Scoring_Model!$C$14-A_Scoring_Model!$C$15)*($I229-M229)/($I229-$H229))))))</f>
        <v/>
      </c>
    </row>
    <row r="230" customFormat="false" ht="15" hidden="false" customHeight="false" outlineLevel="0" collapsed="false">
      <c r="A230" s="51" t="str">
        <f aca="false">C_KPI_Benchmark!A230</f>
        <v>4.b-D6-12</v>
      </c>
      <c r="B230" s="52" t="str">
        <f aca="false">C_KPI_Benchmark!D230</f>
        <v>4.b</v>
      </c>
      <c r="C230" s="51" t="str">
        <f aca="false">C_KPI_Benchmark!E230</f>
        <v>Env Validator &amp; Drift Detector</v>
      </c>
      <c r="D230" s="52" t="str">
        <f aca="false">C_KPI_Benchmark!F230</f>
        <v>D6</v>
      </c>
      <c r="E230" s="51" t="str">
        <f aca="false">C_KPI_Benchmark!J230</f>
        <v>Solution code test coverage</v>
      </c>
      <c r="F230" s="52" t="str">
        <f aca="false">C_KPI_Benchmark!K230</f>
        <v>%</v>
      </c>
      <c r="G230" s="51" t="str">
        <f aca="false">C_KPI_Benchmark!L230</f>
        <v>Higher is better</v>
      </c>
      <c r="H230" s="53" t="n">
        <f aca="false">C_KPI_Benchmark!N230</f>
        <v>0.8</v>
      </c>
      <c r="I230" s="54" t="n">
        <f aca="false">IF(C_KPI_Benchmark!O230&lt;&gt;"",C_KPI_Benchmark!O230,IF(G230="Higher is better",H230*(1-A_Scoring_Model!$C$16),H230*(1+A_Scoring_Model!$C$16)))</f>
        <v>0.6</v>
      </c>
      <c r="J230" s="55"/>
      <c r="K230" s="55"/>
      <c r="L230" s="55"/>
      <c r="M230" s="55"/>
      <c r="N230" s="56" t="str">
        <f aca="false">IF(J230="","",IF($H230=$I230,IF(OR(AND($G230="Higher is better",J230&gt;=$H230),AND($G230="Lower is better",J230&lt;=$H230)),A_Scoring_Model!$C$14,0),IF($G230="Higher is better",IF(J230&gt;=$H230,A_Scoring_Model!$C$14,IF(J230&lt;$I230,0,A_Scoring_Model!$C$15+(A_Scoring_Model!$C$14-A_Scoring_Model!$C$15)*(J230-$I230)/($H230-$I230))),IF(J230&lt;=$H230,A_Scoring_Model!$C$14,IF(J230&gt;$I230,0,A_Scoring_Model!$C$15+(A_Scoring_Model!$C$14-A_Scoring_Model!$C$15)*($I230-J230)/($I230-$H230))))))</f>
        <v/>
      </c>
      <c r="O230" s="56" t="str">
        <f aca="false">IF(K230="","",IF($H230=$I230,IF(OR(AND($G230="Higher is better",K230&gt;=$H230),AND($G230="Lower is better",K230&lt;=$H230)),A_Scoring_Model!$C$14,0),IF($G230="Higher is better",IF(K230&gt;=$H230,A_Scoring_Model!$C$14,IF(K230&lt;$I230,0,A_Scoring_Model!$C$15+(A_Scoring_Model!$C$14-A_Scoring_Model!$C$15)*(K230-$I230)/($H230-$I230))),IF(K230&lt;=$H230,A_Scoring_Model!$C$14,IF(K230&gt;$I230,0,A_Scoring_Model!$C$15+(A_Scoring_Model!$C$14-A_Scoring_Model!$C$15)*($I230-K230)/($I230-$H230))))))</f>
        <v/>
      </c>
      <c r="P230" s="56" t="str">
        <f aca="false">IF(L230="","",IF($H230=$I230,IF(OR(AND($G230="Higher is better",L230&gt;=$H230),AND($G230="Lower is better",L230&lt;=$H230)),A_Scoring_Model!$C$14,0),IF($G230="Higher is better",IF(L230&gt;=$H230,A_Scoring_Model!$C$14,IF(L230&lt;$I230,0,A_Scoring_Model!$C$15+(A_Scoring_Model!$C$14-A_Scoring_Model!$C$15)*(L230-$I230)/($H230-$I230))),IF(L230&lt;=$H230,A_Scoring_Model!$C$14,IF(L230&gt;$I230,0,A_Scoring_Model!$C$15+(A_Scoring_Model!$C$14-A_Scoring_Model!$C$15)*($I230-L230)/($I230-$H230))))))</f>
        <v/>
      </c>
      <c r="Q230" s="56" t="str">
        <f aca="false">IF(M230="","",IF($H230=$I230,IF(OR(AND($G230="Higher is better",M230&gt;=$H230),AND($G230="Lower is better",M230&lt;=$H230)),A_Scoring_Model!$C$14,0),IF($G230="Higher is better",IF(M230&gt;=$H230,A_Scoring_Model!$C$14,IF(M230&lt;$I230,0,A_Scoring_Model!$C$15+(A_Scoring_Model!$C$14-A_Scoring_Model!$C$15)*(M230-$I230)/($H230-$I230))),IF(M230&lt;=$H230,A_Scoring_Model!$C$14,IF(M230&gt;$I230,0,A_Scoring_Model!$C$15+(A_Scoring_Model!$C$14-A_Scoring_Model!$C$15)*($I230-M230)/($I230-$H230))))))</f>
        <v/>
      </c>
    </row>
    <row r="231" customFormat="false" ht="15" hidden="false" customHeight="false" outlineLevel="0" collapsed="false">
      <c r="A231" s="51" t="str">
        <f aca="false">C_KPI_Benchmark!A231</f>
        <v>4.b-D6-13</v>
      </c>
      <c r="B231" s="52" t="str">
        <f aca="false">C_KPI_Benchmark!D231</f>
        <v>4.b</v>
      </c>
      <c r="C231" s="51" t="str">
        <f aca="false">C_KPI_Benchmark!E231</f>
        <v>Env Validator &amp; Drift Detector</v>
      </c>
      <c r="D231" s="52" t="str">
        <f aca="false">C_KPI_Benchmark!F231</f>
        <v>D6</v>
      </c>
      <c r="E231" s="51" t="str">
        <f aca="false">C_KPI_Benchmark!J231</f>
        <v>Review Shield critical findings</v>
      </c>
      <c r="F231" s="52" t="str">
        <f aca="false">C_KPI_Benchmark!K231</f>
        <v>count</v>
      </c>
      <c r="G231" s="51" t="str">
        <f aca="false">C_KPI_Benchmark!L231</f>
        <v>Lower is better</v>
      </c>
      <c r="H231" s="62" t="n">
        <f aca="false">C_KPI_Benchmark!N231</f>
        <v>0</v>
      </c>
      <c r="I231" s="63" t="n">
        <f aca="false">IF(C_KPI_Benchmark!O231&lt;&gt;"",C_KPI_Benchmark!O231,IF(G231="Higher is better",H231*(1-A_Scoring_Model!$C$16),H231*(1+A_Scoring_Model!$C$16)))</f>
        <v>0</v>
      </c>
      <c r="J231" s="64"/>
      <c r="K231" s="64"/>
      <c r="L231" s="64"/>
      <c r="M231" s="64"/>
      <c r="N231" s="56" t="str">
        <f aca="false">IF(J231="","",IF($H231=$I231,IF(OR(AND($G231="Higher is better",J231&gt;=$H231),AND($G231="Lower is better",J231&lt;=$H231)),A_Scoring_Model!$C$14,0),IF($G231="Higher is better",IF(J231&gt;=$H231,A_Scoring_Model!$C$14,IF(J231&lt;$I231,0,A_Scoring_Model!$C$15+(A_Scoring_Model!$C$14-A_Scoring_Model!$C$15)*(J231-$I231)/($H231-$I231))),IF(J231&lt;=$H231,A_Scoring_Model!$C$14,IF(J231&gt;$I231,0,A_Scoring_Model!$C$15+(A_Scoring_Model!$C$14-A_Scoring_Model!$C$15)*($I231-J231)/($I231-$H231))))))</f>
        <v/>
      </c>
      <c r="O231" s="56" t="str">
        <f aca="false">IF(K231="","",IF($H231=$I231,IF(OR(AND($G231="Higher is better",K231&gt;=$H231),AND($G231="Lower is better",K231&lt;=$H231)),A_Scoring_Model!$C$14,0),IF($G231="Higher is better",IF(K231&gt;=$H231,A_Scoring_Model!$C$14,IF(K231&lt;$I231,0,A_Scoring_Model!$C$15+(A_Scoring_Model!$C$14-A_Scoring_Model!$C$15)*(K231-$I231)/($H231-$I231))),IF(K231&lt;=$H231,A_Scoring_Model!$C$14,IF(K231&gt;$I231,0,A_Scoring_Model!$C$15+(A_Scoring_Model!$C$14-A_Scoring_Model!$C$15)*($I231-K231)/($I231-$H231))))))</f>
        <v/>
      </c>
      <c r="P231" s="56" t="str">
        <f aca="false">IF(L231="","",IF($H231=$I231,IF(OR(AND($G231="Higher is better",L231&gt;=$H231),AND($G231="Lower is better",L231&lt;=$H231)),A_Scoring_Model!$C$14,0),IF($G231="Higher is better",IF(L231&gt;=$H231,A_Scoring_Model!$C$14,IF(L231&lt;$I231,0,A_Scoring_Model!$C$15+(A_Scoring_Model!$C$14-A_Scoring_Model!$C$15)*(L231-$I231)/($H231-$I231))),IF(L231&lt;=$H231,A_Scoring_Model!$C$14,IF(L231&gt;$I231,0,A_Scoring_Model!$C$15+(A_Scoring_Model!$C$14-A_Scoring_Model!$C$15)*($I231-L231)/($I231-$H231))))))</f>
        <v/>
      </c>
      <c r="Q231" s="56" t="str">
        <f aca="false">IF(M231="","",IF($H231=$I231,IF(OR(AND($G231="Higher is better",M231&gt;=$H231),AND($G231="Lower is better",M231&lt;=$H231)),A_Scoring_Model!$C$14,0),IF($G231="Higher is better",IF(M231&gt;=$H231,A_Scoring_Model!$C$14,IF(M231&lt;$I231,0,A_Scoring_Model!$C$15+(A_Scoring_Model!$C$14-A_Scoring_Model!$C$15)*(M231-$I231)/($H231-$I231))),IF(M231&lt;=$H231,A_Scoring_Model!$C$14,IF(M231&gt;$I231,0,A_Scoring_Model!$C$15+(A_Scoring_Model!$C$14-A_Scoring_Model!$C$15)*($I231-M231)/($I231-$H231))))))</f>
        <v/>
      </c>
    </row>
    <row r="232" customFormat="false" ht="15" hidden="false" customHeight="false" outlineLevel="0" collapsed="false">
      <c r="A232" s="51" t="str">
        <f aca="false">C_KPI_Benchmark!A232</f>
        <v>4.b-D6-14</v>
      </c>
      <c r="B232" s="52" t="str">
        <f aca="false">C_KPI_Benchmark!D232</f>
        <v>4.b</v>
      </c>
      <c r="C232" s="51" t="str">
        <f aca="false">C_KPI_Benchmark!E232</f>
        <v>Env Validator &amp; Drift Detector</v>
      </c>
      <c r="D232" s="52" t="str">
        <f aca="false">C_KPI_Benchmark!F232</f>
        <v>D6</v>
      </c>
      <c r="E232" s="51" t="str">
        <f aca="false">C_KPI_Benchmark!J232</f>
        <v>SAST high findings and exposed secrets</v>
      </c>
      <c r="F232" s="52" t="str">
        <f aca="false">C_KPI_Benchmark!K232</f>
        <v>count</v>
      </c>
      <c r="G232" s="51" t="str">
        <f aca="false">C_KPI_Benchmark!L232</f>
        <v>Lower is better</v>
      </c>
      <c r="H232" s="62" t="n">
        <f aca="false">C_KPI_Benchmark!N232</f>
        <v>0</v>
      </c>
      <c r="I232" s="63" t="n">
        <f aca="false">IF(C_KPI_Benchmark!O232&lt;&gt;"",C_KPI_Benchmark!O232,IF(G232="Higher is better",H232*(1-A_Scoring_Model!$C$16),H232*(1+A_Scoring_Model!$C$16)))</f>
        <v>0</v>
      </c>
      <c r="J232" s="64"/>
      <c r="K232" s="64"/>
      <c r="L232" s="64"/>
      <c r="M232" s="64"/>
      <c r="N232" s="56" t="str">
        <f aca="false">IF(J232="","",IF($H232=$I232,IF(OR(AND($G232="Higher is better",J232&gt;=$H232),AND($G232="Lower is better",J232&lt;=$H232)),A_Scoring_Model!$C$14,0),IF($G232="Higher is better",IF(J232&gt;=$H232,A_Scoring_Model!$C$14,IF(J232&lt;$I232,0,A_Scoring_Model!$C$15+(A_Scoring_Model!$C$14-A_Scoring_Model!$C$15)*(J232-$I232)/($H232-$I232))),IF(J232&lt;=$H232,A_Scoring_Model!$C$14,IF(J232&gt;$I232,0,A_Scoring_Model!$C$15+(A_Scoring_Model!$C$14-A_Scoring_Model!$C$15)*($I232-J232)/($I232-$H232))))))</f>
        <v/>
      </c>
      <c r="O232" s="56" t="str">
        <f aca="false">IF(K232="","",IF($H232=$I232,IF(OR(AND($G232="Higher is better",K232&gt;=$H232),AND($G232="Lower is better",K232&lt;=$H232)),A_Scoring_Model!$C$14,0),IF($G232="Higher is better",IF(K232&gt;=$H232,A_Scoring_Model!$C$14,IF(K232&lt;$I232,0,A_Scoring_Model!$C$15+(A_Scoring_Model!$C$14-A_Scoring_Model!$C$15)*(K232-$I232)/($H232-$I232))),IF(K232&lt;=$H232,A_Scoring_Model!$C$14,IF(K232&gt;$I232,0,A_Scoring_Model!$C$15+(A_Scoring_Model!$C$14-A_Scoring_Model!$C$15)*($I232-K232)/($I232-$H232))))))</f>
        <v/>
      </c>
      <c r="P232" s="56" t="str">
        <f aca="false">IF(L232="","",IF($H232=$I232,IF(OR(AND($G232="Higher is better",L232&gt;=$H232),AND($G232="Lower is better",L232&lt;=$H232)),A_Scoring_Model!$C$14,0),IF($G232="Higher is better",IF(L232&gt;=$H232,A_Scoring_Model!$C$14,IF(L232&lt;$I232,0,A_Scoring_Model!$C$15+(A_Scoring_Model!$C$14-A_Scoring_Model!$C$15)*(L232-$I232)/($H232-$I232))),IF(L232&lt;=$H232,A_Scoring_Model!$C$14,IF(L232&gt;$I232,0,A_Scoring_Model!$C$15+(A_Scoring_Model!$C$14-A_Scoring_Model!$C$15)*($I232-L232)/($I232-$H232))))))</f>
        <v/>
      </c>
      <c r="Q232" s="56" t="str">
        <f aca="false">IF(M232="","",IF($H232=$I232,IF(OR(AND($G232="Higher is better",M232&gt;=$H232),AND($G232="Lower is better",M232&lt;=$H232)),A_Scoring_Model!$C$14,0),IF($G232="Higher is better",IF(M232&gt;=$H232,A_Scoring_Model!$C$14,IF(M232&lt;$I232,0,A_Scoring_Model!$C$15+(A_Scoring_Model!$C$14-A_Scoring_Model!$C$15)*(M232-$I232)/($H232-$I232))),IF(M232&lt;=$H232,A_Scoring_Model!$C$14,IF(M232&gt;$I232,0,A_Scoring_Model!$C$15+(A_Scoring_Model!$C$14-A_Scoring_Model!$C$15)*($I232-M232)/($I232-$H232))))))</f>
        <v/>
      </c>
    </row>
    <row r="233" customFormat="false" ht="23.85" hidden="false" customHeight="false" outlineLevel="0" collapsed="false">
      <c r="A233" s="51" t="str">
        <f aca="false">C_KPI_Benchmark!A233</f>
        <v>4.b-D6-15</v>
      </c>
      <c r="B233" s="52" t="str">
        <f aca="false">C_KPI_Benchmark!D233</f>
        <v>4.b</v>
      </c>
      <c r="C233" s="51" t="str">
        <f aca="false">C_KPI_Benchmark!E233</f>
        <v>Env Validator &amp; Drift Detector</v>
      </c>
      <c r="D233" s="52" t="str">
        <f aca="false">C_KPI_Benchmark!F233</f>
        <v>D6</v>
      </c>
      <c r="E233" s="51" t="str">
        <f aca="false">C_KPI_Benchmark!J233</f>
        <v>Documentation pack complete (README, I/O contract, model card, runbook)</v>
      </c>
      <c r="F233" s="52" t="str">
        <f aca="false">C_KPI_Benchmark!K233</f>
        <v>Yes/No</v>
      </c>
      <c r="G233" s="51" t="str">
        <f aca="false">C_KPI_Benchmark!L233</f>
        <v>Higher is better</v>
      </c>
      <c r="H233" s="60" t="n">
        <f aca="false">C_KPI_Benchmark!N233</f>
        <v>1</v>
      </c>
      <c r="I233" s="56" t="n">
        <f aca="false">IF(C_KPI_Benchmark!O233&lt;&gt;"",C_KPI_Benchmark!O233,IF(G233="Higher is better",H233*(1-A_Scoring_Model!$C$16),H233*(1+A_Scoring_Model!$C$16)))</f>
        <v>0.8</v>
      </c>
      <c r="J233" s="61"/>
      <c r="K233" s="61"/>
      <c r="L233" s="61"/>
      <c r="M233" s="61"/>
      <c r="N233" s="56" t="str">
        <f aca="false">IF(J233="","",IF($H233=$I233,IF(OR(AND($G233="Higher is better",J233&gt;=$H233),AND($G233="Lower is better",J233&lt;=$H233)),A_Scoring_Model!$C$14,0),IF($G233="Higher is better",IF(J233&gt;=$H233,A_Scoring_Model!$C$14,IF(J233&lt;$I233,0,A_Scoring_Model!$C$15+(A_Scoring_Model!$C$14-A_Scoring_Model!$C$15)*(J233-$I233)/($H233-$I233))),IF(J233&lt;=$H233,A_Scoring_Model!$C$14,IF(J233&gt;$I233,0,A_Scoring_Model!$C$15+(A_Scoring_Model!$C$14-A_Scoring_Model!$C$15)*($I233-J233)/($I233-$H233))))))</f>
        <v/>
      </c>
      <c r="O233" s="56" t="str">
        <f aca="false">IF(K233="","",IF($H233=$I233,IF(OR(AND($G233="Higher is better",K233&gt;=$H233),AND($G233="Lower is better",K233&lt;=$H233)),A_Scoring_Model!$C$14,0),IF($G233="Higher is better",IF(K233&gt;=$H233,A_Scoring_Model!$C$14,IF(K233&lt;$I233,0,A_Scoring_Model!$C$15+(A_Scoring_Model!$C$14-A_Scoring_Model!$C$15)*(K233-$I233)/($H233-$I233))),IF(K233&lt;=$H233,A_Scoring_Model!$C$14,IF(K233&gt;$I233,0,A_Scoring_Model!$C$15+(A_Scoring_Model!$C$14-A_Scoring_Model!$C$15)*($I233-K233)/($I233-$H233))))))</f>
        <v/>
      </c>
      <c r="P233" s="56" t="str">
        <f aca="false">IF(L233="","",IF($H233=$I233,IF(OR(AND($G233="Higher is better",L233&gt;=$H233),AND($G233="Lower is better",L233&lt;=$H233)),A_Scoring_Model!$C$14,0),IF($G233="Higher is better",IF(L233&gt;=$H233,A_Scoring_Model!$C$14,IF(L233&lt;$I233,0,A_Scoring_Model!$C$15+(A_Scoring_Model!$C$14-A_Scoring_Model!$C$15)*(L233-$I233)/($H233-$I233))),IF(L233&lt;=$H233,A_Scoring_Model!$C$14,IF(L233&gt;$I233,0,A_Scoring_Model!$C$15+(A_Scoring_Model!$C$14-A_Scoring_Model!$C$15)*($I233-L233)/($I233-$H233))))))</f>
        <v/>
      </c>
      <c r="Q233" s="56" t="str">
        <f aca="false">IF(M233="","",IF($H233=$I233,IF(OR(AND($G233="Higher is better",M233&gt;=$H233),AND($G233="Lower is better",M233&lt;=$H233)),A_Scoring_Model!$C$14,0),IF($G233="Higher is better",IF(M233&gt;=$H233,A_Scoring_Model!$C$14,IF(M233&lt;$I233,0,A_Scoring_Model!$C$15+(A_Scoring_Model!$C$14-A_Scoring_Model!$C$15)*(M233-$I233)/($H233-$I233))),IF(M233&lt;=$H233,A_Scoring_Model!$C$14,IF(M233&gt;$I233,0,A_Scoring_Model!$C$15+(A_Scoring_Model!$C$14-A_Scoring_Model!$C$15)*($I233-M233)/($I233-$H233))))))</f>
        <v/>
      </c>
    </row>
    <row r="234" customFormat="false" ht="15" hidden="false" customHeight="false" outlineLevel="0" collapsed="false">
      <c r="A234" s="51" t="str">
        <f aca="false">C_KPI_Benchmark!A234</f>
        <v>4.b-D6-16</v>
      </c>
      <c r="B234" s="52" t="str">
        <f aca="false">C_KPI_Benchmark!D234</f>
        <v>4.b</v>
      </c>
      <c r="C234" s="51" t="str">
        <f aca="false">C_KPI_Benchmark!E234</f>
        <v>Env Validator &amp; Drift Detector</v>
      </c>
      <c r="D234" s="52" t="str">
        <f aca="false">C_KPI_Benchmark!F234</f>
        <v>D6</v>
      </c>
      <c r="E234" s="51" t="str">
        <f aca="false">C_KPI_Benchmark!J234</f>
        <v>Named owner and support SLA</v>
      </c>
      <c r="F234" s="52" t="str">
        <f aca="false">C_KPI_Benchmark!K234</f>
        <v>Yes/No</v>
      </c>
      <c r="G234" s="51" t="str">
        <f aca="false">C_KPI_Benchmark!L234</f>
        <v>Higher is better</v>
      </c>
      <c r="H234" s="60" t="n">
        <f aca="false">C_KPI_Benchmark!N234</f>
        <v>1</v>
      </c>
      <c r="I234" s="56" t="n">
        <f aca="false">IF(C_KPI_Benchmark!O234&lt;&gt;"",C_KPI_Benchmark!O234,IF(G234="Higher is better",H234*(1-A_Scoring_Model!$C$16),H234*(1+A_Scoring_Model!$C$16)))</f>
        <v>0.8</v>
      </c>
      <c r="J234" s="61"/>
      <c r="K234" s="61"/>
      <c r="L234" s="61"/>
      <c r="M234" s="61"/>
      <c r="N234" s="56" t="str">
        <f aca="false">IF(J234="","",IF($H234=$I234,IF(OR(AND($G234="Higher is better",J234&gt;=$H234),AND($G234="Lower is better",J234&lt;=$H234)),A_Scoring_Model!$C$14,0),IF($G234="Higher is better",IF(J234&gt;=$H234,A_Scoring_Model!$C$14,IF(J234&lt;$I234,0,A_Scoring_Model!$C$15+(A_Scoring_Model!$C$14-A_Scoring_Model!$C$15)*(J234-$I234)/($H234-$I234))),IF(J234&lt;=$H234,A_Scoring_Model!$C$14,IF(J234&gt;$I234,0,A_Scoring_Model!$C$15+(A_Scoring_Model!$C$14-A_Scoring_Model!$C$15)*($I234-J234)/($I234-$H234))))))</f>
        <v/>
      </c>
      <c r="O234" s="56" t="str">
        <f aca="false">IF(K234="","",IF($H234=$I234,IF(OR(AND($G234="Higher is better",K234&gt;=$H234),AND($G234="Lower is better",K234&lt;=$H234)),A_Scoring_Model!$C$14,0),IF($G234="Higher is better",IF(K234&gt;=$H234,A_Scoring_Model!$C$14,IF(K234&lt;$I234,0,A_Scoring_Model!$C$15+(A_Scoring_Model!$C$14-A_Scoring_Model!$C$15)*(K234-$I234)/($H234-$I234))),IF(K234&lt;=$H234,A_Scoring_Model!$C$14,IF(K234&gt;$I234,0,A_Scoring_Model!$C$15+(A_Scoring_Model!$C$14-A_Scoring_Model!$C$15)*($I234-K234)/($I234-$H234))))))</f>
        <v/>
      </c>
      <c r="P234" s="56" t="str">
        <f aca="false">IF(L234="","",IF($H234=$I234,IF(OR(AND($G234="Higher is better",L234&gt;=$H234),AND($G234="Lower is better",L234&lt;=$H234)),A_Scoring_Model!$C$14,0),IF($G234="Higher is better",IF(L234&gt;=$H234,A_Scoring_Model!$C$14,IF(L234&lt;$I234,0,A_Scoring_Model!$C$15+(A_Scoring_Model!$C$14-A_Scoring_Model!$C$15)*(L234-$I234)/($H234-$I234))),IF(L234&lt;=$H234,A_Scoring_Model!$C$14,IF(L234&gt;$I234,0,A_Scoring_Model!$C$15+(A_Scoring_Model!$C$14-A_Scoring_Model!$C$15)*($I234-L234)/($I234-$H234))))))</f>
        <v/>
      </c>
      <c r="Q234" s="56" t="str">
        <f aca="false">IF(M234="","",IF($H234=$I234,IF(OR(AND($G234="Higher is better",M234&gt;=$H234),AND($G234="Lower is better",M234&lt;=$H234)),A_Scoring_Model!$C$14,0),IF($G234="Higher is better",IF(M234&gt;=$H234,A_Scoring_Model!$C$14,IF(M234&lt;$I234,0,A_Scoring_Model!$C$15+(A_Scoring_Model!$C$14-A_Scoring_Model!$C$15)*(M234-$I234)/($H234-$I234))),IF(M234&lt;=$H234,A_Scoring_Model!$C$14,IF(M234&gt;$I234,0,A_Scoring_Model!$C$15+(A_Scoring_Model!$C$14-A_Scoring_Model!$C$15)*($I234-M234)/($I234-$H234))))))</f>
        <v/>
      </c>
    </row>
    <row r="235" customFormat="false" ht="15" hidden="false" customHeight="false" outlineLevel="0" collapsed="false">
      <c r="A235" s="51" t="str">
        <f aca="false">C_KPI_Benchmark!A235</f>
        <v>4.c-D1-01</v>
      </c>
      <c r="B235" s="52" t="str">
        <f aca="false">C_KPI_Benchmark!D235</f>
        <v>4.c</v>
      </c>
      <c r="C235" s="51" t="str">
        <f aca="false">C_KPI_Benchmark!E235</f>
        <v>Access &amp; Security Recommender</v>
      </c>
      <c r="D235" s="52" t="str">
        <f aca="false">C_KPI_Benchmark!F235</f>
        <v>D1</v>
      </c>
      <c r="E235" s="51" t="str">
        <f aca="false">C_KPI_Benchmark!J235</f>
        <v>Least-privilege violation recall</v>
      </c>
      <c r="F235" s="52" t="str">
        <f aca="false">C_KPI_Benchmark!K235</f>
        <v>%</v>
      </c>
      <c r="G235" s="51" t="str">
        <f aca="false">C_KPI_Benchmark!L235</f>
        <v>Higher is better</v>
      </c>
      <c r="H235" s="53" t="n">
        <f aca="false">C_KPI_Benchmark!N235</f>
        <v>0.95</v>
      </c>
      <c r="I235" s="54" t="n">
        <f aca="false">IF(C_KPI_Benchmark!O235&lt;&gt;"",C_KPI_Benchmark!O235,IF(G235="Higher is better",H235*(1-A_Scoring_Model!$C$16),H235*(1+A_Scoring_Model!$C$16)))</f>
        <v>0.85</v>
      </c>
      <c r="J235" s="55"/>
      <c r="K235" s="55"/>
      <c r="L235" s="55"/>
      <c r="M235" s="55"/>
      <c r="N235" s="56" t="str">
        <f aca="false">IF(J235="","",IF($H235=$I235,IF(OR(AND($G235="Higher is better",J235&gt;=$H235),AND($G235="Lower is better",J235&lt;=$H235)),A_Scoring_Model!$C$14,0),IF($G235="Higher is better",IF(J235&gt;=$H235,A_Scoring_Model!$C$14,IF(J235&lt;$I235,0,A_Scoring_Model!$C$15+(A_Scoring_Model!$C$14-A_Scoring_Model!$C$15)*(J235-$I235)/($H235-$I235))),IF(J235&lt;=$H235,A_Scoring_Model!$C$14,IF(J235&gt;$I235,0,A_Scoring_Model!$C$15+(A_Scoring_Model!$C$14-A_Scoring_Model!$C$15)*($I235-J235)/($I235-$H235))))))</f>
        <v/>
      </c>
      <c r="O235" s="56" t="str">
        <f aca="false">IF(K235="","",IF($H235=$I235,IF(OR(AND($G235="Higher is better",K235&gt;=$H235),AND($G235="Lower is better",K235&lt;=$H235)),A_Scoring_Model!$C$14,0),IF($G235="Higher is better",IF(K235&gt;=$H235,A_Scoring_Model!$C$14,IF(K235&lt;$I235,0,A_Scoring_Model!$C$15+(A_Scoring_Model!$C$14-A_Scoring_Model!$C$15)*(K235-$I235)/($H235-$I235))),IF(K235&lt;=$H235,A_Scoring_Model!$C$14,IF(K235&gt;$I235,0,A_Scoring_Model!$C$15+(A_Scoring_Model!$C$14-A_Scoring_Model!$C$15)*($I235-K235)/($I235-$H235))))))</f>
        <v/>
      </c>
      <c r="P235" s="56" t="str">
        <f aca="false">IF(L235="","",IF($H235=$I235,IF(OR(AND($G235="Higher is better",L235&gt;=$H235),AND($G235="Lower is better",L235&lt;=$H235)),A_Scoring_Model!$C$14,0),IF($G235="Higher is better",IF(L235&gt;=$H235,A_Scoring_Model!$C$14,IF(L235&lt;$I235,0,A_Scoring_Model!$C$15+(A_Scoring_Model!$C$14-A_Scoring_Model!$C$15)*(L235-$I235)/($H235-$I235))),IF(L235&lt;=$H235,A_Scoring_Model!$C$14,IF(L235&gt;$I235,0,A_Scoring_Model!$C$15+(A_Scoring_Model!$C$14-A_Scoring_Model!$C$15)*($I235-L235)/($I235-$H235))))))</f>
        <v/>
      </c>
      <c r="Q235" s="56" t="str">
        <f aca="false">IF(M235="","",IF($H235=$I235,IF(OR(AND($G235="Higher is better",M235&gt;=$H235),AND($G235="Lower is better",M235&lt;=$H235)),A_Scoring_Model!$C$14,0),IF($G235="Higher is better",IF(M235&gt;=$H235,A_Scoring_Model!$C$14,IF(M235&lt;$I235,0,A_Scoring_Model!$C$15+(A_Scoring_Model!$C$14-A_Scoring_Model!$C$15)*(M235-$I235)/($H235-$I235))),IF(M235&lt;=$H235,A_Scoring_Model!$C$14,IF(M235&gt;$I235,0,A_Scoring_Model!$C$15+(A_Scoring_Model!$C$14-A_Scoring_Model!$C$15)*($I235-M235)/($I235-$H235))))))</f>
        <v/>
      </c>
    </row>
    <row r="236" customFormat="false" ht="15" hidden="false" customHeight="false" outlineLevel="0" collapsed="false">
      <c r="A236" s="51" t="str">
        <f aca="false">C_KPI_Benchmark!A236</f>
        <v>4.c-D1-02</v>
      </c>
      <c r="B236" s="52" t="str">
        <f aca="false">C_KPI_Benchmark!D236</f>
        <v>4.c</v>
      </c>
      <c r="C236" s="51" t="str">
        <f aca="false">C_KPI_Benchmark!E236</f>
        <v>Access &amp; Security Recommender</v>
      </c>
      <c r="D236" s="52" t="str">
        <f aca="false">C_KPI_Benchmark!F236</f>
        <v>D1</v>
      </c>
      <c r="E236" s="51" t="str">
        <f aca="false">C_KPI_Benchmark!J236</f>
        <v>Recommendation acceptance</v>
      </c>
      <c r="F236" s="52" t="str">
        <f aca="false">C_KPI_Benchmark!K236</f>
        <v>%</v>
      </c>
      <c r="G236" s="51" t="str">
        <f aca="false">C_KPI_Benchmark!L236</f>
        <v>Higher is better</v>
      </c>
      <c r="H236" s="53" t="n">
        <f aca="false">C_KPI_Benchmark!N236</f>
        <v>0.8</v>
      </c>
      <c r="I236" s="54" t="n">
        <f aca="false">IF(C_KPI_Benchmark!O236&lt;&gt;"",C_KPI_Benchmark!O236,IF(G236="Higher is better",H236*(1-A_Scoring_Model!$C$16),H236*(1+A_Scoring_Model!$C$16)))</f>
        <v>0.65</v>
      </c>
      <c r="J236" s="55"/>
      <c r="K236" s="55"/>
      <c r="L236" s="55"/>
      <c r="M236" s="55"/>
      <c r="N236" s="56" t="str">
        <f aca="false">IF(J236="","",IF($H236=$I236,IF(OR(AND($G236="Higher is better",J236&gt;=$H236),AND($G236="Lower is better",J236&lt;=$H236)),A_Scoring_Model!$C$14,0),IF($G236="Higher is better",IF(J236&gt;=$H236,A_Scoring_Model!$C$14,IF(J236&lt;$I236,0,A_Scoring_Model!$C$15+(A_Scoring_Model!$C$14-A_Scoring_Model!$C$15)*(J236-$I236)/($H236-$I236))),IF(J236&lt;=$H236,A_Scoring_Model!$C$14,IF(J236&gt;$I236,0,A_Scoring_Model!$C$15+(A_Scoring_Model!$C$14-A_Scoring_Model!$C$15)*($I236-J236)/($I236-$H236))))))</f>
        <v/>
      </c>
      <c r="O236" s="56" t="str">
        <f aca="false">IF(K236="","",IF($H236=$I236,IF(OR(AND($G236="Higher is better",K236&gt;=$H236),AND($G236="Lower is better",K236&lt;=$H236)),A_Scoring_Model!$C$14,0),IF($G236="Higher is better",IF(K236&gt;=$H236,A_Scoring_Model!$C$14,IF(K236&lt;$I236,0,A_Scoring_Model!$C$15+(A_Scoring_Model!$C$14-A_Scoring_Model!$C$15)*(K236-$I236)/($H236-$I236))),IF(K236&lt;=$H236,A_Scoring_Model!$C$14,IF(K236&gt;$I236,0,A_Scoring_Model!$C$15+(A_Scoring_Model!$C$14-A_Scoring_Model!$C$15)*($I236-K236)/($I236-$H236))))))</f>
        <v/>
      </c>
      <c r="P236" s="56" t="str">
        <f aca="false">IF(L236="","",IF($H236=$I236,IF(OR(AND($G236="Higher is better",L236&gt;=$H236),AND($G236="Lower is better",L236&lt;=$H236)),A_Scoring_Model!$C$14,0),IF($G236="Higher is better",IF(L236&gt;=$H236,A_Scoring_Model!$C$14,IF(L236&lt;$I236,0,A_Scoring_Model!$C$15+(A_Scoring_Model!$C$14-A_Scoring_Model!$C$15)*(L236-$I236)/($H236-$I236))),IF(L236&lt;=$H236,A_Scoring_Model!$C$14,IF(L236&gt;$I236,0,A_Scoring_Model!$C$15+(A_Scoring_Model!$C$14-A_Scoring_Model!$C$15)*($I236-L236)/($I236-$H236))))))</f>
        <v/>
      </c>
      <c r="Q236" s="56" t="str">
        <f aca="false">IF(M236="","",IF($H236=$I236,IF(OR(AND($G236="Higher is better",M236&gt;=$H236),AND($G236="Lower is better",M236&lt;=$H236)),A_Scoring_Model!$C$14,0),IF($G236="Higher is better",IF(M236&gt;=$H236,A_Scoring_Model!$C$14,IF(M236&lt;$I236,0,A_Scoring_Model!$C$15+(A_Scoring_Model!$C$14-A_Scoring_Model!$C$15)*(M236-$I236)/($H236-$I236))),IF(M236&lt;=$H236,A_Scoring_Model!$C$14,IF(M236&gt;$I236,0,A_Scoring_Model!$C$15+(A_Scoring_Model!$C$14-A_Scoring_Model!$C$15)*($I236-M236)/($I236-$H236))))))</f>
        <v/>
      </c>
    </row>
    <row r="237" customFormat="false" ht="15" hidden="false" customHeight="false" outlineLevel="0" collapsed="false">
      <c r="A237" s="51" t="str">
        <f aca="false">C_KPI_Benchmark!A237</f>
        <v>4.c-D1-03</v>
      </c>
      <c r="B237" s="52" t="str">
        <f aca="false">C_KPI_Benchmark!D237</f>
        <v>4.c</v>
      </c>
      <c r="C237" s="51" t="str">
        <f aca="false">C_KPI_Benchmark!E237</f>
        <v>Access &amp; Security Recommender</v>
      </c>
      <c r="D237" s="52" t="str">
        <f aca="false">C_KPI_Benchmark!F237</f>
        <v>D1</v>
      </c>
      <c r="E237" s="51" t="str">
        <f aca="false">C_KPI_Benchmark!J237</f>
        <v>Secret-exposure detection (seeded)</v>
      </c>
      <c r="F237" s="52" t="str">
        <f aca="false">C_KPI_Benchmark!K237</f>
        <v>%</v>
      </c>
      <c r="G237" s="51" t="str">
        <f aca="false">C_KPI_Benchmark!L237</f>
        <v>Higher is better</v>
      </c>
      <c r="H237" s="53" t="n">
        <f aca="false">C_KPI_Benchmark!N237</f>
        <v>1</v>
      </c>
      <c r="I237" s="54" t="n">
        <f aca="false">IF(C_KPI_Benchmark!O237&lt;&gt;"",C_KPI_Benchmark!O237,IF(G237="Higher is better",H237*(1-A_Scoring_Model!$C$16),H237*(1+A_Scoring_Model!$C$16)))</f>
        <v>1</v>
      </c>
      <c r="J237" s="55"/>
      <c r="K237" s="55"/>
      <c r="L237" s="55"/>
      <c r="M237" s="55"/>
      <c r="N237" s="56" t="str">
        <f aca="false">IF(J237="","",IF($H237=$I237,IF(OR(AND($G237="Higher is better",J237&gt;=$H237),AND($G237="Lower is better",J237&lt;=$H237)),A_Scoring_Model!$C$14,0),IF($G237="Higher is better",IF(J237&gt;=$H237,A_Scoring_Model!$C$14,IF(J237&lt;$I237,0,A_Scoring_Model!$C$15+(A_Scoring_Model!$C$14-A_Scoring_Model!$C$15)*(J237-$I237)/($H237-$I237))),IF(J237&lt;=$H237,A_Scoring_Model!$C$14,IF(J237&gt;$I237,0,A_Scoring_Model!$C$15+(A_Scoring_Model!$C$14-A_Scoring_Model!$C$15)*($I237-J237)/($I237-$H237))))))</f>
        <v/>
      </c>
      <c r="O237" s="56" t="str">
        <f aca="false">IF(K237="","",IF($H237=$I237,IF(OR(AND($G237="Higher is better",K237&gt;=$H237),AND($G237="Lower is better",K237&lt;=$H237)),A_Scoring_Model!$C$14,0),IF($G237="Higher is better",IF(K237&gt;=$H237,A_Scoring_Model!$C$14,IF(K237&lt;$I237,0,A_Scoring_Model!$C$15+(A_Scoring_Model!$C$14-A_Scoring_Model!$C$15)*(K237-$I237)/($H237-$I237))),IF(K237&lt;=$H237,A_Scoring_Model!$C$14,IF(K237&gt;$I237,0,A_Scoring_Model!$C$15+(A_Scoring_Model!$C$14-A_Scoring_Model!$C$15)*($I237-K237)/($I237-$H237))))))</f>
        <v/>
      </c>
      <c r="P237" s="56" t="str">
        <f aca="false">IF(L237="","",IF($H237=$I237,IF(OR(AND($G237="Higher is better",L237&gt;=$H237),AND($G237="Lower is better",L237&lt;=$H237)),A_Scoring_Model!$C$14,0),IF($G237="Higher is better",IF(L237&gt;=$H237,A_Scoring_Model!$C$14,IF(L237&lt;$I237,0,A_Scoring_Model!$C$15+(A_Scoring_Model!$C$14-A_Scoring_Model!$C$15)*(L237-$I237)/($H237-$I237))),IF(L237&lt;=$H237,A_Scoring_Model!$C$14,IF(L237&gt;$I237,0,A_Scoring_Model!$C$15+(A_Scoring_Model!$C$14-A_Scoring_Model!$C$15)*($I237-L237)/($I237-$H237))))))</f>
        <v/>
      </c>
      <c r="Q237" s="56" t="str">
        <f aca="false">IF(M237="","",IF($H237=$I237,IF(OR(AND($G237="Higher is better",M237&gt;=$H237),AND($G237="Lower is better",M237&lt;=$H237)),A_Scoring_Model!$C$14,0),IF($G237="Higher is better",IF(M237&gt;=$H237,A_Scoring_Model!$C$14,IF(M237&lt;$I237,0,A_Scoring_Model!$C$15+(A_Scoring_Model!$C$14-A_Scoring_Model!$C$15)*(M237-$I237)/($H237-$I237))),IF(M237&lt;=$H237,A_Scoring_Model!$C$14,IF(M237&gt;$I237,0,A_Scoring_Model!$C$15+(A_Scoring_Model!$C$14-A_Scoring_Model!$C$15)*($I237-M237)/($I237-$H237))))))</f>
        <v/>
      </c>
    </row>
    <row r="238" customFormat="false" ht="15" hidden="false" customHeight="false" outlineLevel="0" collapsed="false">
      <c r="A238" s="51" t="str">
        <f aca="false">C_KPI_Benchmark!A238</f>
        <v>4.c-D2-04</v>
      </c>
      <c r="B238" s="52" t="str">
        <f aca="false">C_KPI_Benchmark!D238</f>
        <v>4.c</v>
      </c>
      <c r="C238" s="51" t="str">
        <f aca="false">C_KPI_Benchmark!E238</f>
        <v>Access &amp; Security Recommender</v>
      </c>
      <c r="D238" s="52" t="str">
        <f aca="false">C_KPI_Benchmark!F238</f>
        <v>D2</v>
      </c>
      <c r="E238" s="51" t="str">
        <f aca="false">C_KPI_Benchmark!J238</f>
        <v>OPA / Rego policies shared; LDAP / AD connectors</v>
      </c>
      <c r="F238" s="52" t="str">
        <f aca="false">C_KPI_Benchmark!K238</f>
        <v>Yes/No</v>
      </c>
      <c r="G238" s="51" t="str">
        <f aca="false">C_KPI_Benchmark!L238</f>
        <v>Higher is better</v>
      </c>
      <c r="H238" s="60" t="n">
        <f aca="false">C_KPI_Benchmark!N238</f>
        <v>1</v>
      </c>
      <c r="I238" s="56" t="n">
        <f aca="false">IF(C_KPI_Benchmark!O238&lt;&gt;"",C_KPI_Benchmark!O238,IF(G238="Higher is better",H238*(1-A_Scoring_Model!$C$16),H238*(1+A_Scoring_Model!$C$16)))</f>
        <v>0.8</v>
      </c>
      <c r="J238" s="61"/>
      <c r="K238" s="61"/>
      <c r="L238" s="61"/>
      <c r="M238" s="61"/>
      <c r="N238" s="56" t="str">
        <f aca="false">IF(J238="","",IF($H238=$I238,IF(OR(AND($G238="Higher is better",J238&gt;=$H238),AND($G238="Lower is better",J238&lt;=$H238)),A_Scoring_Model!$C$14,0),IF($G238="Higher is better",IF(J238&gt;=$H238,A_Scoring_Model!$C$14,IF(J238&lt;$I238,0,A_Scoring_Model!$C$15+(A_Scoring_Model!$C$14-A_Scoring_Model!$C$15)*(J238-$I238)/($H238-$I238))),IF(J238&lt;=$H238,A_Scoring_Model!$C$14,IF(J238&gt;$I238,0,A_Scoring_Model!$C$15+(A_Scoring_Model!$C$14-A_Scoring_Model!$C$15)*($I238-J238)/($I238-$H238))))))</f>
        <v/>
      </c>
      <c r="O238" s="56" t="str">
        <f aca="false">IF(K238="","",IF($H238=$I238,IF(OR(AND($G238="Higher is better",K238&gt;=$H238),AND($G238="Lower is better",K238&lt;=$H238)),A_Scoring_Model!$C$14,0),IF($G238="Higher is better",IF(K238&gt;=$H238,A_Scoring_Model!$C$14,IF(K238&lt;$I238,0,A_Scoring_Model!$C$15+(A_Scoring_Model!$C$14-A_Scoring_Model!$C$15)*(K238-$I238)/($H238-$I238))),IF(K238&lt;=$H238,A_Scoring_Model!$C$14,IF(K238&gt;$I238,0,A_Scoring_Model!$C$15+(A_Scoring_Model!$C$14-A_Scoring_Model!$C$15)*($I238-K238)/($I238-$H238))))))</f>
        <v/>
      </c>
      <c r="P238" s="56" t="str">
        <f aca="false">IF(L238="","",IF($H238=$I238,IF(OR(AND($G238="Higher is better",L238&gt;=$H238),AND($G238="Lower is better",L238&lt;=$H238)),A_Scoring_Model!$C$14,0),IF($G238="Higher is better",IF(L238&gt;=$H238,A_Scoring_Model!$C$14,IF(L238&lt;$I238,0,A_Scoring_Model!$C$15+(A_Scoring_Model!$C$14-A_Scoring_Model!$C$15)*(L238-$I238)/($H238-$I238))),IF(L238&lt;=$H238,A_Scoring_Model!$C$14,IF(L238&gt;$I238,0,A_Scoring_Model!$C$15+(A_Scoring_Model!$C$14-A_Scoring_Model!$C$15)*($I238-L238)/($I238-$H238))))))</f>
        <v/>
      </c>
      <c r="Q238" s="56" t="str">
        <f aca="false">IF(M238="","",IF($H238=$I238,IF(OR(AND($G238="Higher is better",M238&gt;=$H238),AND($G238="Lower is better",M238&lt;=$H238)),A_Scoring_Model!$C$14,0),IF($G238="Higher is better",IF(M238&gt;=$H238,A_Scoring_Model!$C$14,IF(M238&lt;$I238,0,A_Scoring_Model!$C$15+(A_Scoring_Model!$C$14-A_Scoring_Model!$C$15)*(M238-$I238)/($H238-$I238))),IF(M238&lt;=$H238,A_Scoring_Model!$C$14,IF(M238&gt;$I238,0,A_Scoring_Model!$C$15+(A_Scoring_Model!$C$14-A_Scoring_Model!$C$15)*($I238-M238)/($I238-$H238))))))</f>
        <v/>
      </c>
    </row>
    <row r="239" customFormat="false" ht="23.85" hidden="false" customHeight="false" outlineLevel="0" collapsed="false">
      <c r="A239" s="51" t="str">
        <f aca="false">C_KPI_Benchmark!A239</f>
        <v>4.c-D2-05</v>
      </c>
      <c r="B239" s="52" t="str">
        <f aca="false">C_KPI_Benchmark!D239</f>
        <v>4.c</v>
      </c>
      <c r="C239" s="51" t="str">
        <f aca="false">C_KPI_Benchmark!E239</f>
        <v>Access &amp; Security Recommender</v>
      </c>
      <c r="D239" s="52" t="str">
        <f aca="false">C_KPI_Benchmark!F239</f>
        <v>D2</v>
      </c>
      <c r="E239" s="51" t="str">
        <f aca="false">C_KPI_Benchmark!J239</f>
        <v>Product lines supported with ≤10% efficacy drop (NVMe SSD, UFS, eMMC/uSD, PSSD)</v>
      </c>
      <c r="F239" s="52" t="str">
        <f aca="false">C_KPI_Benchmark!K239</f>
        <v>count</v>
      </c>
      <c r="G239" s="51" t="str">
        <f aca="false">C_KPI_Benchmark!L239</f>
        <v>Higher is better</v>
      </c>
      <c r="H239" s="62" t="n">
        <f aca="false">C_KPI_Benchmark!N239</f>
        <v>3</v>
      </c>
      <c r="I239" s="63" t="n">
        <f aca="false">IF(C_KPI_Benchmark!O239&lt;&gt;"",C_KPI_Benchmark!O239,IF(G239="Higher is better",H239*(1-A_Scoring_Model!$C$16),H239*(1+A_Scoring_Model!$C$16)))</f>
        <v>2</v>
      </c>
      <c r="J239" s="64"/>
      <c r="K239" s="64"/>
      <c r="L239" s="64"/>
      <c r="M239" s="64"/>
      <c r="N239" s="56" t="str">
        <f aca="false">IF(J239="","",IF($H239=$I239,IF(OR(AND($G239="Higher is better",J239&gt;=$H239),AND($G239="Lower is better",J239&lt;=$H239)),A_Scoring_Model!$C$14,0),IF($G239="Higher is better",IF(J239&gt;=$H239,A_Scoring_Model!$C$14,IF(J239&lt;$I239,0,A_Scoring_Model!$C$15+(A_Scoring_Model!$C$14-A_Scoring_Model!$C$15)*(J239-$I239)/($H239-$I239))),IF(J239&lt;=$H239,A_Scoring_Model!$C$14,IF(J239&gt;$I239,0,A_Scoring_Model!$C$15+(A_Scoring_Model!$C$14-A_Scoring_Model!$C$15)*($I239-J239)/($I239-$H239))))))</f>
        <v/>
      </c>
      <c r="O239" s="56" t="str">
        <f aca="false">IF(K239="","",IF($H239=$I239,IF(OR(AND($G239="Higher is better",K239&gt;=$H239),AND($G239="Lower is better",K239&lt;=$H239)),A_Scoring_Model!$C$14,0),IF($G239="Higher is better",IF(K239&gt;=$H239,A_Scoring_Model!$C$14,IF(K239&lt;$I239,0,A_Scoring_Model!$C$15+(A_Scoring_Model!$C$14-A_Scoring_Model!$C$15)*(K239-$I239)/($H239-$I239))),IF(K239&lt;=$H239,A_Scoring_Model!$C$14,IF(K239&gt;$I239,0,A_Scoring_Model!$C$15+(A_Scoring_Model!$C$14-A_Scoring_Model!$C$15)*($I239-K239)/($I239-$H239))))))</f>
        <v/>
      </c>
      <c r="P239" s="56" t="str">
        <f aca="false">IF(L239="","",IF($H239=$I239,IF(OR(AND($G239="Higher is better",L239&gt;=$H239),AND($G239="Lower is better",L239&lt;=$H239)),A_Scoring_Model!$C$14,0),IF($G239="Higher is better",IF(L239&gt;=$H239,A_Scoring_Model!$C$14,IF(L239&lt;$I239,0,A_Scoring_Model!$C$15+(A_Scoring_Model!$C$14-A_Scoring_Model!$C$15)*(L239-$I239)/($H239-$I239))),IF(L239&lt;=$H239,A_Scoring_Model!$C$14,IF(L239&gt;$I239,0,A_Scoring_Model!$C$15+(A_Scoring_Model!$C$14-A_Scoring_Model!$C$15)*($I239-L239)/($I239-$H239))))))</f>
        <v/>
      </c>
      <c r="Q239" s="56" t="str">
        <f aca="false">IF(M239="","",IF($H239=$I239,IF(OR(AND($G239="Higher is better",M239&gt;=$H239),AND($G239="Lower is better",M239&lt;=$H239)),A_Scoring_Model!$C$14,0),IF($G239="Higher is better",IF(M239&gt;=$H239,A_Scoring_Model!$C$14,IF(M239&lt;$I239,0,A_Scoring_Model!$C$15+(A_Scoring_Model!$C$14-A_Scoring_Model!$C$15)*(M239-$I239)/($H239-$I239))),IF(M239&lt;=$H239,A_Scoring_Model!$C$14,IF(M239&gt;$I239,0,A_Scoring_Model!$C$15+(A_Scoring_Model!$C$14-A_Scoring_Model!$C$15)*($I239-M239)/($I239-$H239))))))</f>
        <v/>
      </c>
    </row>
    <row r="240" customFormat="false" ht="15" hidden="false" customHeight="false" outlineLevel="0" collapsed="false">
      <c r="A240" s="51" t="str">
        <f aca="false">C_KPI_Benchmark!A240</f>
        <v>4.c-D2-06</v>
      </c>
      <c r="B240" s="52" t="str">
        <f aca="false">C_KPI_Benchmark!D240</f>
        <v>4.c</v>
      </c>
      <c r="C240" s="51" t="str">
        <f aca="false">C_KPI_Benchmark!E240</f>
        <v>Access &amp; Security Recommender</v>
      </c>
      <c r="D240" s="52" t="str">
        <f aca="false">C_KPI_Benchmark!F240</f>
        <v>D2</v>
      </c>
      <c r="E240" s="51" t="str">
        <f aca="false">C_KPI_Benchmark!J240</f>
        <v>Uses Zion shared services instead of re-implementing them</v>
      </c>
      <c r="F240" s="52" t="str">
        <f aca="false">C_KPI_Benchmark!K240</f>
        <v>Yes/No</v>
      </c>
      <c r="G240" s="51" t="str">
        <f aca="false">C_KPI_Benchmark!L240</f>
        <v>Higher is better</v>
      </c>
      <c r="H240" s="60" t="n">
        <f aca="false">C_KPI_Benchmark!N240</f>
        <v>1</v>
      </c>
      <c r="I240" s="56" t="n">
        <f aca="false">IF(C_KPI_Benchmark!O240&lt;&gt;"",C_KPI_Benchmark!O240,IF(G240="Higher is better",H240*(1-A_Scoring_Model!$C$16),H240*(1+A_Scoring_Model!$C$16)))</f>
        <v>0.8</v>
      </c>
      <c r="J240" s="61"/>
      <c r="K240" s="61"/>
      <c r="L240" s="61"/>
      <c r="M240" s="61"/>
      <c r="N240" s="56" t="str">
        <f aca="false">IF(J240="","",IF($H240=$I240,IF(OR(AND($G240="Higher is better",J240&gt;=$H240),AND($G240="Lower is better",J240&lt;=$H240)),A_Scoring_Model!$C$14,0),IF($G240="Higher is better",IF(J240&gt;=$H240,A_Scoring_Model!$C$14,IF(J240&lt;$I240,0,A_Scoring_Model!$C$15+(A_Scoring_Model!$C$14-A_Scoring_Model!$C$15)*(J240-$I240)/($H240-$I240))),IF(J240&lt;=$H240,A_Scoring_Model!$C$14,IF(J240&gt;$I240,0,A_Scoring_Model!$C$15+(A_Scoring_Model!$C$14-A_Scoring_Model!$C$15)*($I240-J240)/($I240-$H240))))))</f>
        <v/>
      </c>
      <c r="O240" s="56" t="str">
        <f aca="false">IF(K240="","",IF($H240=$I240,IF(OR(AND($G240="Higher is better",K240&gt;=$H240),AND($G240="Lower is better",K240&lt;=$H240)),A_Scoring_Model!$C$14,0),IF($G240="Higher is better",IF(K240&gt;=$H240,A_Scoring_Model!$C$14,IF(K240&lt;$I240,0,A_Scoring_Model!$C$15+(A_Scoring_Model!$C$14-A_Scoring_Model!$C$15)*(K240-$I240)/($H240-$I240))),IF(K240&lt;=$H240,A_Scoring_Model!$C$14,IF(K240&gt;$I240,0,A_Scoring_Model!$C$15+(A_Scoring_Model!$C$14-A_Scoring_Model!$C$15)*($I240-K240)/($I240-$H240))))))</f>
        <v/>
      </c>
      <c r="P240" s="56" t="str">
        <f aca="false">IF(L240="","",IF($H240=$I240,IF(OR(AND($G240="Higher is better",L240&gt;=$H240),AND($G240="Lower is better",L240&lt;=$H240)),A_Scoring_Model!$C$14,0),IF($G240="Higher is better",IF(L240&gt;=$H240,A_Scoring_Model!$C$14,IF(L240&lt;$I240,0,A_Scoring_Model!$C$15+(A_Scoring_Model!$C$14-A_Scoring_Model!$C$15)*(L240-$I240)/($H240-$I240))),IF(L240&lt;=$H240,A_Scoring_Model!$C$14,IF(L240&gt;$I240,0,A_Scoring_Model!$C$15+(A_Scoring_Model!$C$14-A_Scoring_Model!$C$15)*($I240-L240)/($I240-$H240))))))</f>
        <v/>
      </c>
      <c r="Q240" s="56" t="str">
        <f aca="false">IF(M240="","",IF($H240=$I240,IF(OR(AND($G240="Higher is better",M240&gt;=$H240),AND($G240="Lower is better",M240&lt;=$H240)),A_Scoring_Model!$C$14,0),IF($G240="Higher is better",IF(M240&gt;=$H240,A_Scoring_Model!$C$14,IF(M240&lt;$I240,0,A_Scoring_Model!$C$15+(A_Scoring_Model!$C$14-A_Scoring_Model!$C$15)*(M240-$I240)/($H240-$I240))),IF(M240&lt;=$H240,A_Scoring_Model!$C$14,IF(M240&gt;$I240,0,A_Scoring_Model!$C$15+(A_Scoring_Model!$C$14-A_Scoring_Model!$C$15)*($I240-M240)/($I240-$H240))))))</f>
        <v/>
      </c>
    </row>
    <row r="241" customFormat="false" ht="15" hidden="false" customHeight="false" outlineLevel="0" collapsed="false">
      <c r="A241" s="51" t="str">
        <f aca="false">C_KPI_Benchmark!A241</f>
        <v>4.c-D3-07</v>
      </c>
      <c r="B241" s="52" t="str">
        <f aca="false">C_KPI_Benchmark!D241</f>
        <v>4.c</v>
      </c>
      <c r="C241" s="51" t="str">
        <f aca="false">C_KPI_Benchmark!E241</f>
        <v>Access &amp; Security Recommender</v>
      </c>
      <c r="D241" s="52" t="str">
        <f aca="false">C_KPI_Benchmark!F241</f>
        <v>D3</v>
      </c>
      <c r="E241" s="51" t="str">
        <f aca="false">C_KPI_Benchmark!J241</f>
        <v>Time to evaluate 5k identities</v>
      </c>
      <c r="F241" s="52" t="str">
        <f aca="false">C_KPI_Benchmark!K241</f>
        <v>min</v>
      </c>
      <c r="G241" s="51" t="str">
        <f aca="false">C_KPI_Benchmark!L241</f>
        <v>Lower is better</v>
      </c>
      <c r="H241" s="62" t="n">
        <f aca="false">C_KPI_Benchmark!N241</f>
        <v>5</v>
      </c>
      <c r="I241" s="63" t="n">
        <f aca="false">IF(C_KPI_Benchmark!O241&lt;&gt;"",C_KPI_Benchmark!O241,IF(G241="Higher is better",H241*(1-A_Scoring_Model!$C$16),H241*(1+A_Scoring_Model!$C$16)))</f>
        <v>6</v>
      </c>
      <c r="J241" s="64"/>
      <c r="K241" s="64"/>
      <c r="L241" s="64"/>
      <c r="M241" s="64"/>
      <c r="N241" s="56" t="str">
        <f aca="false">IF(J241="","",IF($H241=$I241,IF(OR(AND($G241="Higher is better",J241&gt;=$H241),AND($G241="Lower is better",J241&lt;=$H241)),A_Scoring_Model!$C$14,0),IF($G241="Higher is better",IF(J241&gt;=$H241,A_Scoring_Model!$C$14,IF(J241&lt;$I241,0,A_Scoring_Model!$C$15+(A_Scoring_Model!$C$14-A_Scoring_Model!$C$15)*(J241-$I241)/($H241-$I241))),IF(J241&lt;=$H241,A_Scoring_Model!$C$14,IF(J241&gt;$I241,0,A_Scoring_Model!$C$15+(A_Scoring_Model!$C$14-A_Scoring_Model!$C$15)*($I241-J241)/($I241-$H241))))))</f>
        <v/>
      </c>
      <c r="O241" s="56" t="str">
        <f aca="false">IF(K241="","",IF($H241=$I241,IF(OR(AND($G241="Higher is better",K241&gt;=$H241),AND($G241="Lower is better",K241&lt;=$H241)),A_Scoring_Model!$C$14,0),IF($G241="Higher is better",IF(K241&gt;=$H241,A_Scoring_Model!$C$14,IF(K241&lt;$I241,0,A_Scoring_Model!$C$15+(A_Scoring_Model!$C$14-A_Scoring_Model!$C$15)*(K241-$I241)/($H241-$I241))),IF(K241&lt;=$H241,A_Scoring_Model!$C$14,IF(K241&gt;$I241,0,A_Scoring_Model!$C$15+(A_Scoring_Model!$C$14-A_Scoring_Model!$C$15)*($I241-K241)/($I241-$H241))))))</f>
        <v/>
      </c>
      <c r="P241" s="56" t="str">
        <f aca="false">IF(L241="","",IF($H241=$I241,IF(OR(AND($G241="Higher is better",L241&gt;=$H241),AND($G241="Lower is better",L241&lt;=$H241)),A_Scoring_Model!$C$14,0),IF($G241="Higher is better",IF(L241&gt;=$H241,A_Scoring_Model!$C$14,IF(L241&lt;$I241,0,A_Scoring_Model!$C$15+(A_Scoring_Model!$C$14-A_Scoring_Model!$C$15)*(L241-$I241)/($H241-$I241))),IF(L241&lt;=$H241,A_Scoring_Model!$C$14,IF(L241&gt;$I241,0,A_Scoring_Model!$C$15+(A_Scoring_Model!$C$14-A_Scoring_Model!$C$15)*($I241-L241)/($I241-$H241))))))</f>
        <v/>
      </c>
      <c r="Q241" s="56" t="str">
        <f aca="false">IF(M241="","",IF($H241=$I241,IF(OR(AND($G241="Higher is better",M241&gt;=$H241),AND($G241="Lower is better",M241&lt;=$H241)),A_Scoring_Model!$C$14,0),IF($G241="Higher is better",IF(M241&gt;=$H241,A_Scoring_Model!$C$14,IF(M241&lt;$I241,0,A_Scoring_Model!$C$15+(A_Scoring_Model!$C$14-A_Scoring_Model!$C$15)*(M241-$I241)/($H241-$I241))),IF(M241&lt;=$H241,A_Scoring_Model!$C$14,IF(M241&gt;$I241,0,A_Scoring_Model!$C$15+(A_Scoring_Model!$C$14-A_Scoring_Model!$C$15)*($I241-M241)/($I241-$H241))))))</f>
        <v/>
      </c>
    </row>
    <row r="242" customFormat="false" ht="15" hidden="false" customHeight="false" outlineLevel="0" collapsed="false">
      <c r="A242" s="51" t="str">
        <f aca="false">C_KPI_Benchmark!A242</f>
        <v>4.c-D3-08</v>
      </c>
      <c r="B242" s="52" t="str">
        <f aca="false">C_KPI_Benchmark!D242</f>
        <v>4.c</v>
      </c>
      <c r="C242" s="51" t="str">
        <f aca="false">C_KPI_Benchmark!E242</f>
        <v>Access &amp; Security Recommender</v>
      </c>
      <c r="D242" s="52" t="str">
        <f aca="false">C_KPI_Benchmark!F242</f>
        <v>D3</v>
      </c>
      <c r="E242" s="51" t="str">
        <f aca="false">C_KPI_Benchmark!J242</f>
        <v>Latency degradation at 10× load</v>
      </c>
      <c r="F242" s="52" t="str">
        <f aca="false">C_KPI_Benchmark!K242</f>
        <v>%</v>
      </c>
      <c r="G242" s="51" t="str">
        <f aca="false">C_KPI_Benchmark!L242</f>
        <v>Lower is better</v>
      </c>
      <c r="H242" s="53" t="n">
        <f aca="false">C_KPI_Benchmark!N242</f>
        <v>0.2</v>
      </c>
      <c r="I242" s="54" t="n">
        <f aca="false">IF(C_KPI_Benchmark!O242&lt;&gt;"",C_KPI_Benchmark!O242,IF(G242="Higher is better",H242*(1-A_Scoring_Model!$C$16),H242*(1+A_Scoring_Model!$C$16)))</f>
        <v>0.4</v>
      </c>
      <c r="J242" s="55"/>
      <c r="K242" s="55"/>
      <c r="L242" s="55"/>
      <c r="M242" s="55"/>
      <c r="N242" s="56" t="str">
        <f aca="false">IF(J242="","",IF($H242=$I242,IF(OR(AND($G242="Higher is better",J242&gt;=$H242),AND($G242="Lower is better",J242&lt;=$H242)),A_Scoring_Model!$C$14,0),IF($G242="Higher is better",IF(J242&gt;=$H242,A_Scoring_Model!$C$14,IF(J242&lt;$I242,0,A_Scoring_Model!$C$15+(A_Scoring_Model!$C$14-A_Scoring_Model!$C$15)*(J242-$I242)/($H242-$I242))),IF(J242&lt;=$H242,A_Scoring_Model!$C$14,IF(J242&gt;$I242,0,A_Scoring_Model!$C$15+(A_Scoring_Model!$C$14-A_Scoring_Model!$C$15)*($I242-J242)/($I242-$H242))))))</f>
        <v/>
      </c>
      <c r="O242" s="56" t="str">
        <f aca="false">IF(K242="","",IF($H242=$I242,IF(OR(AND($G242="Higher is better",K242&gt;=$H242),AND($G242="Lower is better",K242&lt;=$H242)),A_Scoring_Model!$C$14,0),IF($G242="Higher is better",IF(K242&gt;=$H242,A_Scoring_Model!$C$14,IF(K242&lt;$I242,0,A_Scoring_Model!$C$15+(A_Scoring_Model!$C$14-A_Scoring_Model!$C$15)*(K242-$I242)/($H242-$I242))),IF(K242&lt;=$H242,A_Scoring_Model!$C$14,IF(K242&gt;$I242,0,A_Scoring_Model!$C$15+(A_Scoring_Model!$C$14-A_Scoring_Model!$C$15)*($I242-K242)/($I242-$H242))))))</f>
        <v/>
      </c>
      <c r="P242" s="56" t="str">
        <f aca="false">IF(L242="","",IF($H242=$I242,IF(OR(AND($G242="Higher is better",L242&gt;=$H242),AND($G242="Lower is better",L242&lt;=$H242)),A_Scoring_Model!$C$14,0),IF($G242="Higher is better",IF(L242&gt;=$H242,A_Scoring_Model!$C$14,IF(L242&lt;$I242,0,A_Scoring_Model!$C$15+(A_Scoring_Model!$C$14-A_Scoring_Model!$C$15)*(L242-$I242)/($H242-$I242))),IF(L242&lt;=$H242,A_Scoring_Model!$C$14,IF(L242&gt;$I242,0,A_Scoring_Model!$C$15+(A_Scoring_Model!$C$14-A_Scoring_Model!$C$15)*($I242-L242)/($I242-$H242))))))</f>
        <v/>
      </c>
      <c r="Q242" s="56" t="str">
        <f aca="false">IF(M242="","",IF($H242=$I242,IF(OR(AND($G242="Higher is better",M242&gt;=$H242),AND($G242="Lower is better",M242&lt;=$H242)),A_Scoring_Model!$C$14,0),IF($G242="Higher is better",IF(M242&gt;=$H242,A_Scoring_Model!$C$14,IF(M242&lt;$I242,0,A_Scoring_Model!$C$15+(A_Scoring_Model!$C$14-A_Scoring_Model!$C$15)*(M242-$I242)/($H242-$I242))),IF(M242&lt;=$H242,A_Scoring_Model!$C$14,IF(M242&gt;$I242,0,A_Scoring_Model!$C$15+(A_Scoring_Model!$C$14-A_Scoring_Model!$C$15)*($I242-M242)/($I242-$H242))))))</f>
        <v/>
      </c>
    </row>
    <row r="243" customFormat="false" ht="15" hidden="false" customHeight="false" outlineLevel="0" collapsed="false">
      <c r="A243" s="51" t="str">
        <f aca="false">C_KPI_Benchmark!A243</f>
        <v>4.c-D4-09</v>
      </c>
      <c r="B243" s="52" t="str">
        <f aca="false">C_KPI_Benchmark!D243</f>
        <v>4.c</v>
      </c>
      <c r="C243" s="51" t="str">
        <f aca="false">C_KPI_Benchmark!E243</f>
        <v>Access &amp; Security Recommender</v>
      </c>
      <c r="D243" s="52" t="str">
        <f aca="false">C_KPI_Benchmark!F243</f>
        <v>D4</v>
      </c>
      <c r="E243" s="51" t="str">
        <f aca="false">C_KPI_Benchmark!J243</f>
        <v>Auto-grants without approval</v>
      </c>
      <c r="F243" s="52" t="str">
        <f aca="false">C_KPI_Benchmark!K243</f>
        <v>count</v>
      </c>
      <c r="G243" s="51" t="str">
        <f aca="false">C_KPI_Benchmark!L243</f>
        <v>Lower is better</v>
      </c>
      <c r="H243" s="62" t="n">
        <f aca="false">C_KPI_Benchmark!N243</f>
        <v>0</v>
      </c>
      <c r="I243" s="63" t="n">
        <f aca="false">IF(C_KPI_Benchmark!O243&lt;&gt;"",C_KPI_Benchmark!O243,IF(G243="Higher is better",H243*(1-A_Scoring_Model!$C$16),H243*(1+A_Scoring_Model!$C$16)))</f>
        <v>0</v>
      </c>
      <c r="J243" s="64"/>
      <c r="K243" s="64"/>
      <c r="L243" s="64"/>
      <c r="M243" s="64"/>
      <c r="N243" s="56" t="str">
        <f aca="false">IF(J243="","",IF($H243=$I243,IF(OR(AND($G243="Higher is better",J243&gt;=$H243),AND($G243="Lower is better",J243&lt;=$H243)),A_Scoring_Model!$C$14,0),IF($G243="Higher is better",IF(J243&gt;=$H243,A_Scoring_Model!$C$14,IF(J243&lt;$I243,0,A_Scoring_Model!$C$15+(A_Scoring_Model!$C$14-A_Scoring_Model!$C$15)*(J243-$I243)/($H243-$I243))),IF(J243&lt;=$H243,A_Scoring_Model!$C$14,IF(J243&gt;$I243,0,A_Scoring_Model!$C$15+(A_Scoring_Model!$C$14-A_Scoring_Model!$C$15)*($I243-J243)/($I243-$H243))))))</f>
        <v/>
      </c>
      <c r="O243" s="56" t="str">
        <f aca="false">IF(K243="","",IF($H243=$I243,IF(OR(AND($G243="Higher is better",K243&gt;=$H243),AND($G243="Lower is better",K243&lt;=$H243)),A_Scoring_Model!$C$14,0),IF($G243="Higher is better",IF(K243&gt;=$H243,A_Scoring_Model!$C$14,IF(K243&lt;$I243,0,A_Scoring_Model!$C$15+(A_Scoring_Model!$C$14-A_Scoring_Model!$C$15)*(K243-$I243)/($H243-$I243))),IF(K243&lt;=$H243,A_Scoring_Model!$C$14,IF(K243&gt;$I243,0,A_Scoring_Model!$C$15+(A_Scoring_Model!$C$14-A_Scoring_Model!$C$15)*($I243-K243)/($I243-$H243))))))</f>
        <v/>
      </c>
      <c r="P243" s="56" t="str">
        <f aca="false">IF(L243="","",IF($H243=$I243,IF(OR(AND($G243="Higher is better",L243&gt;=$H243),AND($G243="Lower is better",L243&lt;=$H243)),A_Scoring_Model!$C$14,0),IF($G243="Higher is better",IF(L243&gt;=$H243,A_Scoring_Model!$C$14,IF(L243&lt;$I243,0,A_Scoring_Model!$C$15+(A_Scoring_Model!$C$14-A_Scoring_Model!$C$15)*(L243-$I243)/($H243-$I243))),IF(L243&lt;=$H243,A_Scoring_Model!$C$14,IF(L243&gt;$I243,0,A_Scoring_Model!$C$15+(A_Scoring_Model!$C$14-A_Scoring_Model!$C$15)*($I243-L243)/($I243-$H243))))))</f>
        <v/>
      </c>
      <c r="Q243" s="56" t="str">
        <f aca="false">IF(M243="","",IF($H243=$I243,IF(OR(AND($G243="Higher is better",M243&gt;=$H243),AND($G243="Lower is better",M243&lt;=$H243)),A_Scoring_Model!$C$14,0),IF($G243="Higher is better",IF(M243&gt;=$H243,A_Scoring_Model!$C$14,IF(M243&lt;$I243,0,A_Scoring_Model!$C$15+(A_Scoring_Model!$C$14-A_Scoring_Model!$C$15)*(M243-$I243)/($H243-$I243))),IF(M243&lt;=$H243,A_Scoring_Model!$C$14,IF(M243&gt;$I243,0,A_Scoring_Model!$C$15+(A_Scoring_Model!$C$14-A_Scoring_Model!$C$15)*($I243-M243)/($I243-$H243))))))</f>
        <v/>
      </c>
    </row>
    <row r="244" customFormat="false" ht="15" hidden="false" customHeight="false" outlineLevel="0" collapsed="false">
      <c r="A244" s="51" t="str">
        <f aca="false">C_KPI_Benchmark!A244</f>
        <v>4.c-D4-10</v>
      </c>
      <c r="B244" s="52" t="str">
        <f aca="false">C_KPI_Benchmark!D244</f>
        <v>4.c</v>
      </c>
      <c r="C244" s="51" t="str">
        <f aca="false">C_KPI_Benchmark!E244</f>
        <v>Access &amp; Security Recommender</v>
      </c>
      <c r="D244" s="52" t="str">
        <f aca="false">C_KPI_Benchmark!F244</f>
        <v>D4</v>
      </c>
      <c r="E244" s="51" t="str">
        <f aca="false">C_KPI_Benchmark!J244</f>
        <v>Service availability</v>
      </c>
      <c r="F244" s="52" t="str">
        <f aca="false">C_KPI_Benchmark!K244</f>
        <v>%</v>
      </c>
      <c r="G244" s="51" t="str">
        <f aca="false">C_KPI_Benchmark!L244</f>
        <v>Higher is better</v>
      </c>
      <c r="H244" s="53" t="n">
        <f aca="false">C_KPI_Benchmark!N244</f>
        <v>0.995</v>
      </c>
      <c r="I244" s="54" t="n">
        <f aca="false">IF(C_KPI_Benchmark!O244&lt;&gt;"",C_KPI_Benchmark!O244,IF(G244="Higher is better",H244*(1-A_Scoring_Model!$C$16),H244*(1+A_Scoring_Model!$C$16)))</f>
        <v>0.99</v>
      </c>
      <c r="J244" s="55"/>
      <c r="K244" s="55"/>
      <c r="L244" s="55"/>
      <c r="M244" s="55"/>
      <c r="N244" s="56" t="str">
        <f aca="false">IF(J244="","",IF($H244=$I244,IF(OR(AND($G244="Higher is better",J244&gt;=$H244),AND($G244="Lower is better",J244&lt;=$H244)),A_Scoring_Model!$C$14,0),IF($G244="Higher is better",IF(J244&gt;=$H244,A_Scoring_Model!$C$14,IF(J244&lt;$I244,0,A_Scoring_Model!$C$15+(A_Scoring_Model!$C$14-A_Scoring_Model!$C$15)*(J244-$I244)/($H244-$I244))),IF(J244&lt;=$H244,A_Scoring_Model!$C$14,IF(J244&gt;$I244,0,A_Scoring_Model!$C$15+(A_Scoring_Model!$C$14-A_Scoring_Model!$C$15)*($I244-J244)/($I244-$H244))))))</f>
        <v/>
      </c>
      <c r="O244" s="56" t="str">
        <f aca="false">IF(K244="","",IF($H244=$I244,IF(OR(AND($G244="Higher is better",K244&gt;=$H244),AND($G244="Lower is better",K244&lt;=$H244)),A_Scoring_Model!$C$14,0),IF($G244="Higher is better",IF(K244&gt;=$H244,A_Scoring_Model!$C$14,IF(K244&lt;$I244,0,A_Scoring_Model!$C$15+(A_Scoring_Model!$C$14-A_Scoring_Model!$C$15)*(K244-$I244)/($H244-$I244))),IF(K244&lt;=$H244,A_Scoring_Model!$C$14,IF(K244&gt;$I244,0,A_Scoring_Model!$C$15+(A_Scoring_Model!$C$14-A_Scoring_Model!$C$15)*($I244-K244)/($I244-$H244))))))</f>
        <v/>
      </c>
      <c r="P244" s="56" t="str">
        <f aca="false">IF(L244="","",IF($H244=$I244,IF(OR(AND($G244="Higher is better",L244&gt;=$H244),AND($G244="Lower is better",L244&lt;=$H244)),A_Scoring_Model!$C$14,0),IF($G244="Higher is better",IF(L244&gt;=$H244,A_Scoring_Model!$C$14,IF(L244&lt;$I244,0,A_Scoring_Model!$C$15+(A_Scoring_Model!$C$14-A_Scoring_Model!$C$15)*(L244-$I244)/($H244-$I244))),IF(L244&lt;=$H244,A_Scoring_Model!$C$14,IF(L244&gt;$I244,0,A_Scoring_Model!$C$15+(A_Scoring_Model!$C$14-A_Scoring_Model!$C$15)*($I244-L244)/($I244-$H244))))))</f>
        <v/>
      </c>
      <c r="Q244" s="56" t="str">
        <f aca="false">IF(M244="","",IF($H244=$I244,IF(OR(AND($G244="Higher is better",M244&gt;=$H244),AND($G244="Lower is better",M244&lt;=$H244)),A_Scoring_Model!$C$14,0),IF($G244="Higher is better",IF(M244&gt;=$H244,A_Scoring_Model!$C$14,IF(M244&lt;$I244,0,A_Scoring_Model!$C$15+(A_Scoring_Model!$C$14-A_Scoring_Model!$C$15)*(M244-$I244)/($H244-$I244))),IF(M244&lt;=$H244,A_Scoring_Model!$C$14,IF(M244&gt;$I244,0,A_Scoring_Model!$C$15+(A_Scoring_Model!$C$14-A_Scoring_Model!$C$15)*($I244-M244)/($I244-$H244))))))</f>
        <v/>
      </c>
    </row>
    <row r="245" customFormat="false" ht="15" hidden="false" customHeight="false" outlineLevel="0" collapsed="false">
      <c r="A245" s="51" t="str">
        <f aca="false">C_KPI_Benchmark!A245</f>
        <v>4.c-D5-11</v>
      </c>
      <c r="B245" s="52" t="str">
        <f aca="false">C_KPI_Benchmark!D245</f>
        <v>4.c</v>
      </c>
      <c r="C245" s="51" t="str">
        <f aca="false">C_KPI_Benchmark!E245</f>
        <v>Access &amp; Security Recommender</v>
      </c>
      <c r="D245" s="52" t="str">
        <f aca="false">C_KPI_Benchmark!F245</f>
        <v>D5</v>
      </c>
      <c r="E245" s="51" t="str">
        <f aca="false">C_KPI_Benchmark!J245</f>
        <v>Access provisioning time reduction</v>
      </c>
      <c r="F245" s="52" t="str">
        <f aca="false">C_KPI_Benchmark!K245</f>
        <v>%</v>
      </c>
      <c r="G245" s="51" t="str">
        <f aca="false">C_KPI_Benchmark!L245</f>
        <v>Higher is better</v>
      </c>
      <c r="H245" s="53" t="n">
        <f aca="false">C_KPI_Benchmark!N245</f>
        <v>0.5</v>
      </c>
      <c r="I245" s="54" t="n">
        <f aca="false">IF(C_KPI_Benchmark!O245&lt;&gt;"",C_KPI_Benchmark!O245,IF(G245="Higher is better",H245*(1-A_Scoring_Model!$C$16),H245*(1+A_Scoring_Model!$C$16)))</f>
        <v>0.4</v>
      </c>
      <c r="J245" s="55"/>
      <c r="K245" s="55"/>
      <c r="L245" s="55"/>
      <c r="M245" s="55"/>
      <c r="N245" s="56" t="str">
        <f aca="false">IF(J245="","",IF($H245=$I245,IF(OR(AND($G245="Higher is better",J245&gt;=$H245),AND($G245="Lower is better",J245&lt;=$H245)),A_Scoring_Model!$C$14,0),IF($G245="Higher is better",IF(J245&gt;=$H245,A_Scoring_Model!$C$14,IF(J245&lt;$I245,0,A_Scoring_Model!$C$15+(A_Scoring_Model!$C$14-A_Scoring_Model!$C$15)*(J245-$I245)/($H245-$I245))),IF(J245&lt;=$H245,A_Scoring_Model!$C$14,IF(J245&gt;$I245,0,A_Scoring_Model!$C$15+(A_Scoring_Model!$C$14-A_Scoring_Model!$C$15)*($I245-J245)/($I245-$H245))))))</f>
        <v/>
      </c>
      <c r="O245" s="56" t="str">
        <f aca="false">IF(K245="","",IF($H245=$I245,IF(OR(AND($G245="Higher is better",K245&gt;=$H245),AND($G245="Lower is better",K245&lt;=$H245)),A_Scoring_Model!$C$14,0),IF($G245="Higher is better",IF(K245&gt;=$H245,A_Scoring_Model!$C$14,IF(K245&lt;$I245,0,A_Scoring_Model!$C$15+(A_Scoring_Model!$C$14-A_Scoring_Model!$C$15)*(K245-$I245)/($H245-$I245))),IF(K245&lt;=$H245,A_Scoring_Model!$C$14,IF(K245&gt;$I245,0,A_Scoring_Model!$C$15+(A_Scoring_Model!$C$14-A_Scoring_Model!$C$15)*($I245-K245)/($I245-$H245))))))</f>
        <v/>
      </c>
      <c r="P245" s="56" t="str">
        <f aca="false">IF(L245="","",IF($H245=$I245,IF(OR(AND($G245="Higher is better",L245&gt;=$H245),AND($G245="Lower is better",L245&lt;=$H245)),A_Scoring_Model!$C$14,0),IF($G245="Higher is better",IF(L245&gt;=$H245,A_Scoring_Model!$C$14,IF(L245&lt;$I245,0,A_Scoring_Model!$C$15+(A_Scoring_Model!$C$14-A_Scoring_Model!$C$15)*(L245-$I245)/($H245-$I245))),IF(L245&lt;=$H245,A_Scoring_Model!$C$14,IF(L245&gt;$I245,0,A_Scoring_Model!$C$15+(A_Scoring_Model!$C$14-A_Scoring_Model!$C$15)*($I245-L245)/($I245-$H245))))))</f>
        <v/>
      </c>
      <c r="Q245" s="56" t="str">
        <f aca="false">IF(M245="","",IF($H245=$I245,IF(OR(AND($G245="Higher is better",M245&gt;=$H245),AND($G245="Lower is better",M245&lt;=$H245)),A_Scoring_Model!$C$14,0),IF($G245="Higher is better",IF(M245&gt;=$H245,A_Scoring_Model!$C$14,IF(M245&lt;$I245,0,A_Scoring_Model!$C$15+(A_Scoring_Model!$C$14-A_Scoring_Model!$C$15)*(M245-$I245)/($H245-$I245))),IF(M245&lt;=$H245,A_Scoring_Model!$C$14,IF(M245&gt;$I245,0,A_Scoring_Model!$C$15+(A_Scoring_Model!$C$14-A_Scoring_Model!$C$15)*($I245-M245)/($I245-$H245))))))</f>
        <v/>
      </c>
    </row>
    <row r="246" customFormat="false" ht="15" hidden="false" customHeight="false" outlineLevel="0" collapsed="false">
      <c r="A246" s="51" t="str">
        <f aca="false">C_KPI_Benchmark!A246</f>
        <v>4.c-D6-12</v>
      </c>
      <c r="B246" s="52" t="str">
        <f aca="false">C_KPI_Benchmark!D246</f>
        <v>4.c</v>
      </c>
      <c r="C246" s="51" t="str">
        <f aca="false">C_KPI_Benchmark!E246</f>
        <v>Access &amp; Security Recommender</v>
      </c>
      <c r="D246" s="52" t="str">
        <f aca="false">C_KPI_Benchmark!F246</f>
        <v>D6</v>
      </c>
      <c r="E246" s="51" t="str">
        <f aca="false">C_KPI_Benchmark!J246</f>
        <v>Solution code test coverage</v>
      </c>
      <c r="F246" s="52" t="str">
        <f aca="false">C_KPI_Benchmark!K246</f>
        <v>%</v>
      </c>
      <c r="G246" s="51" t="str">
        <f aca="false">C_KPI_Benchmark!L246</f>
        <v>Higher is better</v>
      </c>
      <c r="H246" s="53" t="n">
        <f aca="false">C_KPI_Benchmark!N246</f>
        <v>0.8</v>
      </c>
      <c r="I246" s="54" t="n">
        <f aca="false">IF(C_KPI_Benchmark!O246&lt;&gt;"",C_KPI_Benchmark!O246,IF(G246="Higher is better",H246*(1-A_Scoring_Model!$C$16),H246*(1+A_Scoring_Model!$C$16)))</f>
        <v>0.6</v>
      </c>
      <c r="J246" s="55"/>
      <c r="K246" s="55"/>
      <c r="L246" s="55"/>
      <c r="M246" s="55"/>
      <c r="N246" s="56" t="str">
        <f aca="false">IF(J246="","",IF($H246=$I246,IF(OR(AND($G246="Higher is better",J246&gt;=$H246),AND($G246="Lower is better",J246&lt;=$H246)),A_Scoring_Model!$C$14,0),IF($G246="Higher is better",IF(J246&gt;=$H246,A_Scoring_Model!$C$14,IF(J246&lt;$I246,0,A_Scoring_Model!$C$15+(A_Scoring_Model!$C$14-A_Scoring_Model!$C$15)*(J246-$I246)/($H246-$I246))),IF(J246&lt;=$H246,A_Scoring_Model!$C$14,IF(J246&gt;$I246,0,A_Scoring_Model!$C$15+(A_Scoring_Model!$C$14-A_Scoring_Model!$C$15)*($I246-J246)/($I246-$H246))))))</f>
        <v/>
      </c>
      <c r="O246" s="56" t="str">
        <f aca="false">IF(K246="","",IF($H246=$I246,IF(OR(AND($G246="Higher is better",K246&gt;=$H246),AND($G246="Lower is better",K246&lt;=$H246)),A_Scoring_Model!$C$14,0),IF($G246="Higher is better",IF(K246&gt;=$H246,A_Scoring_Model!$C$14,IF(K246&lt;$I246,0,A_Scoring_Model!$C$15+(A_Scoring_Model!$C$14-A_Scoring_Model!$C$15)*(K246-$I246)/($H246-$I246))),IF(K246&lt;=$H246,A_Scoring_Model!$C$14,IF(K246&gt;$I246,0,A_Scoring_Model!$C$15+(A_Scoring_Model!$C$14-A_Scoring_Model!$C$15)*($I246-K246)/($I246-$H246))))))</f>
        <v/>
      </c>
      <c r="P246" s="56" t="str">
        <f aca="false">IF(L246="","",IF($H246=$I246,IF(OR(AND($G246="Higher is better",L246&gt;=$H246),AND($G246="Lower is better",L246&lt;=$H246)),A_Scoring_Model!$C$14,0),IF($G246="Higher is better",IF(L246&gt;=$H246,A_Scoring_Model!$C$14,IF(L246&lt;$I246,0,A_Scoring_Model!$C$15+(A_Scoring_Model!$C$14-A_Scoring_Model!$C$15)*(L246-$I246)/($H246-$I246))),IF(L246&lt;=$H246,A_Scoring_Model!$C$14,IF(L246&gt;$I246,0,A_Scoring_Model!$C$15+(A_Scoring_Model!$C$14-A_Scoring_Model!$C$15)*($I246-L246)/($I246-$H246))))))</f>
        <v/>
      </c>
      <c r="Q246" s="56" t="str">
        <f aca="false">IF(M246="","",IF($H246=$I246,IF(OR(AND($G246="Higher is better",M246&gt;=$H246),AND($G246="Lower is better",M246&lt;=$H246)),A_Scoring_Model!$C$14,0),IF($G246="Higher is better",IF(M246&gt;=$H246,A_Scoring_Model!$C$14,IF(M246&lt;$I246,0,A_Scoring_Model!$C$15+(A_Scoring_Model!$C$14-A_Scoring_Model!$C$15)*(M246-$I246)/($H246-$I246))),IF(M246&lt;=$H246,A_Scoring_Model!$C$14,IF(M246&gt;$I246,0,A_Scoring_Model!$C$15+(A_Scoring_Model!$C$14-A_Scoring_Model!$C$15)*($I246-M246)/($I246-$H246))))))</f>
        <v/>
      </c>
    </row>
    <row r="247" customFormat="false" ht="15" hidden="false" customHeight="false" outlineLevel="0" collapsed="false">
      <c r="A247" s="51" t="str">
        <f aca="false">C_KPI_Benchmark!A247</f>
        <v>4.c-D6-13</v>
      </c>
      <c r="B247" s="52" t="str">
        <f aca="false">C_KPI_Benchmark!D247</f>
        <v>4.c</v>
      </c>
      <c r="C247" s="51" t="str">
        <f aca="false">C_KPI_Benchmark!E247</f>
        <v>Access &amp; Security Recommender</v>
      </c>
      <c r="D247" s="52" t="str">
        <f aca="false">C_KPI_Benchmark!F247</f>
        <v>D6</v>
      </c>
      <c r="E247" s="51" t="str">
        <f aca="false">C_KPI_Benchmark!J247</f>
        <v>Review Shield critical findings</v>
      </c>
      <c r="F247" s="52" t="str">
        <f aca="false">C_KPI_Benchmark!K247</f>
        <v>count</v>
      </c>
      <c r="G247" s="51" t="str">
        <f aca="false">C_KPI_Benchmark!L247</f>
        <v>Lower is better</v>
      </c>
      <c r="H247" s="62" t="n">
        <f aca="false">C_KPI_Benchmark!N247</f>
        <v>0</v>
      </c>
      <c r="I247" s="63" t="n">
        <f aca="false">IF(C_KPI_Benchmark!O247&lt;&gt;"",C_KPI_Benchmark!O247,IF(G247="Higher is better",H247*(1-A_Scoring_Model!$C$16),H247*(1+A_Scoring_Model!$C$16)))</f>
        <v>0</v>
      </c>
      <c r="J247" s="64"/>
      <c r="K247" s="64"/>
      <c r="L247" s="64"/>
      <c r="M247" s="64"/>
      <c r="N247" s="56" t="str">
        <f aca="false">IF(J247="","",IF($H247=$I247,IF(OR(AND($G247="Higher is better",J247&gt;=$H247),AND($G247="Lower is better",J247&lt;=$H247)),A_Scoring_Model!$C$14,0),IF($G247="Higher is better",IF(J247&gt;=$H247,A_Scoring_Model!$C$14,IF(J247&lt;$I247,0,A_Scoring_Model!$C$15+(A_Scoring_Model!$C$14-A_Scoring_Model!$C$15)*(J247-$I247)/($H247-$I247))),IF(J247&lt;=$H247,A_Scoring_Model!$C$14,IF(J247&gt;$I247,0,A_Scoring_Model!$C$15+(A_Scoring_Model!$C$14-A_Scoring_Model!$C$15)*($I247-J247)/($I247-$H247))))))</f>
        <v/>
      </c>
      <c r="O247" s="56" t="str">
        <f aca="false">IF(K247="","",IF($H247=$I247,IF(OR(AND($G247="Higher is better",K247&gt;=$H247),AND($G247="Lower is better",K247&lt;=$H247)),A_Scoring_Model!$C$14,0),IF($G247="Higher is better",IF(K247&gt;=$H247,A_Scoring_Model!$C$14,IF(K247&lt;$I247,0,A_Scoring_Model!$C$15+(A_Scoring_Model!$C$14-A_Scoring_Model!$C$15)*(K247-$I247)/($H247-$I247))),IF(K247&lt;=$H247,A_Scoring_Model!$C$14,IF(K247&gt;$I247,0,A_Scoring_Model!$C$15+(A_Scoring_Model!$C$14-A_Scoring_Model!$C$15)*($I247-K247)/($I247-$H247))))))</f>
        <v/>
      </c>
      <c r="P247" s="56" t="str">
        <f aca="false">IF(L247="","",IF($H247=$I247,IF(OR(AND($G247="Higher is better",L247&gt;=$H247),AND($G247="Lower is better",L247&lt;=$H247)),A_Scoring_Model!$C$14,0),IF($G247="Higher is better",IF(L247&gt;=$H247,A_Scoring_Model!$C$14,IF(L247&lt;$I247,0,A_Scoring_Model!$C$15+(A_Scoring_Model!$C$14-A_Scoring_Model!$C$15)*(L247-$I247)/($H247-$I247))),IF(L247&lt;=$H247,A_Scoring_Model!$C$14,IF(L247&gt;$I247,0,A_Scoring_Model!$C$15+(A_Scoring_Model!$C$14-A_Scoring_Model!$C$15)*($I247-L247)/($I247-$H247))))))</f>
        <v/>
      </c>
      <c r="Q247" s="56" t="str">
        <f aca="false">IF(M247="","",IF($H247=$I247,IF(OR(AND($G247="Higher is better",M247&gt;=$H247),AND($G247="Lower is better",M247&lt;=$H247)),A_Scoring_Model!$C$14,0),IF($G247="Higher is better",IF(M247&gt;=$H247,A_Scoring_Model!$C$14,IF(M247&lt;$I247,0,A_Scoring_Model!$C$15+(A_Scoring_Model!$C$14-A_Scoring_Model!$C$15)*(M247-$I247)/($H247-$I247))),IF(M247&lt;=$H247,A_Scoring_Model!$C$14,IF(M247&gt;$I247,0,A_Scoring_Model!$C$15+(A_Scoring_Model!$C$14-A_Scoring_Model!$C$15)*($I247-M247)/($I247-$H247))))))</f>
        <v/>
      </c>
    </row>
    <row r="248" customFormat="false" ht="15" hidden="false" customHeight="false" outlineLevel="0" collapsed="false">
      <c r="A248" s="51" t="str">
        <f aca="false">C_KPI_Benchmark!A248</f>
        <v>4.c-D6-14</v>
      </c>
      <c r="B248" s="52" t="str">
        <f aca="false">C_KPI_Benchmark!D248</f>
        <v>4.c</v>
      </c>
      <c r="C248" s="51" t="str">
        <f aca="false">C_KPI_Benchmark!E248</f>
        <v>Access &amp; Security Recommender</v>
      </c>
      <c r="D248" s="52" t="str">
        <f aca="false">C_KPI_Benchmark!F248</f>
        <v>D6</v>
      </c>
      <c r="E248" s="51" t="str">
        <f aca="false">C_KPI_Benchmark!J248</f>
        <v>SAST high findings and exposed secrets</v>
      </c>
      <c r="F248" s="52" t="str">
        <f aca="false">C_KPI_Benchmark!K248</f>
        <v>count</v>
      </c>
      <c r="G248" s="51" t="str">
        <f aca="false">C_KPI_Benchmark!L248</f>
        <v>Lower is better</v>
      </c>
      <c r="H248" s="62" t="n">
        <f aca="false">C_KPI_Benchmark!N248</f>
        <v>0</v>
      </c>
      <c r="I248" s="63" t="n">
        <f aca="false">IF(C_KPI_Benchmark!O248&lt;&gt;"",C_KPI_Benchmark!O248,IF(G248="Higher is better",H248*(1-A_Scoring_Model!$C$16),H248*(1+A_Scoring_Model!$C$16)))</f>
        <v>0</v>
      </c>
      <c r="J248" s="64"/>
      <c r="K248" s="64"/>
      <c r="L248" s="64"/>
      <c r="M248" s="64"/>
      <c r="N248" s="56" t="str">
        <f aca="false">IF(J248="","",IF($H248=$I248,IF(OR(AND($G248="Higher is better",J248&gt;=$H248),AND($G248="Lower is better",J248&lt;=$H248)),A_Scoring_Model!$C$14,0),IF($G248="Higher is better",IF(J248&gt;=$H248,A_Scoring_Model!$C$14,IF(J248&lt;$I248,0,A_Scoring_Model!$C$15+(A_Scoring_Model!$C$14-A_Scoring_Model!$C$15)*(J248-$I248)/($H248-$I248))),IF(J248&lt;=$H248,A_Scoring_Model!$C$14,IF(J248&gt;$I248,0,A_Scoring_Model!$C$15+(A_Scoring_Model!$C$14-A_Scoring_Model!$C$15)*($I248-J248)/($I248-$H248))))))</f>
        <v/>
      </c>
      <c r="O248" s="56" t="str">
        <f aca="false">IF(K248="","",IF($H248=$I248,IF(OR(AND($G248="Higher is better",K248&gt;=$H248),AND($G248="Lower is better",K248&lt;=$H248)),A_Scoring_Model!$C$14,0),IF($G248="Higher is better",IF(K248&gt;=$H248,A_Scoring_Model!$C$14,IF(K248&lt;$I248,0,A_Scoring_Model!$C$15+(A_Scoring_Model!$C$14-A_Scoring_Model!$C$15)*(K248-$I248)/($H248-$I248))),IF(K248&lt;=$H248,A_Scoring_Model!$C$14,IF(K248&gt;$I248,0,A_Scoring_Model!$C$15+(A_Scoring_Model!$C$14-A_Scoring_Model!$C$15)*($I248-K248)/($I248-$H248))))))</f>
        <v/>
      </c>
      <c r="P248" s="56" t="str">
        <f aca="false">IF(L248="","",IF($H248=$I248,IF(OR(AND($G248="Higher is better",L248&gt;=$H248),AND($G248="Lower is better",L248&lt;=$H248)),A_Scoring_Model!$C$14,0),IF($G248="Higher is better",IF(L248&gt;=$H248,A_Scoring_Model!$C$14,IF(L248&lt;$I248,0,A_Scoring_Model!$C$15+(A_Scoring_Model!$C$14-A_Scoring_Model!$C$15)*(L248-$I248)/($H248-$I248))),IF(L248&lt;=$H248,A_Scoring_Model!$C$14,IF(L248&gt;$I248,0,A_Scoring_Model!$C$15+(A_Scoring_Model!$C$14-A_Scoring_Model!$C$15)*($I248-L248)/($I248-$H248))))))</f>
        <v/>
      </c>
      <c r="Q248" s="56" t="str">
        <f aca="false">IF(M248="","",IF($H248=$I248,IF(OR(AND($G248="Higher is better",M248&gt;=$H248),AND($G248="Lower is better",M248&lt;=$H248)),A_Scoring_Model!$C$14,0),IF($G248="Higher is better",IF(M248&gt;=$H248,A_Scoring_Model!$C$14,IF(M248&lt;$I248,0,A_Scoring_Model!$C$15+(A_Scoring_Model!$C$14-A_Scoring_Model!$C$15)*(M248-$I248)/($H248-$I248))),IF(M248&lt;=$H248,A_Scoring_Model!$C$14,IF(M248&gt;$I248,0,A_Scoring_Model!$C$15+(A_Scoring_Model!$C$14-A_Scoring_Model!$C$15)*($I248-M248)/($I248-$H248))))))</f>
        <v/>
      </c>
    </row>
    <row r="249" customFormat="false" ht="23.85" hidden="false" customHeight="false" outlineLevel="0" collapsed="false">
      <c r="A249" s="51" t="str">
        <f aca="false">C_KPI_Benchmark!A249</f>
        <v>4.c-D6-15</v>
      </c>
      <c r="B249" s="52" t="str">
        <f aca="false">C_KPI_Benchmark!D249</f>
        <v>4.c</v>
      </c>
      <c r="C249" s="51" t="str">
        <f aca="false">C_KPI_Benchmark!E249</f>
        <v>Access &amp; Security Recommender</v>
      </c>
      <c r="D249" s="52" t="str">
        <f aca="false">C_KPI_Benchmark!F249</f>
        <v>D6</v>
      </c>
      <c r="E249" s="51" t="str">
        <f aca="false">C_KPI_Benchmark!J249</f>
        <v>Documentation pack complete (README, I/O contract, model card, runbook)</v>
      </c>
      <c r="F249" s="52" t="str">
        <f aca="false">C_KPI_Benchmark!K249</f>
        <v>Yes/No</v>
      </c>
      <c r="G249" s="51" t="str">
        <f aca="false">C_KPI_Benchmark!L249</f>
        <v>Higher is better</v>
      </c>
      <c r="H249" s="60" t="n">
        <f aca="false">C_KPI_Benchmark!N249</f>
        <v>1</v>
      </c>
      <c r="I249" s="56" t="n">
        <f aca="false">IF(C_KPI_Benchmark!O249&lt;&gt;"",C_KPI_Benchmark!O249,IF(G249="Higher is better",H249*(1-A_Scoring_Model!$C$16),H249*(1+A_Scoring_Model!$C$16)))</f>
        <v>0.8</v>
      </c>
      <c r="J249" s="61"/>
      <c r="K249" s="61"/>
      <c r="L249" s="61"/>
      <c r="M249" s="61"/>
      <c r="N249" s="56" t="str">
        <f aca="false">IF(J249="","",IF($H249=$I249,IF(OR(AND($G249="Higher is better",J249&gt;=$H249),AND($G249="Lower is better",J249&lt;=$H249)),A_Scoring_Model!$C$14,0),IF($G249="Higher is better",IF(J249&gt;=$H249,A_Scoring_Model!$C$14,IF(J249&lt;$I249,0,A_Scoring_Model!$C$15+(A_Scoring_Model!$C$14-A_Scoring_Model!$C$15)*(J249-$I249)/($H249-$I249))),IF(J249&lt;=$H249,A_Scoring_Model!$C$14,IF(J249&gt;$I249,0,A_Scoring_Model!$C$15+(A_Scoring_Model!$C$14-A_Scoring_Model!$C$15)*($I249-J249)/($I249-$H249))))))</f>
        <v/>
      </c>
      <c r="O249" s="56" t="str">
        <f aca="false">IF(K249="","",IF($H249=$I249,IF(OR(AND($G249="Higher is better",K249&gt;=$H249),AND($G249="Lower is better",K249&lt;=$H249)),A_Scoring_Model!$C$14,0),IF($G249="Higher is better",IF(K249&gt;=$H249,A_Scoring_Model!$C$14,IF(K249&lt;$I249,0,A_Scoring_Model!$C$15+(A_Scoring_Model!$C$14-A_Scoring_Model!$C$15)*(K249-$I249)/($H249-$I249))),IF(K249&lt;=$H249,A_Scoring_Model!$C$14,IF(K249&gt;$I249,0,A_Scoring_Model!$C$15+(A_Scoring_Model!$C$14-A_Scoring_Model!$C$15)*($I249-K249)/($I249-$H249))))))</f>
        <v/>
      </c>
      <c r="P249" s="56" t="str">
        <f aca="false">IF(L249="","",IF($H249=$I249,IF(OR(AND($G249="Higher is better",L249&gt;=$H249),AND($G249="Lower is better",L249&lt;=$H249)),A_Scoring_Model!$C$14,0),IF($G249="Higher is better",IF(L249&gt;=$H249,A_Scoring_Model!$C$14,IF(L249&lt;$I249,0,A_Scoring_Model!$C$15+(A_Scoring_Model!$C$14-A_Scoring_Model!$C$15)*(L249-$I249)/($H249-$I249))),IF(L249&lt;=$H249,A_Scoring_Model!$C$14,IF(L249&gt;$I249,0,A_Scoring_Model!$C$15+(A_Scoring_Model!$C$14-A_Scoring_Model!$C$15)*($I249-L249)/($I249-$H249))))))</f>
        <v/>
      </c>
      <c r="Q249" s="56" t="str">
        <f aca="false">IF(M249="","",IF($H249=$I249,IF(OR(AND($G249="Higher is better",M249&gt;=$H249),AND($G249="Lower is better",M249&lt;=$H249)),A_Scoring_Model!$C$14,0),IF($G249="Higher is better",IF(M249&gt;=$H249,A_Scoring_Model!$C$14,IF(M249&lt;$I249,0,A_Scoring_Model!$C$15+(A_Scoring_Model!$C$14-A_Scoring_Model!$C$15)*(M249-$I249)/($H249-$I249))),IF(M249&lt;=$H249,A_Scoring_Model!$C$14,IF(M249&gt;$I249,0,A_Scoring_Model!$C$15+(A_Scoring_Model!$C$14-A_Scoring_Model!$C$15)*($I249-M249)/($I249-$H249))))))</f>
        <v/>
      </c>
    </row>
    <row r="250" customFormat="false" ht="15" hidden="false" customHeight="false" outlineLevel="0" collapsed="false">
      <c r="A250" s="51" t="str">
        <f aca="false">C_KPI_Benchmark!A250</f>
        <v>4.c-D6-16</v>
      </c>
      <c r="B250" s="52" t="str">
        <f aca="false">C_KPI_Benchmark!D250</f>
        <v>4.c</v>
      </c>
      <c r="C250" s="51" t="str">
        <f aca="false">C_KPI_Benchmark!E250</f>
        <v>Access &amp; Security Recommender</v>
      </c>
      <c r="D250" s="52" t="str">
        <f aca="false">C_KPI_Benchmark!F250</f>
        <v>D6</v>
      </c>
      <c r="E250" s="51" t="str">
        <f aca="false">C_KPI_Benchmark!J250</f>
        <v>Named owner and support SLA</v>
      </c>
      <c r="F250" s="52" t="str">
        <f aca="false">C_KPI_Benchmark!K250</f>
        <v>Yes/No</v>
      </c>
      <c r="G250" s="51" t="str">
        <f aca="false">C_KPI_Benchmark!L250</f>
        <v>Higher is better</v>
      </c>
      <c r="H250" s="60" t="n">
        <f aca="false">C_KPI_Benchmark!N250</f>
        <v>1</v>
      </c>
      <c r="I250" s="56" t="n">
        <f aca="false">IF(C_KPI_Benchmark!O250&lt;&gt;"",C_KPI_Benchmark!O250,IF(G250="Higher is better",H250*(1-A_Scoring_Model!$C$16),H250*(1+A_Scoring_Model!$C$16)))</f>
        <v>0.8</v>
      </c>
      <c r="J250" s="61"/>
      <c r="K250" s="61"/>
      <c r="L250" s="61"/>
      <c r="M250" s="61"/>
      <c r="N250" s="56" t="str">
        <f aca="false">IF(J250="","",IF($H250=$I250,IF(OR(AND($G250="Higher is better",J250&gt;=$H250),AND($G250="Lower is better",J250&lt;=$H250)),A_Scoring_Model!$C$14,0),IF($G250="Higher is better",IF(J250&gt;=$H250,A_Scoring_Model!$C$14,IF(J250&lt;$I250,0,A_Scoring_Model!$C$15+(A_Scoring_Model!$C$14-A_Scoring_Model!$C$15)*(J250-$I250)/($H250-$I250))),IF(J250&lt;=$H250,A_Scoring_Model!$C$14,IF(J250&gt;$I250,0,A_Scoring_Model!$C$15+(A_Scoring_Model!$C$14-A_Scoring_Model!$C$15)*($I250-J250)/($I250-$H250))))))</f>
        <v/>
      </c>
      <c r="O250" s="56" t="str">
        <f aca="false">IF(K250="","",IF($H250=$I250,IF(OR(AND($G250="Higher is better",K250&gt;=$H250),AND($G250="Lower is better",K250&lt;=$H250)),A_Scoring_Model!$C$14,0),IF($G250="Higher is better",IF(K250&gt;=$H250,A_Scoring_Model!$C$14,IF(K250&lt;$I250,0,A_Scoring_Model!$C$15+(A_Scoring_Model!$C$14-A_Scoring_Model!$C$15)*(K250-$I250)/($H250-$I250))),IF(K250&lt;=$H250,A_Scoring_Model!$C$14,IF(K250&gt;$I250,0,A_Scoring_Model!$C$15+(A_Scoring_Model!$C$14-A_Scoring_Model!$C$15)*($I250-K250)/($I250-$H250))))))</f>
        <v/>
      </c>
      <c r="P250" s="56" t="str">
        <f aca="false">IF(L250="","",IF($H250=$I250,IF(OR(AND($G250="Higher is better",L250&gt;=$H250),AND($G250="Lower is better",L250&lt;=$H250)),A_Scoring_Model!$C$14,0),IF($G250="Higher is better",IF(L250&gt;=$H250,A_Scoring_Model!$C$14,IF(L250&lt;$I250,0,A_Scoring_Model!$C$15+(A_Scoring_Model!$C$14-A_Scoring_Model!$C$15)*(L250-$I250)/($H250-$I250))),IF(L250&lt;=$H250,A_Scoring_Model!$C$14,IF(L250&gt;$I250,0,A_Scoring_Model!$C$15+(A_Scoring_Model!$C$14-A_Scoring_Model!$C$15)*($I250-L250)/($I250-$H250))))))</f>
        <v/>
      </c>
      <c r="Q250" s="56" t="str">
        <f aca="false">IF(M250="","",IF($H250=$I250,IF(OR(AND($G250="Higher is better",M250&gt;=$H250),AND($G250="Lower is better",M250&lt;=$H250)),A_Scoring_Model!$C$14,0),IF($G250="Higher is better",IF(M250&gt;=$H250,A_Scoring_Model!$C$14,IF(M250&lt;$I250,0,A_Scoring_Model!$C$15+(A_Scoring_Model!$C$14-A_Scoring_Model!$C$15)*(M250-$I250)/($H250-$I250))),IF(M250&lt;=$H250,A_Scoring_Model!$C$14,IF(M250&gt;$I250,0,A_Scoring_Model!$C$15+(A_Scoring_Model!$C$14-A_Scoring_Model!$C$15)*($I250-M250)/($I250-$H250))))))</f>
        <v/>
      </c>
    </row>
    <row r="251" customFormat="false" ht="15" hidden="false" customHeight="false" outlineLevel="0" collapsed="false">
      <c r="A251" s="51" t="str">
        <f aca="false">C_KPI_Benchmark!A251</f>
        <v>5.a-D1-01</v>
      </c>
      <c r="B251" s="52" t="str">
        <f aca="false">C_KPI_Benchmark!D251</f>
        <v>5.a</v>
      </c>
      <c r="C251" s="51" t="str">
        <f aca="false">C_KPI_Benchmark!E251</f>
        <v>Test Orchestrator Agent</v>
      </c>
      <c r="D251" s="52" t="str">
        <f aca="false">C_KPI_Benchmark!F251</f>
        <v>D1</v>
      </c>
      <c r="E251" s="51" t="str">
        <f aca="false">C_KPI_Benchmark!J251</f>
        <v>Defect-catch retention at ≥40% suite reduction</v>
      </c>
      <c r="F251" s="52" t="str">
        <f aca="false">C_KPI_Benchmark!K251</f>
        <v>%</v>
      </c>
      <c r="G251" s="51" t="str">
        <f aca="false">C_KPI_Benchmark!L251</f>
        <v>Higher is better</v>
      </c>
      <c r="H251" s="53" t="n">
        <f aca="false">C_KPI_Benchmark!N251</f>
        <v>0.98</v>
      </c>
      <c r="I251" s="54" t="n">
        <f aca="false">IF(C_KPI_Benchmark!O251&lt;&gt;"",C_KPI_Benchmark!O251,IF(G251="Higher is better",H251*(1-A_Scoring_Model!$C$16),H251*(1+A_Scoring_Model!$C$16)))</f>
        <v>0.95</v>
      </c>
      <c r="J251" s="55"/>
      <c r="K251" s="55"/>
      <c r="L251" s="55"/>
      <c r="M251" s="55"/>
      <c r="N251" s="56" t="str">
        <f aca="false">IF(J251="","",IF($H251=$I251,IF(OR(AND($G251="Higher is better",J251&gt;=$H251),AND($G251="Lower is better",J251&lt;=$H251)),A_Scoring_Model!$C$14,0),IF($G251="Higher is better",IF(J251&gt;=$H251,A_Scoring_Model!$C$14,IF(J251&lt;$I251,0,A_Scoring_Model!$C$15+(A_Scoring_Model!$C$14-A_Scoring_Model!$C$15)*(J251-$I251)/($H251-$I251))),IF(J251&lt;=$H251,A_Scoring_Model!$C$14,IF(J251&gt;$I251,0,A_Scoring_Model!$C$15+(A_Scoring_Model!$C$14-A_Scoring_Model!$C$15)*($I251-J251)/($I251-$H251))))))</f>
        <v/>
      </c>
      <c r="O251" s="56" t="str">
        <f aca="false">IF(K251="","",IF($H251=$I251,IF(OR(AND($G251="Higher is better",K251&gt;=$H251),AND($G251="Lower is better",K251&lt;=$H251)),A_Scoring_Model!$C$14,0),IF($G251="Higher is better",IF(K251&gt;=$H251,A_Scoring_Model!$C$14,IF(K251&lt;$I251,0,A_Scoring_Model!$C$15+(A_Scoring_Model!$C$14-A_Scoring_Model!$C$15)*(K251-$I251)/($H251-$I251))),IF(K251&lt;=$H251,A_Scoring_Model!$C$14,IF(K251&gt;$I251,0,A_Scoring_Model!$C$15+(A_Scoring_Model!$C$14-A_Scoring_Model!$C$15)*($I251-K251)/($I251-$H251))))))</f>
        <v/>
      </c>
      <c r="P251" s="56" t="str">
        <f aca="false">IF(L251="","",IF($H251=$I251,IF(OR(AND($G251="Higher is better",L251&gt;=$H251),AND($G251="Lower is better",L251&lt;=$H251)),A_Scoring_Model!$C$14,0),IF($G251="Higher is better",IF(L251&gt;=$H251,A_Scoring_Model!$C$14,IF(L251&lt;$I251,0,A_Scoring_Model!$C$15+(A_Scoring_Model!$C$14-A_Scoring_Model!$C$15)*(L251-$I251)/($H251-$I251))),IF(L251&lt;=$H251,A_Scoring_Model!$C$14,IF(L251&gt;$I251,0,A_Scoring_Model!$C$15+(A_Scoring_Model!$C$14-A_Scoring_Model!$C$15)*($I251-L251)/($I251-$H251))))))</f>
        <v/>
      </c>
      <c r="Q251" s="56" t="str">
        <f aca="false">IF(M251="","",IF($H251=$I251,IF(OR(AND($G251="Higher is better",M251&gt;=$H251),AND($G251="Lower is better",M251&lt;=$H251)),A_Scoring_Model!$C$14,0),IF($G251="Higher is better",IF(M251&gt;=$H251,A_Scoring_Model!$C$14,IF(M251&lt;$I251,0,A_Scoring_Model!$C$15+(A_Scoring_Model!$C$14-A_Scoring_Model!$C$15)*(M251-$I251)/($H251-$I251))),IF(M251&lt;=$H251,A_Scoring_Model!$C$14,IF(M251&gt;$I251,0,A_Scoring_Model!$C$15+(A_Scoring_Model!$C$14-A_Scoring_Model!$C$15)*($I251-M251)/($I251-$H251))))))</f>
        <v/>
      </c>
    </row>
    <row r="252" customFormat="false" ht="15" hidden="false" customHeight="false" outlineLevel="0" collapsed="false">
      <c r="A252" s="51" t="str">
        <f aca="false">C_KPI_Benchmark!A252</f>
        <v>5.a-D1-02</v>
      </c>
      <c r="B252" s="52" t="str">
        <f aca="false">C_KPI_Benchmark!D252</f>
        <v>5.a</v>
      </c>
      <c r="C252" s="51" t="str">
        <f aca="false">C_KPI_Benchmark!E252</f>
        <v>Test Orchestrator Agent</v>
      </c>
      <c r="D252" s="52" t="str">
        <f aca="false">C_KPI_Benchmark!F252</f>
        <v>D1</v>
      </c>
      <c r="E252" s="51" t="str">
        <f aca="false">C_KPI_Benchmark!J252</f>
        <v>Rig utilisation</v>
      </c>
      <c r="F252" s="52" t="str">
        <f aca="false">C_KPI_Benchmark!K252</f>
        <v>%</v>
      </c>
      <c r="G252" s="51" t="str">
        <f aca="false">C_KPI_Benchmark!L252</f>
        <v>Higher is better</v>
      </c>
      <c r="H252" s="53" t="n">
        <f aca="false">C_KPI_Benchmark!N252</f>
        <v>0.85</v>
      </c>
      <c r="I252" s="54" t="n">
        <f aca="false">IF(C_KPI_Benchmark!O252&lt;&gt;"",C_KPI_Benchmark!O252,IF(G252="Higher is better",H252*(1-A_Scoring_Model!$C$16),H252*(1+A_Scoring_Model!$C$16)))</f>
        <v>0.7</v>
      </c>
      <c r="J252" s="55"/>
      <c r="K252" s="55"/>
      <c r="L252" s="55"/>
      <c r="M252" s="55"/>
      <c r="N252" s="56" t="str">
        <f aca="false">IF(J252="","",IF($H252=$I252,IF(OR(AND($G252="Higher is better",J252&gt;=$H252),AND($G252="Lower is better",J252&lt;=$H252)),A_Scoring_Model!$C$14,0),IF($G252="Higher is better",IF(J252&gt;=$H252,A_Scoring_Model!$C$14,IF(J252&lt;$I252,0,A_Scoring_Model!$C$15+(A_Scoring_Model!$C$14-A_Scoring_Model!$C$15)*(J252-$I252)/($H252-$I252))),IF(J252&lt;=$H252,A_Scoring_Model!$C$14,IF(J252&gt;$I252,0,A_Scoring_Model!$C$15+(A_Scoring_Model!$C$14-A_Scoring_Model!$C$15)*($I252-J252)/($I252-$H252))))))</f>
        <v/>
      </c>
      <c r="O252" s="56" t="str">
        <f aca="false">IF(K252="","",IF($H252=$I252,IF(OR(AND($G252="Higher is better",K252&gt;=$H252),AND($G252="Lower is better",K252&lt;=$H252)),A_Scoring_Model!$C$14,0),IF($G252="Higher is better",IF(K252&gt;=$H252,A_Scoring_Model!$C$14,IF(K252&lt;$I252,0,A_Scoring_Model!$C$15+(A_Scoring_Model!$C$14-A_Scoring_Model!$C$15)*(K252-$I252)/($H252-$I252))),IF(K252&lt;=$H252,A_Scoring_Model!$C$14,IF(K252&gt;$I252,0,A_Scoring_Model!$C$15+(A_Scoring_Model!$C$14-A_Scoring_Model!$C$15)*($I252-K252)/($I252-$H252))))))</f>
        <v/>
      </c>
      <c r="P252" s="56" t="str">
        <f aca="false">IF(L252="","",IF($H252=$I252,IF(OR(AND($G252="Higher is better",L252&gt;=$H252),AND($G252="Lower is better",L252&lt;=$H252)),A_Scoring_Model!$C$14,0),IF($G252="Higher is better",IF(L252&gt;=$H252,A_Scoring_Model!$C$14,IF(L252&lt;$I252,0,A_Scoring_Model!$C$15+(A_Scoring_Model!$C$14-A_Scoring_Model!$C$15)*(L252-$I252)/($H252-$I252))),IF(L252&lt;=$H252,A_Scoring_Model!$C$14,IF(L252&gt;$I252,0,A_Scoring_Model!$C$15+(A_Scoring_Model!$C$14-A_Scoring_Model!$C$15)*($I252-L252)/($I252-$H252))))))</f>
        <v/>
      </c>
      <c r="Q252" s="56" t="str">
        <f aca="false">IF(M252="","",IF($H252=$I252,IF(OR(AND($G252="Higher is better",M252&gt;=$H252),AND($G252="Lower is better",M252&lt;=$H252)),A_Scoring_Model!$C$14,0),IF($G252="Higher is better",IF(M252&gt;=$H252,A_Scoring_Model!$C$14,IF(M252&lt;$I252,0,A_Scoring_Model!$C$15+(A_Scoring_Model!$C$14-A_Scoring_Model!$C$15)*(M252-$I252)/($H252-$I252))),IF(M252&lt;=$H252,A_Scoring_Model!$C$14,IF(M252&gt;$I252,0,A_Scoring_Model!$C$15+(A_Scoring_Model!$C$14-A_Scoring_Model!$C$15)*($I252-M252)/($I252-$H252))))))</f>
        <v/>
      </c>
    </row>
    <row r="253" customFormat="false" ht="15" hidden="false" customHeight="false" outlineLevel="0" collapsed="false">
      <c r="A253" s="51" t="str">
        <f aca="false">C_KPI_Benchmark!A253</f>
        <v>5.a-D1-03</v>
      </c>
      <c r="B253" s="52" t="str">
        <f aca="false">C_KPI_Benchmark!D253</f>
        <v>5.a</v>
      </c>
      <c r="C253" s="51" t="str">
        <f aca="false">C_KPI_Benchmark!E253</f>
        <v>Test Orchestrator Agent</v>
      </c>
      <c r="D253" s="52" t="str">
        <f aca="false">C_KPI_Benchmark!F253</f>
        <v>D1</v>
      </c>
      <c r="E253" s="51" t="str">
        <f aca="false">C_KPI_Benchmark!J253</f>
        <v>Makespan reduction vs FIFO</v>
      </c>
      <c r="F253" s="52" t="str">
        <f aca="false">C_KPI_Benchmark!K253</f>
        <v>%</v>
      </c>
      <c r="G253" s="51" t="str">
        <f aca="false">C_KPI_Benchmark!L253</f>
        <v>Higher is better</v>
      </c>
      <c r="H253" s="53" t="n">
        <f aca="false">C_KPI_Benchmark!N253</f>
        <v>0.25</v>
      </c>
      <c r="I253" s="54" t="n">
        <f aca="false">IF(C_KPI_Benchmark!O253&lt;&gt;"",C_KPI_Benchmark!O253,IF(G253="Higher is better",H253*(1-A_Scoring_Model!$C$16),H253*(1+A_Scoring_Model!$C$16)))</f>
        <v>0.1</v>
      </c>
      <c r="J253" s="55"/>
      <c r="K253" s="55"/>
      <c r="L253" s="55"/>
      <c r="M253" s="55"/>
      <c r="N253" s="56" t="str">
        <f aca="false">IF(J253="","",IF($H253=$I253,IF(OR(AND($G253="Higher is better",J253&gt;=$H253),AND($G253="Lower is better",J253&lt;=$H253)),A_Scoring_Model!$C$14,0),IF($G253="Higher is better",IF(J253&gt;=$H253,A_Scoring_Model!$C$14,IF(J253&lt;$I253,0,A_Scoring_Model!$C$15+(A_Scoring_Model!$C$14-A_Scoring_Model!$C$15)*(J253-$I253)/($H253-$I253))),IF(J253&lt;=$H253,A_Scoring_Model!$C$14,IF(J253&gt;$I253,0,A_Scoring_Model!$C$15+(A_Scoring_Model!$C$14-A_Scoring_Model!$C$15)*($I253-J253)/($I253-$H253))))))</f>
        <v/>
      </c>
      <c r="O253" s="56" t="str">
        <f aca="false">IF(K253="","",IF($H253=$I253,IF(OR(AND($G253="Higher is better",K253&gt;=$H253),AND($G253="Lower is better",K253&lt;=$H253)),A_Scoring_Model!$C$14,0),IF($G253="Higher is better",IF(K253&gt;=$H253,A_Scoring_Model!$C$14,IF(K253&lt;$I253,0,A_Scoring_Model!$C$15+(A_Scoring_Model!$C$14-A_Scoring_Model!$C$15)*(K253-$I253)/($H253-$I253))),IF(K253&lt;=$H253,A_Scoring_Model!$C$14,IF(K253&gt;$I253,0,A_Scoring_Model!$C$15+(A_Scoring_Model!$C$14-A_Scoring_Model!$C$15)*($I253-K253)/($I253-$H253))))))</f>
        <v/>
      </c>
      <c r="P253" s="56" t="str">
        <f aca="false">IF(L253="","",IF($H253=$I253,IF(OR(AND($G253="Higher is better",L253&gt;=$H253),AND($G253="Lower is better",L253&lt;=$H253)),A_Scoring_Model!$C$14,0),IF($G253="Higher is better",IF(L253&gt;=$H253,A_Scoring_Model!$C$14,IF(L253&lt;$I253,0,A_Scoring_Model!$C$15+(A_Scoring_Model!$C$14-A_Scoring_Model!$C$15)*(L253-$I253)/($H253-$I253))),IF(L253&lt;=$H253,A_Scoring_Model!$C$14,IF(L253&gt;$I253,0,A_Scoring_Model!$C$15+(A_Scoring_Model!$C$14-A_Scoring_Model!$C$15)*($I253-L253)/($I253-$H253))))))</f>
        <v/>
      </c>
      <c r="Q253" s="56" t="str">
        <f aca="false">IF(M253="","",IF($H253=$I253,IF(OR(AND($G253="Higher is better",M253&gt;=$H253),AND($G253="Lower is better",M253&lt;=$H253)),A_Scoring_Model!$C$14,0),IF($G253="Higher is better",IF(M253&gt;=$H253,A_Scoring_Model!$C$14,IF(M253&lt;$I253,0,A_Scoring_Model!$C$15+(A_Scoring_Model!$C$14-A_Scoring_Model!$C$15)*(M253-$I253)/($H253-$I253))),IF(M253&lt;=$H253,A_Scoring_Model!$C$14,IF(M253&gt;$I253,0,A_Scoring_Model!$C$15+(A_Scoring_Model!$C$14-A_Scoring_Model!$C$15)*($I253-M253)/($I253-$H253))))))</f>
        <v/>
      </c>
    </row>
    <row r="254" customFormat="false" ht="15" hidden="false" customHeight="false" outlineLevel="0" collapsed="false">
      <c r="A254" s="51" t="str">
        <f aca="false">C_KPI_Benchmark!A254</f>
        <v>5.a-D2-04</v>
      </c>
      <c r="B254" s="52" t="str">
        <f aca="false">C_KPI_Benchmark!D254</f>
        <v>5.a</v>
      </c>
      <c r="C254" s="51" t="str">
        <f aca="false">C_KPI_Benchmark!E254</f>
        <v>Test Orchestrator Agent</v>
      </c>
      <c r="D254" s="52" t="str">
        <f aca="false">C_KPI_Benchmark!F254</f>
        <v>D2</v>
      </c>
      <c r="E254" s="51" t="str">
        <f aca="false">C_KPI_Benchmark!J254</f>
        <v>Executor adapters (Jenkins, GitLab CI, in-house runner)</v>
      </c>
      <c r="F254" s="52" t="str">
        <f aca="false">C_KPI_Benchmark!K254</f>
        <v>count</v>
      </c>
      <c r="G254" s="51" t="str">
        <f aca="false">C_KPI_Benchmark!L254</f>
        <v>Higher is better</v>
      </c>
      <c r="H254" s="62" t="n">
        <f aca="false">C_KPI_Benchmark!N254</f>
        <v>3</v>
      </c>
      <c r="I254" s="63" t="n">
        <f aca="false">IF(C_KPI_Benchmark!O254&lt;&gt;"",C_KPI_Benchmark!O254,IF(G254="Higher is better",H254*(1-A_Scoring_Model!$C$16),H254*(1+A_Scoring_Model!$C$16)))</f>
        <v>2.4</v>
      </c>
      <c r="J254" s="64"/>
      <c r="K254" s="64"/>
      <c r="L254" s="64"/>
      <c r="M254" s="64"/>
      <c r="N254" s="56" t="str">
        <f aca="false">IF(J254="","",IF($H254=$I254,IF(OR(AND($G254="Higher is better",J254&gt;=$H254),AND($G254="Lower is better",J254&lt;=$H254)),A_Scoring_Model!$C$14,0),IF($G254="Higher is better",IF(J254&gt;=$H254,A_Scoring_Model!$C$14,IF(J254&lt;$I254,0,A_Scoring_Model!$C$15+(A_Scoring_Model!$C$14-A_Scoring_Model!$C$15)*(J254-$I254)/($H254-$I254))),IF(J254&lt;=$H254,A_Scoring_Model!$C$14,IF(J254&gt;$I254,0,A_Scoring_Model!$C$15+(A_Scoring_Model!$C$14-A_Scoring_Model!$C$15)*($I254-J254)/($I254-$H254))))))</f>
        <v/>
      </c>
      <c r="O254" s="56" t="str">
        <f aca="false">IF(K254="","",IF($H254=$I254,IF(OR(AND($G254="Higher is better",K254&gt;=$H254),AND($G254="Lower is better",K254&lt;=$H254)),A_Scoring_Model!$C$14,0),IF($G254="Higher is better",IF(K254&gt;=$H254,A_Scoring_Model!$C$14,IF(K254&lt;$I254,0,A_Scoring_Model!$C$15+(A_Scoring_Model!$C$14-A_Scoring_Model!$C$15)*(K254-$I254)/($H254-$I254))),IF(K254&lt;=$H254,A_Scoring_Model!$C$14,IF(K254&gt;$I254,0,A_Scoring_Model!$C$15+(A_Scoring_Model!$C$14-A_Scoring_Model!$C$15)*($I254-K254)/($I254-$H254))))))</f>
        <v/>
      </c>
      <c r="P254" s="56" t="str">
        <f aca="false">IF(L254="","",IF($H254=$I254,IF(OR(AND($G254="Higher is better",L254&gt;=$H254),AND($G254="Lower is better",L254&lt;=$H254)),A_Scoring_Model!$C$14,0),IF($G254="Higher is better",IF(L254&gt;=$H254,A_Scoring_Model!$C$14,IF(L254&lt;$I254,0,A_Scoring_Model!$C$15+(A_Scoring_Model!$C$14-A_Scoring_Model!$C$15)*(L254-$I254)/($H254-$I254))),IF(L254&lt;=$H254,A_Scoring_Model!$C$14,IF(L254&gt;$I254,0,A_Scoring_Model!$C$15+(A_Scoring_Model!$C$14-A_Scoring_Model!$C$15)*($I254-L254)/($I254-$H254))))))</f>
        <v/>
      </c>
      <c r="Q254" s="56" t="str">
        <f aca="false">IF(M254="","",IF($H254=$I254,IF(OR(AND($G254="Higher is better",M254&gt;=$H254),AND($G254="Lower is better",M254&lt;=$H254)),A_Scoring_Model!$C$14,0),IF($G254="Higher is better",IF(M254&gt;=$H254,A_Scoring_Model!$C$14,IF(M254&lt;$I254,0,A_Scoring_Model!$C$15+(A_Scoring_Model!$C$14-A_Scoring_Model!$C$15)*(M254-$I254)/($H254-$I254))),IF(M254&lt;=$H254,A_Scoring_Model!$C$14,IF(M254&gt;$I254,0,A_Scoring_Model!$C$15+(A_Scoring_Model!$C$14-A_Scoring_Model!$C$15)*($I254-M254)/($I254-$H254))))))</f>
        <v/>
      </c>
    </row>
    <row r="255" customFormat="false" ht="23.85" hidden="false" customHeight="false" outlineLevel="0" collapsed="false">
      <c r="A255" s="51" t="str">
        <f aca="false">C_KPI_Benchmark!A255</f>
        <v>5.a-D2-05</v>
      </c>
      <c r="B255" s="52" t="str">
        <f aca="false">C_KPI_Benchmark!D255</f>
        <v>5.a</v>
      </c>
      <c r="C255" s="51" t="str">
        <f aca="false">C_KPI_Benchmark!E255</f>
        <v>Test Orchestrator Agent</v>
      </c>
      <c r="D255" s="52" t="str">
        <f aca="false">C_KPI_Benchmark!F255</f>
        <v>D2</v>
      </c>
      <c r="E255" s="51" t="str">
        <f aca="false">C_KPI_Benchmark!J255</f>
        <v>Product lines supported with ≤10% efficacy drop (NVMe SSD, UFS, eMMC/uSD, PSSD)</v>
      </c>
      <c r="F255" s="52" t="str">
        <f aca="false">C_KPI_Benchmark!K255</f>
        <v>count</v>
      </c>
      <c r="G255" s="51" t="str">
        <f aca="false">C_KPI_Benchmark!L255</f>
        <v>Higher is better</v>
      </c>
      <c r="H255" s="62" t="n">
        <f aca="false">C_KPI_Benchmark!N255</f>
        <v>3</v>
      </c>
      <c r="I255" s="63" t="n">
        <f aca="false">IF(C_KPI_Benchmark!O255&lt;&gt;"",C_KPI_Benchmark!O255,IF(G255="Higher is better",H255*(1-A_Scoring_Model!$C$16),H255*(1+A_Scoring_Model!$C$16)))</f>
        <v>2</v>
      </c>
      <c r="J255" s="64"/>
      <c r="K255" s="64"/>
      <c r="L255" s="64"/>
      <c r="M255" s="64"/>
      <c r="N255" s="56" t="str">
        <f aca="false">IF(J255="","",IF($H255=$I255,IF(OR(AND($G255="Higher is better",J255&gt;=$H255),AND($G255="Lower is better",J255&lt;=$H255)),A_Scoring_Model!$C$14,0),IF($G255="Higher is better",IF(J255&gt;=$H255,A_Scoring_Model!$C$14,IF(J255&lt;$I255,0,A_Scoring_Model!$C$15+(A_Scoring_Model!$C$14-A_Scoring_Model!$C$15)*(J255-$I255)/($H255-$I255))),IF(J255&lt;=$H255,A_Scoring_Model!$C$14,IF(J255&gt;$I255,0,A_Scoring_Model!$C$15+(A_Scoring_Model!$C$14-A_Scoring_Model!$C$15)*($I255-J255)/($I255-$H255))))))</f>
        <v/>
      </c>
      <c r="O255" s="56" t="str">
        <f aca="false">IF(K255="","",IF($H255=$I255,IF(OR(AND($G255="Higher is better",K255&gt;=$H255),AND($G255="Lower is better",K255&lt;=$H255)),A_Scoring_Model!$C$14,0),IF($G255="Higher is better",IF(K255&gt;=$H255,A_Scoring_Model!$C$14,IF(K255&lt;$I255,0,A_Scoring_Model!$C$15+(A_Scoring_Model!$C$14-A_Scoring_Model!$C$15)*(K255-$I255)/($H255-$I255))),IF(K255&lt;=$H255,A_Scoring_Model!$C$14,IF(K255&gt;$I255,0,A_Scoring_Model!$C$15+(A_Scoring_Model!$C$14-A_Scoring_Model!$C$15)*($I255-K255)/($I255-$H255))))))</f>
        <v/>
      </c>
      <c r="P255" s="56" t="str">
        <f aca="false">IF(L255="","",IF($H255=$I255,IF(OR(AND($G255="Higher is better",L255&gt;=$H255),AND($G255="Lower is better",L255&lt;=$H255)),A_Scoring_Model!$C$14,0),IF($G255="Higher is better",IF(L255&gt;=$H255,A_Scoring_Model!$C$14,IF(L255&lt;$I255,0,A_Scoring_Model!$C$15+(A_Scoring_Model!$C$14-A_Scoring_Model!$C$15)*(L255-$I255)/($H255-$I255))),IF(L255&lt;=$H255,A_Scoring_Model!$C$14,IF(L255&gt;$I255,0,A_Scoring_Model!$C$15+(A_Scoring_Model!$C$14-A_Scoring_Model!$C$15)*($I255-L255)/($I255-$H255))))))</f>
        <v/>
      </c>
      <c r="Q255" s="56" t="str">
        <f aca="false">IF(M255="","",IF($H255=$I255,IF(OR(AND($G255="Higher is better",M255&gt;=$H255),AND($G255="Lower is better",M255&lt;=$H255)),A_Scoring_Model!$C$14,0),IF($G255="Higher is better",IF(M255&gt;=$H255,A_Scoring_Model!$C$14,IF(M255&lt;$I255,0,A_Scoring_Model!$C$15+(A_Scoring_Model!$C$14-A_Scoring_Model!$C$15)*(M255-$I255)/($H255-$I255))),IF(M255&lt;=$H255,A_Scoring_Model!$C$14,IF(M255&gt;$I255,0,A_Scoring_Model!$C$15+(A_Scoring_Model!$C$14-A_Scoring_Model!$C$15)*($I255-M255)/($I255-$H255))))))</f>
        <v/>
      </c>
    </row>
    <row r="256" customFormat="false" ht="15" hidden="false" customHeight="false" outlineLevel="0" collapsed="false">
      <c r="A256" s="51" t="str">
        <f aca="false">C_KPI_Benchmark!A256</f>
        <v>5.a-D2-06</v>
      </c>
      <c r="B256" s="52" t="str">
        <f aca="false">C_KPI_Benchmark!D256</f>
        <v>5.a</v>
      </c>
      <c r="C256" s="51" t="str">
        <f aca="false">C_KPI_Benchmark!E256</f>
        <v>Test Orchestrator Agent</v>
      </c>
      <c r="D256" s="52" t="str">
        <f aca="false">C_KPI_Benchmark!F256</f>
        <v>D2</v>
      </c>
      <c r="E256" s="51" t="str">
        <f aca="false">C_KPI_Benchmark!J256</f>
        <v>Uses Zion shared services instead of re-implementing them</v>
      </c>
      <c r="F256" s="52" t="str">
        <f aca="false">C_KPI_Benchmark!K256</f>
        <v>Yes/No</v>
      </c>
      <c r="G256" s="51" t="str">
        <f aca="false">C_KPI_Benchmark!L256</f>
        <v>Higher is better</v>
      </c>
      <c r="H256" s="60" t="n">
        <f aca="false">C_KPI_Benchmark!N256</f>
        <v>1</v>
      </c>
      <c r="I256" s="56" t="n">
        <f aca="false">IF(C_KPI_Benchmark!O256&lt;&gt;"",C_KPI_Benchmark!O256,IF(G256="Higher is better",H256*(1-A_Scoring_Model!$C$16),H256*(1+A_Scoring_Model!$C$16)))</f>
        <v>0.8</v>
      </c>
      <c r="J256" s="61"/>
      <c r="K256" s="61"/>
      <c r="L256" s="61"/>
      <c r="M256" s="61"/>
      <c r="N256" s="56" t="str">
        <f aca="false">IF(J256="","",IF($H256=$I256,IF(OR(AND($G256="Higher is better",J256&gt;=$H256),AND($G256="Lower is better",J256&lt;=$H256)),A_Scoring_Model!$C$14,0),IF($G256="Higher is better",IF(J256&gt;=$H256,A_Scoring_Model!$C$14,IF(J256&lt;$I256,0,A_Scoring_Model!$C$15+(A_Scoring_Model!$C$14-A_Scoring_Model!$C$15)*(J256-$I256)/($H256-$I256))),IF(J256&lt;=$H256,A_Scoring_Model!$C$14,IF(J256&gt;$I256,0,A_Scoring_Model!$C$15+(A_Scoring_Model!$C$14-A_Scoring_Model!$C$15)*($I256-J256)/($I256-$H256))))))</f>
        <v/>
      </c>
      <c r="O256" s="56" t="str">
        <f aca="false">IF(K256="","",IF($H256=$I256,IF(OR(AND($G256="Higher is better",K256&gt;=$H256),AND($G256="Lower is better",K256&lt;=$H256)),A_Scoring_Model!$C$14,0),IF($G256="Higher is better",IF(K256&gt;=$H256,A_Scoring_Model!$C$14,IF(K256&lt;$I256,0,A_Scoring_Model!$C$15+(A_Scoring_Model!$C$14-A_Scoring_Model!$C$15)*(K256-$I256)/($H256-$I256))),IF(K256&lt;=$H256,A_Scoring_Model!$C$14,IF(K256&gt;$I256,0,A_Scoring_Model!$C$15+(A_Scoring_Model!$C$14-A_Scoring_Model!$C$15)*($I256-K256)/($I256-$H256))))))</f>
        <v/>
      </c>
      <c r="P256" s="56" t="str">
        <f aca="false">IF(L256="","",IF($H256=$I256,IF(OR(AND($G256="Higher is better",L256&gt;=$H256),AND($G256="Lower is better",L256&lt;=$H256)),A_Scoring_Model!$C$14,0),IF($G256="Higher is better",IF(L256&gt;=$H256,A_Scoring_Model!$C$14,IF(L256&lt;$I256,0,A_Scoring_Model!$C$15+(A_Scoring_Model!$C$14-A_Scoring_Model!$C$15)*(L256-$I256)/($H256-$I256))),IF(L256&lt;=$H256,A_Scoring_Model!$C$14,IF(L256&gt;$I256,0,A_Scoring_Model!$C$15+(A_Scoring_Model!$C$14-A_Scoring_Model!$C$15)*($I256-L256)/($I256-$H256))))))</f>
        <v/>
      </c>
      <c r="Q256" s="56" t="str">
        <f aca="false">IF(M256="","",IF($H256=$I256,IF(OR(AND($G256="Higher is better",M256&gt;=$H256),AND($G256="Lower is better",M256&lt;=$H256)),A_Scoring_Model!$C$14,0),IF($G256="Higher is better",IF(M256&gt;=$H256,A_Scoring_Model!$C$14,IF(M256&lt;$I256,0,A_Scoring_Model!$C$15+(A_Scoring_Model!$C$14-A_Scoring_Model!$C$15)*(M256-$I256)/($H256-$I256))),IF(M256&lt;=$H256,A_Scoring_Model!$C$14,IF(M256&gt;$I256,0,A_Scoring_Model!$C$15+(A_Scoring_Model!$C$14-A_Scoring_Model!$C$15)*($I256-M256)/($I256-$H256))))))</f>
        <v/>
      </c>
    </row>
    <row r="257" customFormat="false" ht="15" hidden="false" customHeight="false" outlineLevel="0" collapsed="false">
      <c r="A257" s="51" t="str">
        <f aca="false">C_KPI_Benchmark!A257</f>
        <v>5.a-D3-07</v>
      </c>
      <c r="B257" s="52" t="str">
        <f aca="false">C_KPI_Benchmark!D257</f>
        <v>5.a</v>
      </c>
      <c r="C257" s="51" t="str">
        <f aca="false">C_KPI_Benchmark!E257</f>
        <v>Test Orchestrator Agent</v>
      </c>
      <c r="D257" s="52" t="str">
        <f aca="false">C_KPI_Benchmark!F257</f>
        <v>D3</v>
      </c>
      <c r="E257" s="51" t="str">
        <f aca="false">C_KPI_Benchmark!J257</f>
        <v>Tests orchestrated per day</v>
      </c>
      <c r="F257" s="52" t="str">
        <f aca="false">C_KPI_Benchmark!K257</f>
        <v>tests/day</v>
      </c>
      <c r="G257" s="51" t="str">
        <f aca="false">C_KPI_Benchmark!L257</f>
        <v>Higher is better</v>
      </c>
      <c r="H257" s="62" t="n">
        <f aca="false">C_KPI_Benchmark!N257</f>
        <v>10000</v>
      </c>
      <c r="I257" s="63" t="n">
        <f aca="false">IF(C_KPI_Benchmark!O257&lt;&gt;"",C_KPI_Benchmark!O257,IF(G257="Higher is better",H257*(1-A_Scoring_Model!$C$16),H257*(1+A_Scoring_Model!$C$16)))</f>
        <v>8000</v>
      </c>
      <c r="J257" s="64"/>
      <c r="K257" s="64"/>
      <c r="L257" s="64"/>
      <c r="M257" s="64"/>
      <c r="N257" s="56" t="str">
        <f aca="false">IF(J257="","",IF($H257=$I257,IF(OR(AND($G257="Higher is better",J257&gt;=$H257),AND($G257="Lower is better",J257&lt;=$H257)),A_Scoring_Model!$C$14,0),IF($G257="Higher is better",IF(J257&gt;=$H257,A_Scoring_Model!$C$14,IF(J257&lt;$I257,0,A_Scoring_Model!$C$15+(A_Scoring_Model!$C$14-A_Scoring_Model!$C$15)*(J257-$I257)/($H257-$I257))),IF(J257&lt;=$H257,A_Scoring_Model!$C$14,IF(J257&gt;$I257,0,A_Scoring_Model!$C$15+(A_Scoring_Model!$C$14-A_Scoring_Model!$C$15)*($I257-J257)/($I257-$H257))))))</f>
        <v/>
      </c>
      <c r="O257" s="56" t="str">
        <f aca="false">IF(K257="","",IF($H257=$I257,IF(OR(AND($G257="Higher is better",K257&gt;=$H257),AND($G257="Lower is better",K257&lt;=$H257)),A_Scoring_Model!$C$14,0),IF($G257="Higher is better",IF(K257&gt;=$H257,A_Scoring_Model!$C$14,IF(K257&lt;$I257,0,A_Scoring_Model!$C$15+(A_Scoring_Model!$C$14-A_Scoring_Model!$C$15)*(K257-$I257)/($H257-$I257))),IF(K257&lt;=$H257,A_Scoring_Model!$C$14,IF(K257&gt;$I257,0,A_Scoring_Model!$C$15+(A_Scoring_Model!$C$14-A_Scoring_Model!$C$15)*($I257-K257)/($I257-$H257))))))</f>
        <v/>
      </c>
      <c r="P257" s="56" t="str">
        <f aca="false">IF(L257="","",IF($H257=$I257,IF(OR(AND($G257="Higher is better",L257&gt;=$H257),AND($G257="Lower is better",L257&lt;=$H257)),A_Scoring_Model!$C$14,0),IF($G257="Higher is better",IF(L257&gt;=$H257,A_Scoring_Model!$C$14,IF(L257&lt;$I257,0,A_Scoring_Model!$C$15+(A_Scoring_Model!$C$14-A_Scoring_Model!$C$15)*(L257-$I257)/($H257-$I257))),IF(L257&lt;=$H257,A_Scoring_Model!$C$14,IF(L257&gt;$I257,0,A_Scoring_Model!$C$15+(A_Scoring_Model!$C$14-A_Scoring_Model!$C$15)*($I257-L257)/($I257-$H257))))))</f>
        <v/>
      </c>
      <c r="Q257" s="56" t="str">
        <f aca="false">IF(M257="","",IF($H257=$I257,IF(OR(AND($G257="Higher is better",M257&gt;=$H257),AND($G257="Lower is better",M257&lt;=$H257)),A_Scoring_Model!$C$14,0),IF($G257="Higher is better",IF(M257&gt;=$H257,A_Scoring_Model!$C$14,IF(M257&lt;$I257,0,A_Scoring_Model!$C$15+(A_Scoring_Model!$C$14-A_Scoring_Model!$C$15)*(M257-$I257)/($H257-$I257))),IF(M257&lt;=$H257,A_Scoring_Model!$C$14,IF(M257&gt;$I257,0,A_Scoring_Model!$C$15+(A_Scoring_Model!$C$14-A_Scoring_Model!$C$15)*($I257-M257)/($I257-$H257))))))</f>
        <v/>
      </c>
    </row>
    <row r="258" customFormat="false" ht="15" hidden="false" customHeight="false" outlineLevel="0" collapsed="false">
      <c r="A258" s="51" t="str">
        <f aca="false">C_KPI_Benchmark!A258</f>
        <v>5.a-D3-08</v>
      </c>
      <c r="B258" s="52" t="str">
        <f aca="false">C_KPI_Benchmark!D258</f>
        <v>5.a</v>
      </c>
      <c r="C258" s="51" t="str">
        <f aca="false">C_KPI_Benchmark!E258</f>
        <v>Test Orchestrator Agent</v>
      </c>
      <c r="D258" s="52" t="str">
        <f aca="false">C_KPI_Benchmark!F258</f>
        <v>D3</v>
      </c>
      <c r="E258" s="51" t="str">
        <f aca="false">C_KPI_Benchmark!J258</f>
        <v>Queue decision latency</v>
      </c>
      <c r="F258" s="52" t="str">
        <f aca="false">C_KPI_Benchmark!K258</f>
        <v>s</v>
      </c>
      <c r="G258" s="51" t="str">
        <f aca="false">C_KPI_Benchmark!L258</f>
        <v>Lower is better</v>
      </c>
      <c r="H258" s="62" t="n">
        <f aca="false">C_KPI_Benchmark!N258</f>
        <v>1</v>
      </c>
      <c r="I258" s="63" t="n">
        <f aca="false">IF(C_KPI_Benchmark!O258&lt;&gt;"",C_KPI_Benchmark!O258,IF(G258="Higher is better",H258*(1-A_Scoring_Model!$C$16),H258*(1+A_Scoring_Model!$C$16)))</f>
        <v>1.2</v>
      </c>
      <c r="J258" s="64"/>
      <c r="K258" s="64"/>
      <c r="L258" s="64"/>
      <c r="M258" s="64"/>
      <c r="N258" s="56" t="str">
        <f aca="false">IF(J258="","",IF($H258=$I258,IF(OR(AND($G258="Higher is better",J258&gt;=$H258),AND($G258="Lower is better",J258&lt;=$H258)),A_Scoring_Model!$C$14,0),IF($G258="Higher is better",IF(J258&gt;=$H258,A_Scoring_Model!$C$14,IF(J258&lt;$I258,0,A_Scoring_Model!$C$15+(A_Scoring_Model!$C$14-A_Scoring_Model!$C$15)*(J258-$I258)/($H258-$I258))),IF(J258&lt;=$H258,A_Scoring_Model!$C$14,IF(J258&gt;$I258,0,A_Scoring_Model!$C$15+(A_Scoring_Model!$C$14-A_Scoring_Model!$C$15)*($I258-J258)/($I258-$H258))))))</f>
        <v/>
      </c>
      <c r="O258" s="56" t="str">
        <f aca="false">IF(K258="","",IF($H258=$I258,IF(OR(AND($G258="Higher is better",K258&gt;=$H258),AND($G258="Lower is better",K258&lt;=$H258)),A_Scoring_Model!$C$14,0),IF($G258="Higher is better",IF(K258&gt;=$H258,A_Scoring_Model!$C$14,IF(K258&lt;$I258,0,A_Scoring_Model!$C$15+(A_Scoring_Model!$C$14-A_Scoring_Model!$C$15)*(K258-$I258)/($H258-$I258))),IF(K258&lt;=$H258,A_Scoring_Model!$C$14,IF(K258&gt;$I258,0,A_Scoring_Model!$C$15+(A_Scoring_Model!$C$14-A_Scoring_Model!$C$15)*($I258-K258)/($I258-$H258))))))</f>
        <v/>
      </c>
      <c r="P258" s="56" t="str">
        <f aca="false">IF(L258="","",IF($H258=$I258,IF(OR(AND($G258="Higher is better",L258&gt;=$H258),AND($G258="Lower is better",L258&lt;=$H258)),A_Scoring_Model!$C$14,0),IF($G258="Higher is better",IF(L258&gt;=$H258,A_Scoring_Model!$C$14,IF(L258&lt;$I258,0,A_Scoring_Model!$C$15+(A_Scoring_Model!$C$14-A_Scoring_Model!$C$15)*(L258-$I258)/($H258-$I258))),IF(L258&lt;=$H258,A_Scoring_Model!$C$14,IF(L258&gt;$I258,0,A_Scoring_Model!$C$15+(A_Scoring_Model!$C$14-A_Scoring_Model!$C$15)*($I258-L258)/($I258-$H258))))))</f>
        <v/>
      </c>
      <c r="Q258" s="56" t="str">
        <f aca="false">IF(M258="","",IF($H258=$I258,IF(OR(AND($G258="Higher is better",M258&gt;=$H258),AND($G258="Lower is better",M258&lt;=$H258)),A_Scoring_Model!$C$14,0),IF($G258="Higher is better",IF(M258&gt;=$H258,A_Scoring_Model!$C$14,IF(M258&lt;$I258,0,A_Scoring_Model!$C$15+(A_Scoring_Model!$C$14-A_Scoring_Model!$C$15)*(M258-$I258)/($H258-$I258))),IF(M258&lt;=$H258,A_Scoring_Model!$C$14,IF(M258&gt;$I258,0,A_Scoring_Model!$C$15+(A_Scoring_Model!$C$14-A_Scoring_Model!$C$15)*($I258-M258)/($I258-$H258))))))</f>
        <v/>
      </c>
    </row>
    <row r="259" customFormat="false" ht="15" hidden="false" customHeight="false" outlineLevel="0" collapsed="false">
      <c r="A259" s="51" t="str">
        <f aca="false">C_KPI_Benchmark!A259</f>
        <v>5.a-D3-09</v>
      </c>
      <c r="B259" s="52" t="str">
        <f aca="false">C_KPI_Benchmark!D259</f>
        <v>5.a</v>
      </c>
      <c r="C259" s="51" t="str">
        <f aca="false">C_KPI_Benchmark!E259</f>
        <v>Test Orchestrator Agent</v>
      </c>
      <c r="D259" s="52" t="str">
        <f aca="false">C_KPI_Benchmark!F259</f>
        <v>D3</v>
      </c>
      <c r="E259" s="51" t="str">
        <f aca="false">C_KPI_Benchmark!J259</f>
        <v>Latency degradation at 10× load</v>
      </c>
      <c r="F259" s="52" t="str">
        <f aca="false">C_KPI_Benchmark!K259</f>
        <v>%</v>
      </c>
      <c r="G259" s="51" t="str">
        <f aca="false">C_KPI_Benchmark!L259</f>
        <v>Lower is better</v>
      </c>
      <c r="H259" s="53" t="n">
        <f aca="false">C_KPI_Benchmark!N259</f>
        <v>0.2</v>
      </c>
      <c r="I259" s="54" t="n">
        <f aca="false">IF(C_KPI_Benchmark!O259&lt;&gt;"",C_KPI_Benchmark!O259,IF(G259="Higher is better",H259*(1-A_Scoring_Model!$C$16),H259*(1+A_Scoring_Model!$C$16)))</f>
        <v>0.4</v>
      </c>
      <c r="J259" s="55"/>
      <c r="K259" s="55"/>
      <c r="L259" s="55"/>
      <c r="M259" s="55"/>
      <c r="N259" s="56" t="str">
        <f aca="false">IF(J259="","",IF($H259=$I259,IF(OR(AND($G259="Higher is better",J259&gt;=$H259),AND($G259="Lower is better",J259&lt;=$H259)),A_Scoring_Model!$C$14,0),IF($G259="Higher is better",IF(J259&gt;=$H259,A_Scoring_Model!$C$14,IF(J259&lt;$I259,0,A_Scoring_Model!$C$15+(A_Scoring_Model!$C$14-A_Scoring_Model!$C$15)*(J259-$I259)/($H259-$I259))),IF(J259&lt;=$H259,A_Scoring_Model!$C$14,IF(J259&gt;$I259,0,A_Scoring_Model!$C$15+(A_Scoring_Model!$C$14-A_Scoring_Model!$C$15)*($I259-J259)/($I259-$H259))))))</f>
        <v/>
      </c>
      <c r="O259" s="56" t="str">
        <f aca="false">IF(K259="","",IF($H259=$I259,IF(OR(AND($G259="Higher is better",K259&gt;=$H259),AND($G259="Lower is better",K259&lt;=$H259)),A_Scoring_Model!$C$14,0),IF($G259="Higher is better",IF(K259&gt;=$H259,A_Scoring_Model!$C$14,IF(K259&lt;$I259,0,A_Scoring_Model!$C$15+(A_Scoring_Model!$C$14-A_Scoring_Model!$C$15)*(K259-$I259)/($H259-$I259))),IF(K259&lt;=$H259,A_Scoring_Model!$C$14,IF(K259&gt;$I259,0,A_Scoring_Model!$C$15+(A_Scoring_Model!$C$14-A_Scoring_Model!$C$15)*($I259-K259)/($I259-$H259))))))</f>
        <v/>
      </c>
      <c r="P259" s="56" t="str">
        <f aca="false">IF(L259="","",IF($H259=$I259,IF(OR(AND($G259="Higher is better",L259&gt;=$H259),AND($G259="Lower is better",L259&lt;=$H259)),A_Scoring_Model!$C$14,0),IF($G259="Higher is better",IF(L259&gt;=$H259,A_Scoring_Model!$C$14,IF(L259&lt;$I259,0,A_Scoring_Model!$C$15+(A_Scoring_Model!$C$14-A_Scoring_Model!$C$15)*(L259-$I259)/($H259-$I259))),IF(L259&lt;=$H259,A_Scoring_Model!$C$14,IF(L259&gt;$I259,0,A_Scoring_Model!$C$15+(A_Scoring_Model!$C$14-A_Scoring_Model!$C$15)*($I259-L259)/($I259-$H259))))))</f>
        <v/>
      </c>
      <c r="Q259" s="56" t="str">
        <f aca="false">IF(M259="","",IF($H259=$I259,IF(OR(AND($G259="Higher is better",M259&gt;=$H259),AND($G259="Lower is better",M259&lt;=$H259)),A_Scoring_Model!$C$14,0),IF($G259="Higher is better",IF(M259&gt;=$H259,A_Scoring_Model!$C$14,IF(M259&lt;$I259,0,A_Scoring_Model!$C$15+(A_Scoring_Model!$C$14-A_Scoring_Model!$C$15)*(M259-$I259)/($H259-$I259))),IF(M259&lt;=$H259,A_Scoring_Model!$C$14,IF(M259&gt;$I259,0,A_Scoring_Model!$C$15+(A_Scoring_Model!$C$14-A_Scoring_Model!$C$15)*($I259-M259)/($I259-$H259))))))</f>
        <v/>
      </c>
    </row>
    <row r="260" customFormat="false" ht="15" hidden="false" customHeight="false" outlineLevel="0" collapsed="false">
      <c r="A260" s="51" t="str">
        <f aca="false">C_KPI_Benchmark!A260</f>
        <v>5.a-D4-10</v>
      </c>
      <c r="B260" s="52" t="str">
        <f aca="false">C_KPI_Benchmark!D260</f>
        <v>5.a</v>
      </c>
      <c r="C260" s="51" t="str">
        <f aca="false">C_KPI_Benchmark!E260</f>
        <v>Test Orchestrator Agent</v>
      </c>
      <c r="D260" s="52" t="str">
        <f aca="false">C_KPI_Benchmark!F260</f>
        <v>D4</v>
      </c>
      <c r="E260" s="51" t="str">
        <f aca="false">C_KPI_Benchmark!J260</f>
        <v>Selection determinism with safe fallback to full regression</v>
      </c>
      <c r="F260" s="52" t="str">
        <f aca="false">C_KPI_Benchmark!K260</f>
        <v>Yes/No</v>
      </c>
      <c r="G260" s="51" t="str">
        <f aca="false">C_KPI_Benchmark!L260</f>
        <v>Higher is better</v>
      </c>
      <c r="H260" s="60" t="n">
        <f aca="false">C_KPI_Benchmark!N260</f>
        <v>1</v>
      </c>
      <c r="I260" s="56" t="n">
        <f aca="false">IF(C_KPI_Benchmark!O260&lt;&gt;"",C_KPI_Benchmark!O260,IF(G260="Higher is better",H260*(1-A_Scoring_Model!$C$16),H260*(1+A_Scoring_Model!$C$16)))</f>
        <v>0.8</v>
      </c>
      <c r="J260" s="61"/>
      <c r="K260" s="61"/>
      <c r="L260" s="61"/>
      <c r="M260" s="61"/>
      <c r="N260" s="56" t="str">
        <f aca="false">IF(J260="","",IF($H260=$I260,IF(OR(AND($G260="Higher is better",J260&gt;=$H260),AND($G260="Lower is better",J260&lt;=$H260)),A_Scoring_Model!$C$14,0),IF($G260="Higher is better",IF(J260&gt;=$H260,A_Scoring_Model!$C$14,IF(J260&lt;$I260,0,A_Scoring_Model!$C$15+(A_Scoring_Model!$C$14-A_Scoring_Model!$C$15)*(J260-$I260)/($H260-$I260))),IF(J260&lt;=$H260,A_Scoring_Model!$C$14,IF(J260&gt;$I260,0,A_Scoring_Model!$C$15+(A_Scoring_Model!$C$14-A_Scoring_Model!$C$15)*($I260-J260)/($I260-$H260))))))</f>
        <v/>
      </c>
      <c r="O260" s="56" t="str">
        <f aca="false">IF(K260="","",IF($H260=$I260,IF(OR(AND($G260="Higher is better",K260&gt;=$H260),AND($G260="Lower is better",K260&lt;=$H260)),A_Scoring_Model!$C$14,0),IF($G260="Higher is better",IF(K260&gt;=$H260,A_Scoring_Model!$C$14,IF(K260&lt;$I260,0,A_Scoring_Model!$C$15+(A_Scoring_Model!$C$14-A_Scoring_Model!$C$15)*(K260-$I260)/($H260-$I260))),IF(K260&lt;=$H260,A_Scoring_Model!$C$14,IF(K260&gt;$I260,0,A_Scoring_Model!$C$15+(A_Scoring_Model!$C$14-A_Scoring_Model!$C$15)*($I260-K260)/($I260-$H260))))))</f>
        <v/>
      </c>
      <c r="P260" s="56" t="str">
        <f aca="false">IF(L260="","",IF($H260=$I260,IF(OR(AND($G260="Higher is better",L260&gt;=$H260),AND($G260="Lower is better",L260&lt;=$H260)),A_Scoring_Model!$C$14,0),IF($G260="Higher is better",IF(L260&gt;=$H260,A_Scoring_Model!$C$14,IF(L260&lt;$I260,0,A_Scoring_Model!$C$15+(A_Scoring_Model!$C$14-A_Scoring_Model!$C$15)*(L260-$I260)/($H260-$I260))),IF(L260&lt;=$H260,A_Scoring_Model!$C$14,IF(L260&gt;$I260,0,A_Scoring_Model!$C$15+(A_Scoring_Model!$C$14-A_Scoring_Model!$C$15)*($I260-L260)/($I260-$H260))))))</f>
        <v/>
      </c>
      <c r="Q260" s="56" t="str">
        <f aca="false">IF(M260="","",IF($H260=$I260,IF(OR(AND($G260="Higher is better",M260&gt;=$H260),AND($G260="Lower is better",M260&lt;=$H260)),A_Scoring_Model!$C$14,0),IF($G260="Higher is better",IF(M260&gt;=$H260,A_Scoring_Model!$C$14,IF(M260&lt;$I260,0,A_Scoring_Model!$C$15+(A_Scoring_Model!$C$14-A_Scoring_Model!$C$15)*(M260-$I260)/($H260-$I260))),IF(M260&lt;=$H260,A_Scoring_Model!$C$14,IF(M260&gt;$I260,0,A_Scoring_Model!$C$15+(A_Scoring_Model!$C$14-A_Scoring_Model!$C$15)*($I260-M260)/($I260-$H260))))))</f>
        <v/>
      </c>
    </row>
    <row r="261" customFormat="false" ht="15" hidden="false" customHeight="false" outlineLevel="0" collapsed="false">
      <c r="A261" s="51" t="str">
        <f aca="false">C_KPI_Benchmark!A261</f>
        <v>5.a-D4-11</v>
      </c>
      <c r="B261" s="52" t="str">
        <f aca="false">C_KPI_Benchmark!D261</f>
        <v>5.a</v>
      </c>
      <c r="C261" s="51" t="str">
        <f aca="false">C_KPI_Benchmark!E261</f>
        <v>Test Orchestrator Agent</v>
      </c>
      <c r="D261" s="52" t="str">
        <f aca="false">C_KPI_Benchmark!F261</f>
        <v>D4</v>
      </c>
      <c r="E261" s="51" t="str">
        <f aca="false">C_KPI_Benchmark!J261</f>
        <v>Service availability</v>
      </c>
      <c r="F261" s="52" t="str">
        <f aca="false">C_KPI_Benchmark!K261</f>
        <v>%</v>
      </c>
      <c r="G261" s="51" t="str">
        <f aca="false">C_KPI_Benchmark!L261</f>
        <v>Higher is better</v>
      </c>
      <c r="H261" s="53" t="n">
        <f aca="false">C_KPI_Benchmark!N261</f>
        <v>0.995</v>
      </c>
      <c r="I261" s="54" t="n">
        <f aca="false">IF(C_KPI_Benchmark!O261&lt;&gt;"",C_KPI_Benchmark!O261,IF(G261="Higher is better",H261*(1-A_Scoring_Model!$C$16),H261*(1+A_Scoring_Model!$C$16)))</f>
        <v>0.99</v>
      </c>
      <c r="J261" s="55"/>
      <c r="K261" s="55"/>
      <c r="L261" s="55"/>
      <c r="M261" s="55"/>
      <c r="N261" s="56" t="str">
        <f aca="false">IF(J261="","",IF($H261=$I261,IF(OR(AND($G261="Higher is better",J261&gt;=$H261),AND($G261="Lower is better",J261&lt;=$H261)),A_Scoring_Model!$C$14,0),IF($G261="Higher is better",IF(J261&gt;=$H261,A_Scoring_Model!$C$14,IF(J261&lt;$I261,0,A_Scoring_Model!$C$15+(A_Scoring_Model!$C$14-A_Scoring_Model!$C$15)*(J261-$I261)/($H261-$I261))),IF(J261&lt;=$H261,A_Scoring_Model!$C$14,IF(J261&gt;$I261,0,A_Scoring_Model!$C$15+(A_Scoring_Model!$C$14-A_Scoring_Model!$C$15)*($I261-J261)/($I261-$H261))))))</f>
        <v/>
      </c>
      <c r="O261" s="56" t="str">
        <f aca="false">IF(K261="","",IF($H261=$I261,IF(OR(AND($G261="Higher is better",K261&gt;=$H261),AND($G261="Lower is better",K261&lt;=$H261)),A_Scoring_Model!$C$14,0),IF($G261="Higher is better",IF(K261&gt;=$H261,A_Scoring_Model!$C$14,IF(K261&lt;$I261,0,A_Scoring_Model!$C$15+(A_Scoring_Model!$C$14-A_Scoring_Model!$C$15)*(K261-$I261)/($H261-$I261))),IF(K261&lt;=$H261,A_Scoring_Model!$C$14,IF(K261&gt;$I261,0,A_Scoring_Model!$C$15+(A_Scoring_Model!$C$14-A_Scoring_Model!$C$15)*($I261-K261)/($I261-$H261))))))</f>
        <v/>
      </c>
      <c r="P261" s="56" t="str">
        <f aca="false">IF(L261="","",IF($H261=$I261,IF(OR(AND($G261="Higher is better",L261&gt;=$H261),AND($G261="Lower is better",L261&lt;=$H261)),A_Scoring_Model!$C$14,0),IF($G261="Higher is better",IF(L261&gt;=$H261,A_Scoring_Model!$C$14,IF(L261&lt;$I261,0,A_Scoring_Model!$C$15+(A_Scoring_Model!$C$14-A_Scoring_Model!$C$15)*(L261-$I261)/($H261-$I261))),IF(L261&lt;=$H261,A_Scoring_Model!$C$14,IF(L261&gt;$I261,0,A_Scoring_Model!$C$15+(A_Scoring_Model!$C$14-A_Scoring_Model!$C$15)*($I261-L261)/($I261-$H261))))))</f>
        <v/>
      </c>
      <c r="Q261" s="56" t="str">
        <f aca="false">IF(M261="","",IF($H261=$I261,IF(OR(AND($G261="Higher is better",M261&gt;=$H261),AND($G261="Lower is better",M261&lt;=$H261)),A_Scoring_Model!$C$14,0),IF($G261="Higher is better",IF(M261&gt;=$H261,A_Scoring_Model!$C$14,IF(M261&lt;$I261,0,A_Scoring_Model!$C$15+(A_Scoring_Model!$C$14-A_Scoring_Model!$C$15)*(M261-$I261)/($H261-$I261))),IF(M261&lt;=$H261,A_Scoring_Model!$C$14,IF(M261&gt;$I261,0,A_Scoring_Model!$C$15+(A_Scoring_Model!$C$14-A_Scoring_Model!$C$15)*($I261-M261)/($I261-$H261))))))</f>
        <v/>
      </c>
    </row>
    <row r="262" customFormat="false" ht="15" hidden="false" customHeight="false" outlineLevel="0" collapsed="false">
      <c r="A262" s="51" t="str">
        <f aca="false">C_KPI_Benchmark!A262</f>
        <v>5.a-D5-12</v>
      </c>
      <c r="B262" s="52" t="str">
        <f aca="false">C_KPI_Benchmark!D262</f>
        <v>5.a</v>
      </c>
      <c r="C262" s="51" t="str">
        <f aca="false">C_KPI_Benchmark!E262</f>
        <v>Test Orchestrator Agent</v>
      </c>
      <c r="D262" s="52" t="str">
        <f aca="false">C_KPI_Benchmark!F262</f>
        <v>D5</v>
      </c>
      <c r="E262" s="51" t="str">
        <f aca="false">C_KPI_Benchmark!J262</f>
        <v>Regression cycle time reduction</v>
      </c>
      <c r="F262" s="52" t="str">
        <f aca="false">C_KPI_Benchmark!K262</f>
        <v>%</v>
      </c>
      <c r="G262" s="51" t="str">
        <f aca="false">C_KPI_Benchmark!L262</f>
        <v>Higher is better</v>
      </c>
      <c r="H262" s="53" t="n">
        <f aca="false">C_KPI_Benchmark!N262</f>
        <v>0.4</v>
      </c>
      <c r="I262" s="54" t="n">
        <f aca="false">IF(C_KPI_Benchmark!O262&lt;&gt;"",C_KPI_Benchmark!O262,IF(G262="Higher is better",H262*(1-A_Scoring_Model!$C$16),H262*(1+A_Scoring_Model!$C$16)))</f>
        <v>0.32</v>
      </c>
      <c r="J262" s="55"/>
      <c r="K262" s="55"/>
      <c r="L262" s="55"/>
      <c r="M262" s="55"/>
      <c r="N262" s="56" t="str">
        <f aca="false">IF(J262="","",IF($H262=$I262,IF(OR(AND($G262="Higher is better",J262&gt;=$H262),AND($G262="Lower is better",J262&lt;=$H262)),A_Scoring_Model!$C$14,0),IF($G262="Higher is better",IF(J262&gt;=$H262,A_Scoring_Model!$C$14,IF(J262&lt;$I262,0,A_Scoring_Model!$C$15+(A_Scoring_Model!$C$14-A_Scoring_Model!$C$15)*(J262-$I262)/($H262-$I262))),IF(J262&lt;=$H262,A_Scoring_Model!$C$14,IF(J262&gt;$I262,0,A_Scoring_Model!$C$15+(A_Scoring_Model!$C$14-A_Scoring_Model!$C$15)*($I262-J262)/($I262-$H262))))))</f>
        <v/>
      </c>
      <c r="O262" s="56" t="str">
        <f aca="false">IF(K262="","",IF($H262=$I262,IF(OR(AND($G262="Higher is better",K262&gt;=$H262),AND($G262="Lower is better",K262&lt;=$H262)),A_Scoring_Model!$C$14,0),IF($G262="Higher is better",IF(K262&gt;=$H262,A_Scoring_Model!$C$14,IF(K262&lt;$I262,0,A_Scoring_Model!$C$15+(A_Scoring_Model!$C$14-A_Scoring_Model!$C$15)*(K262-$I262)/($H262-$I262))),IF(K262&lt;=$H262,A_Scoring_Model!$C$14,IF(K262&gt;$I262,0,A_Scoring_Model!$C$15+(A_Scoring_Model!$C$14-A_Scoring_Model!$C$15)*($I262-K262)/($I262-$H262))))))</f>
        <v/>
      </c>
      <c r="P262" s="56" t="str">
        <f aca="false">IF(L262="","",IF($H262=$I262,IF(OR(AND($G262="Higher is better",L262&gt;=$H262),AND($G262="Lower is better",L262&lt;=$H262)),A_Scoring_Model!$C$14,0),IF($G262="Higher is better",IF(L262&gt;=$H262,A_Scoring_Model!$C$14,IF(L262&lt;$I262,0,A_Scoring_Model!$C$15+(A_Scoring_Model!$C$14-A_Scoring_Model!$C$15)*(L262-$I262)/($H262-$I262))),IF(L262&lt;=$H262,A_Scoring_Model!$C$14,IF(L262&gt;$I262,0,A_Scoring_Model!$C$15+(A_Scoring_Model!$C$14-A_Scoring_Model!$C$15)*($I262-L262)/($I262-$H262))))))</f>
        <v/>
      </c>
      <c r="Q262" s="56" t="str">
        <f aca="false">IF(M262="","",IF($H262=$I262,IF(OR(AND($G262="Higher is better",M262&gt;=$H262),AND($G262="Lower is better",M262&lt;=$H262)),A_Scoring_Model!$C$14,0),IF($G262="Higher is better",IF(M262&gt;=$H262,A_Scoring_Model!$C$14,IF(M262&lt;$I262,0,A_Scoring_Model!$C$15+(A_Scoring_Model!$C$14-A_Scoring_Model!$C$15)*(M262-$I262)/($H262-$I262))),IF(M262&lt;=$H262,A_Scoring_Model!$C$14,IF(M262&gt;$I262,0,A_Scoring_Model!$C$15+(A_Scoring_Model!$C$14-A_Scoring_Model!$C$15)*($I262-M262)/($I262-$H262))))))</f>
        <v/>
      </c>
    </row>
    <row r="263" customFormat="false" ht="15" hidden="false" customHeight="false" outlineLevel="0" collapsed="false">
      <c r="A263" s="51" t="str">
        <f aca="false">C_KPI_Benchmark!A263</f>
        <v>5.a-D6-13</v>
      </c>
      <c r="B263" s="52" t="str">
        <f aca="false">C_KPI_Benchmark!D263</f>
        <v>5.a</v>
      </c>
      <c r="C263" s="51" t="str">
        <f aca="false">C_KPI_Benchmark!E263</f>
        <v>Test Orchestrator Agent</v>
      </c>
      <c r="D263" s="52" t="str">
        <f aca="false">C_KPI_Benchmark!F263</f>
        <v>D6</v>
      </c>
      <c r="E263" s="51" t="str">
        <f aca="false">C_KPI_Benchmark!J263</f>
        <v>Solution code test coverage</v>
      </c>
      <c r="F263" s="52" t="str">
        <f aca="false">C_KPI_Benchmark!K263</f>
        <v>%</v>
      </c>
      <c r="G263" s="51" t="str">
        <f aca="false">C_KPI_Benchmark!L263</f>
        <v>Higher is better</v>
      </c>
      <c r="H263" s="53" t="n">
        <f aca="false">C_KPI_Benchmark!N263</f>
        <v>0.8</v>
      </c>
      <c r="I263" s="54" t="n">
        <f aca="false">IF(C_KPI_Benchmark!O263&lt;&gt;"",C_KPI_Benchmark!O263,IF(G263="Higher is better",H263*(1-A_Scoring_Model!$C$16),H263*(1+A_Scoring_Model!$C$16)))</f>
        <v>0.6</v>
      </c>
      <c r="J263" s="55"/>
      <c r="K263" s="55"/>
      <c r="L263" s="55"/>
      <c r="M263" s="55"/>
      <c r="N263" s="56" t="str">
        <f aca="false">IF(J263="","",IF($H263=$I263,IF(OR(AND($G263="Higher is better",J263&gt;=$H263),AND($G263="Lower is better",J263&lt;=$H263)),A_Scoring_Model!$C$14,0),IF($G263="Higher is better",IF(J263&gt;=$H263,A_Scoring_Model!$C$14,IF(J263&lt;$I263,0,A_Scoring_Model!$C$15+(A_Scoring_Model!$C$14-A_Scoring_Model!$C$15)*(J263-$I263)/($H263-$I263))),IF(J263&lt;=$H263,A_Scoring_Model!$C$14,IF(J263&gt;$I263,0,A_Scoring_Model!$C$15+(A_Scoring_Model!$C$14-A_Scoring_Model!$C$15)*($I263-J263)/($I263-$H263))))))</f>
        <v/>
      </c>
      <c r="O263" s="56" t="str">
        <f aca="false">IF(K263="","",IF($H263=$I263,IF(OR(AND($G263="Higher is better",K263&gt;=$H263),AND($G263="Lower is better",K263&lt;=$H263)),A_Scoring_Model!$C$14,0),IF($G263="Higher is better",IF(K263&gt;=$H263,A_Scoring_Model!$C$14,IF(K263&lt;$I263,0,A_Scoring_Model!$C$15+(A_Scoring_Model!$C$14-A_Scoring_Model!$C$15)*(K263-$I263)/($H263-$I263))),IF(K263&lt;=$H263,A_Scoring_Model!$C$14,IF(K263&gt;$I263,0,A_Scoring_Model!$C$15+(A_Scoring_Model!$C$14-A_Scoring_Model!$C$15)*($I263-K263)/($I263-$H263))))))</f>
        <v/>
      </c>
      <c r="P263" s="56" t="str">
        <f aca="false">IF(L263="","",IF($H263=$I263,IF(OR(AND($G263="Higher is better",L263&gt;=$H263),AND($G263="Lower is better",L263&lt;=$H263)),A_Scoring_Model!$C$14,0),IF($G263="Higher is better",IF(L263&gt;=$H263,A_Scoring_Model!$C$14,IF(L263&lt;$I263,0,A_Scoring_Model!$C$15+(A_Scoring_Model!$C$14-A_Scoring_Model!$C$15)*(L263-$I263)/($H263-$I263))),IF(L263&lt;=$H263,A_Scoring_Model!$C$14,IF(L263&gt;$I263,0,A_Scoring_Model!$C$15+(A_Scoring_Model!$C$14-A_Scoring_Model!$C$15)*($I263-L263)/($I263-$H263))))))</f>
        <v/>
      </c>
      <c r="Q263" s="56" t="str">
        <f aca="false">IF(M263="","",IF($H263=$I263,IF(OR(AND($G263="Higher is better",M263&gt;=$H263),AND($G263="Lower is better",M263&lt;=$H263)),A_Scoring_Model!$C$14,0),IF($G263="Higher is better",IF(M263&gt;=$H263,A_Scoring_Model!$C$14,IF(M263&lt;$I263,0,A_Scoring_Model!$C$15+(A_Scoring_Model!$C$14-A_Scoring_Model!$C$15)*(M263-$I263)/($H263-$I263))),IF(M263&lt;=$H263,A_Scoring_Model!$C$14,IF(M263&gt;$I263,0,A_Scoring_Model!$C$15+(A_Scoring_Model!$C$14-A_Scoring_Model!$C$15)*($I263-M263)/($I263-$H263))))))</f>
        <v/>
      </c>
    </row>
    <row r="264" customFormat="false" ht="15" hidden="false" customHeight="false" outlineLevel="0" collapsed="false">
      <c r="A264" s="51" t="str">
        <f aca="false">C_KPI_Benchmark!A264</f>
        <v>5.a-D6-14</v>
      </c>
      <c r="B264" s="52" t="str">
        <f aca="false">C_KPI_Benchmark!D264</f>
        <v>5.a</v>
      </c>
      <c r="C264" s="51" t="str">
        <f aca="false">C_KPI_Benchmark!E264</f>
        <v>Test Orchestrator Agent</v>
      </c>
      <c r="D264" s="52" t="str">
        <f aca="false">C_KPI_Benchmark!F264</f>
        <v>D6</v>
      </c>
      <c r="E264" s="51" t="str">
        <f aca="false">C_KPI_Benchmark!J264</f>
        <v>Review Shield critical findings</v>
      </c>
      <c r="F264" s="52" t="str">
        <f aca="false">C_KPI_Benchmark!K264</f>
        <v>count</v>
      </c>
      <c r="G264" s="51" t="str">
        <f aca="false">C_KPI_Benchmark!L264</f>
        <v>Lower is better</v>
      </c>
      <c r="H264" s="62" t="n">
        <f aca="false">C_KPI_Benchmark!N264</f>
        <v>0</v>
      </c>
      <c r="I264" s="63" t="n">
        <f aca="false">IF(C_KPI_Benchmark!O264&lt;&gt;"",C_KPI_Benchmark!O264,IF(G264="Higher is better",H264*(1-A_Scoring_Model!$C$16),H264*(1+A_Scoring_Model!$C$16)))</f>
        <v>0</v>
      </c>
      <c r="J264" s="64"/>
      <c r="K264" s="64"/>
      <c r="L264" s="64"/>
      <c r="M264" s="64"/>
      <c r="N264" s="56" t="str">
        <f aca="false">IF(J264="","",IF($H264=$I264,IF(OR(AND($G264="Higher is better",J264&gt;=$H264),AND($G264="Lower is better",J264&lt;=$H264)),A_Scoring_Model!$C$14,0),IF($G264="Higher is better",IF(J264&gt;=$H264,A_Scoring_Model!$C$14,IF(J264&lt;$I264,0,A_Scoring_Model!$C$15+(A_Scoring_Model!$C$14-A_Scoring_Model!$C$15)*(J264-$I264)/($H264-$I264))),IF(J264&lt;=$H264,A_Scoring_Model!$C$14,IF(J264&gt;$I264,0,A_Scoring_Model!$C$15+(A_Scoring_Model!$C$14-A_Scoring_Model!$C$15)*($I264-J264)/($I264-$H264))))))</f>
        <v/>
      </c>
      <c r="O264" s="56" t="str">
        <f aca="false">IF(K264="","",IF($H264=$I264,IF(OR(AND($G264="Higher is better",K264&gt;=$H264),AND($G264="Lower is better",K264&lt;=$H264)),A_Scoring_Model!$C$14,0),IF($G264="Higher is better",IF(K264&gt;=$H264,A_Scoring_Model!$C$14,IF(K264&lt;$I264,0,A_Scoring_Model!$C$15+(A_Scoring_Model!$C$14-A_Scoring_Model!$C$15)*(K264-$I264)/($H264-$I264))),IF(K264&lt;=$H264,A_Scoring_Model!$C$14,IF(K264&gt;$I264,0,A_Scoring_Model!$C$15+(A_Scoring_Model!$C$14-A_Scoring_Model!$C$15)*($I264-K264)/($I264-$H264))))))</f>
        <v/>
      </c>
      <c r="P264" s="56" t="str">
        <f aca="false">IF(L264="","",IF($H264=$I264,IF(OR(AND($G264="Higher is better",L264&gt;=$H264),AND($G264="Lower is better",L264&lt;=$H264)),A_Scoring_Model!$C$14,0),IF($G264="Higher is better",IF(L264&gt;=$H264,A_Scoring_Model!$C$14,IF(L264&lt;$I264,0,A_Scoring_Model!$C$15+(A_Scoring_Model!$C$14-A_Scoring_Model!$C$15)*(L264-$I264)/($H264-$I264))),IF(L264&lt;=$H264,A_Scoring_Model!$C$14,IF(L264&gt;$I264,0,A_Scoring_Model!$C$15+(A_Scoring_Model!$C$14-A_Scoring_Model!$C$15)*($I264-L264)/($I264-$H264))))))</f>
        <v/>
      </c>
      <c r="Q264" s="56" t="str">
        <f aca="false">IF(M264="","",IF($H264=$I264,IF(OR(AND($G264="Higher is better",M264&gt;=$H264),AND($G264="Lower is better",M264&lt;=$H264)),A_Scoring_Model!$C$14,0),IF($G264="Higher is better",IF(M264&gt;=$H264,A_Scoring_Model!$C$14,IF(M264&lt;$I264,0,A_Scoring_Model!$C$15+(A_Scoring_Model!$C$14-A_Scoring_Model!$C$15)*(M264-$I264)/($H264-$I264))),IF(M264&lt;=$H264,A_Scoring_Model!$C$14,IF(M264&gt;$I264,0,A_Scoring_Model!$C$15+(A_Scoring_Model!$C$14-A_Scoring_Model!$C$15)*($I264-M264)/($I264-$H264))))))</f>
        <v/>
      </c>
    </row>
    <row r="265" customFormat="false" ht="15" hidden="false" customHeight="false" outlineLevel="0" collapsed="false">
      <c r="A265" s="51" t="str">
        <f aca="false">C_KPI_Benchmark!A265</f>
        <v>5.a-D6-15</v>
      </c>
      <c r="B265" s="52" t="str">
        <f aca="false">C_KPI_Benchmark!D265</f>
        <v>5.a</v>
      </c>
      <c r="C265" s="51" t="str">
        <f aca="false">C_KPI_Benchmark!E265</f>
        <v>Test Orchestrator Agent</v>
      </c>
      <c r="D265" s="52" t="str">
        <f aca="false">C_KPI_Benchmark!F265</f>
        <v>D6</v>
      </c>
      <c r="E265" s="51" t="str">
        <f aca="false">C_KPI_Benchmark!J265</f>
        <v>SAST high findings and exposed secrets</v>
      </c>
      <c r="F265" s="52" t="str">
        <f aca="false">C_KPI_Benchmark!K265</f>
        <v>count</v>
      </c>
      <c r="G265" s="51" t="str">
        <f aca="false">C_KPI_Benchmark!L265</f>
        <v>Lower is better</v>
      </c>
      <c r="H265" s="62" t="n">
        <f aca="false">C_KPI_Benchmark!N265</f>
        <v>0</v>
      </c>
      <c r="I265" s="63" t="n">
        <f aca="false">IF(C_KPI_Benchmark!O265&lt;&gt;"",C_KPI_Benchmark!O265,IF(G265="Higher is better",H265*(1-A_Scoring_Model!$C$16),H265*(1+A_Scoring_Model!$C$16)))</f>
        <v>0</v>
      </c>
      <c r="J265" s="64"/>
      <c r="K265" s="64"/>
      <c r="L265" s="64"/>
      <c r="M265" s="64"/>
      <c r="N265" s="56" t="str">
        <f aca="false">IF(J265="","",IF($H265=$I265,IF(OR(AND($G265="Higher is better",J265&gt;=$H265),AND($G265="Lower is better",J265&lt;=$H265)),A_Scoring_Model!$C$14,0),IF($G265="Higher is better",IF(J265&gt;=$H265,A_Scoring_Model!$C$14,IF(J265&lt;$I265,0,A_Scoring_Model!$C$15+(A_Scoring_Model!$C$14-A_Scoring_Model!$C$15)*(J265-$I265)/($H265-$I265))),IF(J265&lt;=$H265,A_Scoring_Model!$C$14,IF(J265&gt;$I265,0,A_Scoring_Model!$C$15+(A_Scoring_Model!$C$14-A_Scoring_Model!$C$15)*($I265-J265)/($I265-$H265))))))</f>
        <v/>
      </c>
      <c r="O265" s="56" t="str">
        <f aca="false">IF(K265="","",IF($H265=$I265,IF(OR(AND($G265="Higher is better",K265&gt;=$H265),AND($G265="Lower is better",K265&lt;=$H265)),A_Scoring_Model!$C$14,0),IF($G265="Higher is better",IF(K265&gt;=$H265,A_Scoring_Model!$C$14,IF(K265&lt;$I265,0,A_Scoring_Model!$C$15+(A_Scoring_Model!$C$14-A_Scoring_Model!$C$15)*(K265-$I265)/($H265-$I265))),IF(K265&lt;=$H265,A_Scoring_Model!$C$14,IF(K265&gt;$I265,0,A_Scoring_Model!$C$15+(A_Scoring_Model!$C$14-A_Scoring_Model!$C$15)*($I265-K265)/($I265-$H265))))))</f>
        <v/>
      </c>
      <c r="P265" s="56" t="str">
        <f aca="false">IF(L265="","",IF($H265=$I265,IF(OR(AND($G265="Higher is better",L265&gt;=$H265),AND($G265="Lower is better",L265&lt;=$H265)),A_Scoring_Model!$C$14,0),IF($G265="Higher is better",IF(L265&gt;=$H265,A_Scoring_Model!$C$14,IF(L265&lt;$I265,0,A_Scoring_Model!$C$15+(A_Scoring_Model!$C$14-A_Scoring_Model!$C$15)*(L265-$I265)/($H265-$I265))),IF(L265&lt;=$H265,A_Scoring_Model!$C$14,IF(L265&gt;$I265,0,A_Scoring_Model!$C$15+(A_Scoring_Model!$C$14-A_Scoring_Model!$C$15)*($I265-L265)/($I265-$H265))))))</f>
        <v/>
      </c>
      <c r="Q265" s="56" t="str">
        <f aca="false">IF(M265="","",IF($H265=$I265,IF(OR(AND($G265="Higher is better",M265&gt;=$H265),AND($G265="Lower is better",M265&lt;=$H265)),A_Scoring_Model!$C$14,0),IF($G265="Higher is better",IF(M265&gt;=$H265,A_Scoring_Model!$C$14,IF(M265&lt;$I265,0,A_Scoring_Model!$C$15+(A_Scoring_Model!$C$14-A_Scoring_Model!$C$15)*(M265-$I265)/($H265-$I265))),IF(M265&lt;=$H265,A_Scoring_Model!$C$14,IF(M265&gt;$I265,0,A_Scoring_Model!$C$15+(A_Scoring_Model!$C$14-A_Scoring_Model!$C$15)*($I265-M265)/($I265-$H265))))))</f>
        <v/>
      </c>
    </row>
    <row r="266" customFormat="false" ht="23.85" hidden="false" customHeight="false" outlineLevel="0" collapsed="false">
      <c r="A266" s="51" t="str">
        <f aca="false">C_KPI_Benchmark!A266</f>
        <v>5.a-D6-16</v>
      </c>
      <c r="B266" s="52" t="str">
        <f aca="false">C_KPI_Benchmark!D266</f>
        <v>5.a</v>
      </c>
      <c r="C266" s="51" t="str">
        <f aca="false">C_KPI_Benchmark!E266</f>
        <v>Test Orchestrator Agent</v>
      </c>
      <c r="D266" s="52" t="str">
        <f aca="false">C_KPI_Benchmark!F266</f>
        <v>D6</v>
      </c>
      <c r="E266" s="51" t="str">
        <f aca="false">C_KPI_Benchmark!J266</f>
        <v>Documentation pack complete (README, I/O contract, model card, runbook)</v>
      </c>
      <c r="F266" s="52" t="str">
        <f aca="false">C_KPI_Benchmark!K266</f>
        <v>Yes/No</v>
      </c>
      <c r="G266" s="51" t="str">
        <f aca="false">C_KPI_Benchmark!L266</f>
        <v>Higher is better</v>
      </c>
      <c r="H266" s="60" t="n">
        <f aca="false">C_KPI_Benchmark!N266</f>
        <v>1</v>
      </c>
      <c r="I266" s="56" t="n">
        <f aca="false">IF(C_KPI_Benchmark!O266&lt;&gt;"",C_KPI_Benchmark!O266,IF(G266="Higher is better",H266*(1-A_Scoring_Model!$C$16),H266*(1+A_Scoring_Model!$C$16)))</f>
        <v>0.8</v>
      </c>
      <c r="J266" s="61"/>
      <c r="K266" s="61"/>
      <c r="L266" s="61"/>
      <c r="M266" s="61"/>
      <c r="N266" s="56" t="str">
        <f aca="false">IF(J266="","",IF($H266=$I266,IF(OR(AND($G266="Higher is better",J266&gt;=$H266),AND($G266="Lower is better",J266&lt;=$H266)),A_Scoring_Model!$C$14,0),IF($G266="Higher is better",IF(J266&gt;=$H266,A_Scoring_Model!$C$14,IF(J266&lt;$I266,0,A_Scoring_Model!$C$15+(A_Scoring_Model!$C$14-A_Scoring_Model!$C$15)*(J266-$I266)/($H266-$I266))),IF(J266&lt;=$H266,A_Scoring_Model!$C$14,IF(J266&gt;$I266,0,A_Scoring_Model!$C$15+(A_Scoring_Model!$C$14-A_Scoring_Model!$C$15)*($I266-J266)/($I266-$H266))))))</f>
        <v/>
      </c>
      <c r="O266" s="56" t="str">
        <f aca="false">IF(K266="","",IF($H266=$I266,IF(OR(AND($G266="Higher is better",K266&gt;=$H266),AND($G266="Lower is better",K266&lt;=$H266)),A_Scoring_Model!$C$14,0),IF($G266="Higher is better",IF(K266&gt;=$H266,A_Scoring_Model!$C$14,IF(K266&lt;$I266,0,A_Scoring_Model!$C$15+(A_Scoring_Model!$C$14-A_Scoring_Model!$C$15)*(K266-$I266)/($H266-$I266))),IF(K266&lt;=$H266,A_Scoring_Model!$C$14,IF(K266&gt;$I266,0,A_Scoring_Model!$C$15+(A_Scoring_Model!$C$14-A_Scoring_Model!$C$15)*($I266-K266)/($I266-$H266))))))</f>
        <v/>
      </c>
      <c r="P266" s="56" t="str">
        <f aca="false">IF(L266="","",IF($H266=$I266,IF(OR(AND($G266="Higher is better",L266&gt;=$H266),AND($G266="Lower is better",L266&lt;=$H266)),A_Scoring_Model!$C$14,0),IF($G266="Higher is better",IF(L266&gt;=$H266,A_Scoring_Model!$C$14,IF(L266&lt;$I266,0,A_Scoring_Model!$C$15+(A_Scoring_Model!$C$14-A_Scoring_Model!$C$15)*(L266-$I266)/($H266-$I266))),IF(L266&lt;=$H266,A_Scoring_Model!$C$14,IF(L266&gt;$I266,0,A_Scoring_Model!$C$15+(A_Scoring_Model!$C$14-A_Scoring_Model!$C$15)*($I266-L266)/($I266-$H266))))))</f>
        <v/>
      </c>
      <c r="Q266" s="56" t="str">
        <f aca="false">IF(M266="","",IF($H266=$I266,IF(OR(AND($G266="Higher is better",M266&gt;=$H266),AND($G266="Lower is better",M266&lt;=$H266)),A_Scoring_Model!$C$14,0),IF($G266="Higher is better",IF(M266&gt;=$H266,A_Scoring_Model!$C$14,IF(M266&lt;$I266,0,A_Scoring_Model!$C$15+(A_Scoring_Model!$C$14-A_Scoring_Model!$C$15)*(M266-$I266)/($H266-$I266))),IF(M266&lt;=$H266,A_Scoring_Model!$C$14,IF(M266&gt;$I266,0,A_Scoring_Model!$C$15+(A_Scoring_Model!$C$14-A_Scoring_Model!$C$15)*($I266-M266)/($I266-$H266))))))</f>
        <v/>
      </c>
    </row>
    <row r="267" customFormat="false" ht="15" hidden="false" customHeight="false" outlineLevel="0" collapsed="false">
      <c r="A267" s="51" t="str">
        <f aca="false">C_KPI_Benchmark!A267</f>
        <v>5.a-D6-17</v>
      </c>
      <c r="B267" s="52" t="str">
        <f aca="false">C_KPI_Benchmark!D267</f>
        <v>5.a</v>
      </c>
      <c r="C267" s="51" t="str">
        <f aca="false">C_KPI_Benchmark!E267</f>
        <v>Test Orchestrator Agent</v>
      </c>
      <c r="D267" s="52" t="str">
        <f aca="false">C_KPI_Benchmark!F267</f>
        <v>D6</v>
      </c>
      <c r="E267" s="51" t="str">
        <f aca="false">C_KPI_Benchmark!J267</f>
        <v>Named owner and support SLA</v>
      </c>
      <c r="F267" s="52" t="str">
        <f aca="false">C_KPI_Benchmark!K267</f>
        <v>Yes/No</v>
      </c>
      <c r="G267" s="51" t="str">
        <f aca="false">C_KPI_Benchmark!L267</f>
        <v>Higher is better</v>
      </c>
      <c r="H267" s="60" t="n">
        <f aca="false">C_KPI_Benchmark!N267</f>
        <v>1</v>
      </c>
      <c r="I267" s="56" t="n">
        <f aca="false">IF(C_KPI_Benchmark!O267&lt;&gt;"",C_KPI_Benchmark!O267,IF(G267="Higher is better",H267*(1-A_Scoring_Model!$C$16),H267*(1+A_Scoring_Model!$C$16)))</f>
        <v>0.8</v>
      </c>
      <c r="J267" s="61"/>
      <c r="K267" s="61"/>
      <c r="L267" s="61"/>
      <c r="M267" s="61"/>
      <c r="N267" s="56" t="str">
        <f aca="false">IF(J267="","",IF($H267=$I267,IF(OR(AND($G267="Higher is better",J267&gt;=$H267),AND($G267="Lower is better",J267&lt;=$H267)),A_Scoring_Model!$C$14,0),IF($G267="Higher is better",IF(J267&gt;=$H267,A_Scoring_Model!$C$14,IF(J267&lt;$I267,0,A_Scoring_Model!$C$15+(A_Scoring_Model!$C$14-A_Scoring_Model!$C$15)*(J267-$I267)/($H267-$I267))),IF(J267&lt;=$H267,A_Scoring_Model!$C$14,IF(J267&gt;$I267,0,A_Scoring_Model!$C$15+(A_Scoring_Model!$C$14-A_Scoring_Model!$C$15)*($I267-J267)/($I267-$H267))))))</f>
        <v/>
      </c>
      <c r="O267" s="56" t="str">
        <f aca="false">IF(K267="","",IF($H267=$I267,IF(OR(AND($G267="Higher is better",K267&gt;=$H267),AND($G267="Lower is better",K267&lt;=$H267)),A_Scoring_Model!$C$14,0),IF($G267="Higher is better",IF(K267&gt;=$H267,A_Scoring_Model!$C$14,IF(K267&lt;$I267,0,A_Scoring_Model!$C$15+(A_Scoring_Model!$C$14-A_Scoring_Model!$C$15)*(K267-$I267)/($H267-$I267))),IF(K267&lt;=$H267,A_Scoring_Model!$C$14,IF(K267&gt;$I267,0,A_Scoring_Model!$C$15+(A_Scoring_Model!$C$14-A_Scoring_Model!$C$15)*($I267-K267)/($I267-$H267))))))</f>
        <v/>
      </c>
      <c r="P267" s="56" t="str">
        <f aca="false">IF(L267="","",IF($H267=$I267,IF(OR(AND($G267="Higher is better",L267&gt;=$H267),AND($G267="Lower is better",L267&lt;=$H267)),A_Scoring_Model!$C$14,0),IF($G267="Higher is better",IF(L267&gt;=$H267,A_Scoring_Model!$C$14,IF(L267&lt;$I267,0,A_Scoring_Model!$C$15+(A_Scoring_Model!$C$14-A_Scoring_Model!$C$15)*(L267-$I267)/($H267-$I267))),IF(L267&lt;=$H267,A_Scoring_Model!$C$14,IF(L267&gt;$I267,0,A_Scoring_Model!$C$15+(A_Scoring_Model!$C$14-A_Scoring_Model!$C$15)*($I267-L267)/($I267-$H267))))))</f>
        <v/>
      </c>
      <c r="Q267" s="56" t="str">
        <f aca="false">IF(M267="","",IF($H267=$I267,IF(OR(AND($G267="Higher is better",M267&gt;=$H267),AND($G267="Lower is better",M267&lt;=$H267)),A_Scoring_Model!$C$14,0),IF($G267="Higher is better",IF(M267&gt;=$H267,A_Scoring_Model!$C$14,IF(M267&lt;$I267,0,A_Scoring_Model!$C$15+(A_Scoring_Model!$C$14-A_Scoring_Model!$C$15)*(M267-$I267)/($H267-$I267))),IF(M267&lt;=$H267,A_Scoring_Model!$C$14,IF(M267&gt;$I267,0,A_Scoring_Model!$C$15+(A_Scoring_Model!$C$14-A_Scoring_Model!$C$15)*($I267-M267)/($I267-$H267))))))</f>
        <v/>
      </c>
    </row>
    <row r="268" customFormat="false" ht="15" hidden="false" customHeight="false" outlineLevel="0" collapsed="false">
      <c r="A268" s="51" t="str">
        <f aca="false">C_KPI_Benchmark!A268</f>
        <v>5.b-D1-01</v>
      </c>
      <c r="B268" s="52" t="str">
        <f aca="false">C_KPI_Benchmark!D268</f>
        <v>5.b</v>
      </c>
      <c r="C268" s="51" t="str">
        <f aca="false">C_KPI_Benchmark!E268</f>
        <v>Self-Healing Script Agent</v>
      </c>
      <c r="D268" s="52" t="str">
        <f aca="false">C_KPI_Benchmark!F268</f>
        <v>D1</v>
      </c>
      <c r="E268" s="51" t="str">
        <f aca="false">C_KPI_Benchmark!J268</f>
        <v>Heal success on true script breakage</v>
      </c>
      <c r="F268" s="52" t="str">
        <f aca="false">C_KPI_Benchmark!K268</f>
        <v>%</v>
      </c>
      <c r="G268" s="51" t="str">
        <f aca="false">C_KPI_Benchmark!L268</f>
        <v>Higher is better</v>
      </c>
      <c r="H268" s="53" t="n">
        <f aca="false">C_KPI_Benchmark!N268</f>
        <v>0.8</v>
      </c>
      <c r="I268" s="54" t="n">
        <f aca="false">IF(C_KPI_Benchmark!O268&lt;&gt;"",C_KPI_Benchmark!O268,IF(G268="Higher is better",H268*(1-A_Scoring_Model!$C$16),H268*(1+A_Scoring_Model!$C$16)))</f>
        <v>0.6</v>
      </c>
      <c r="J268" s="55"/>
      <c r="K268" s="55"/>
      <c r="L268" s="55"/>
      <c r="M268" s="55"/>
      <c r="N268" s="56" t="str">
        <f aca="false">IF(J268="","",IF($H268=$I268,IF(OR(AND($G268="Higher is better",J268&gt;=$H268),AND($G268="Lower is better",J268&lt;=$H268)),A_Scoring_Model!$C$14,0),IF($G268="Higher is better",IF(J268&gt;=$H268,A_Scoring_Model!$C$14,IF(J268&lt;$I268,0,A_Scoring_Model!$C$15+(A_Scoring_Model!$C$14-A_Scoring_Model!$C$15)*(J268-$I268)/($H268-$I268))),IF(J268&lt;=$H268,A_Scoring_Model!$C$14,IF(J268&gt;$I268,0,A_Scoring_Model!$C$15+(A_Scoring_Model!$C$14-A_Scoring_Model!$C$15)*($I268-J268)/($I268-$H268))))))</f>
        <v/>
      </c>
      <c r="O268" s="56" t="str">
        <f aca="false">IF(K268="","",IF($H268=$I268,IF(OR(AND($G268="Higher is better",K268&gt;=$H268),AND($G268="Lower is better",K268&lt;=$H268)),A_Scoring_Model!$C$14,0),IF($G268="Higher is better",IF(K268&gt;=$H268,A_Scoring_Model!$C$14,IF(K268&lt;$I268,0,A_Scoring_Model!$C$15+(A_Scoring_Model!$C$14-A_Scoring_Model!$C$15)*(K268-$I268)/($H268-$I268))),IF(K268&lt;=$H268,A_Scoring_Model!$C$14,IF(K268&gt;$I268,0,A_Scoring_Model!$C$15+(A_Scoring_Model!$C$14-A_Scoring_Model!$C$15)*($I268-K268)/($I268-$H268))))))</f>
        <v/>
      </c>
      <c r="P268" s="56" t="str">
        <f aca="false">IF(L268="","",IF($H268=$I268,IF(OR(AND($G268="Higher is better",L268&gt;=$H268),AND($G268="Lower is better",L268&lt;=$H268)),A_Scoring_Model!$C$14,0),IF($G268="Higher is better",IF(L268&gt;=$H268,A_Scoring_Model!$C$14,IF(L268&lt;$I268,0,A_Scoring_Model!$C$15+(A_Scoring_Model!$C$14-A_Scoring_Model!$C$15)*(L268-$I268)/($H268-$I268))),IF(L268&lt;=$H268,A_Scoring_Model!$C$14,IF(L268&gt;$I268,0,A_Scoring_Model!$C$15+(A_Scoring_Model!$C$14-A_Scoring_Model!$C$15)*($I268-L268)/($I268-$H268))))))</f>
        <v/>
      </c>
      <c r="Q268" s="56" t="str">
        <f aca="false">IF(M268="","",IF($H268=$I268,IF(OR(AND($G268="Higher is better",M268&gt;=$H268),AND($G268="Lower is better",M268&lt;=$H268)),A_Scoring_Model!$C$14,0),IF($G268="Higher is better",IF(M268&gt;=$H268,A_Scoring_Model!$C$14,IF(M268&lt;$I268,0,A_Scoring_Model!$C$15+(A_Scoring_Model!$C$14-A_Scoring_Model!$C$15)*(M268-$I268)/($H268-$I268))),IF(M268&lt;=$H268,A_Scoring_Model!$C$14,IF(M268&gt;$I268,0,A_Scoring_Model!$C$15+(A_Scoring_Model!$C$14-A_Scoring_Model!$C$15)*($I268-M268)/($I268-$H268))))))</f>
        <v/>
      </c>
    </row>
    <row r="269" customFormat="false" ht="15" hidden="false" customHeight="false" outlineLevel="0" collapsed="false">
      <c r="A269" s="51" t="str">
        <f aca="false">C_KPI_Benchmark!A269</f>
        <v>5.b-D1-02</v>
      </c>
      <c r="B269" s="52" t="str">
        <f aca="false">C_KPI_Benchmark!D269</f>
        <v>5.b</v>
      </c>
      <c r="C269" s="51" t="str">
        <f aca="false">C_KPI_Benchmark!E269</f>
        <v>Self-Healing Script Agent</v>
      </c>
      <c r="D269" s="52" t="str">
        <f aca="false">C_KPI_Benchmark!F269</f>
        <v>D1</v>
      </c>
      <c r="E269" s="51" t="str">
        <f aca="false">C_KPI_Benchmark!J269</f>
        <v>False heal (masks a real product defect)</v>
      </c>
      <c r="F269" s="52" t="str">
        <f aca="false">C_KPI_Benchmark!K269</f>
        <v>%</v>
      </c>
      <c r="G269" s="51" t="str">
        <f aca="false">C_KPI_Benchmark!L269</f>
        <v>Lower is better</v>
      </c>
      <c r="H269" s="53" t="n">
        <f aca="false">C_KPI_Benchmark!N269</f>
        <v>0.01</v>
      </c>
      <c r="I269" s="54" t="n">
        <f aca="false">IF(C_KPI_Benchmark!O269&lt;&gt;"",C_KPI_Benchmark!O269,IF(G269="Higher is better",H269*(1-A_Scoring_Model!$C$16),H269*(1+A_Scoring_Model!$C$16)))</f>
        <v>0.02</v>
      </c>
      <c r="J269" s="55"/>
      <c r="K269" s="55"/>
      <c r="L269" s="55"/>
      <c r="M269" s="55"/>
      <c r="N269" s="56" t="str">
        <f aca="false">IF(J269="","",IF($H269=$I269,IF(OR(AND($G269="Higher is better",J269&gt;=$H269),AND($G269="Lower is better",J269&lt;=$H269)),A_Scoring_Model!$C$14,0),IF($G269="Higher is better",IF(J269&gt;=$H269,A_Scoring_Model!$C$14,IF(J269&lt;$I269,0,A_Scoring_Model!$C$15+(A_Scoring_Model!$C$14-A_Scoring_Model!$C$15)*(J269-$I269)/($H269-$I269))),IF(J269&lt;=$H269,A_Scoring_Model!$C$14,IF(J269&gt;$I269,0,A_Scoring_Model!$C$15+(A_Scoring_Model!$C$14-A_Scoring_Model!$C$15)*($I269-J269)/($I269-$H269))))))</f>
        <v/>
      </c>
      <c r="O269" s="56" t="str">
        <f aca="false">IF(K269="","",IF($H269=$I269,IF(OR(AND($G269="Higher is better",K269&gt;=$H269),AND($G269="Lower is better",K269&lt;=$H269)),A_Scoring_Model!$C$14,0),IF($G269="Higher is better",IF(K269&gt;=$H269,A_Scoring_Model!$C$14,IF(K269&lt;$I269,0,A_Scoring_Model!$C$15+(A_Scoring_Model!$C$14-A_Scoring_Model!$C$15)*(K269-$I269)/($H269-$I269))),IF(K269&lt;=$H269,A_Scoring_Model!$C$14,IF(K269&gt;$I269,0,A_Scoring_Model!$C$15+(A_Scoring_Model!$C$14-A_Scoring_Model!$C$15)*($I269-K269)/($I269-$H269))))))</f>
        <v/>
      </c>
      <c r="P269" s="56" t="str">
        <f aca="false">IF(L269="","",IF($H269=$I269,IF(OR(AND($G269="Higher is better",L269&gt;=$H269),AND($G269="Lower is better",L269&lt;=$H269)),A_Scoring_Model!$C$14,0),IF($G269="Higher is better",IF(L269&gt;=$H269,A_Scoring_Model!$C$14,IF(L269&lt;$I269,0,A_Scoring_Model!$C$15+(A_Scoring_Model!$C$14-A_Scoring_Model!$C$15)*(L269-$I269)/($H269-$I269))),IF(L269&lt;=$H269,A_Scoring_Model!$C$14,IF(L269&gt;$I269,0,A_Scoring_Model!$C$15+(A_Scoring_Model!$C$14-A_Scoring_Model!$C$15)*($I269-L269)/($I269-$H269))))))</f>
        <v/>
      </c>
      <c r="Q269" s="56" t="str">
        <f aca="false">IF(M269="","",IF($H269=$I269,IF(OR(AND($G269="Higher is better",M269&gt;=$H269),AND($G269="Lower is better",M269&lt;=$H269)),A_Scoring_Model!$C$14,0),IF($G269="Higher is better",IF(M269&gt;=$H269,A_Scoring_Model!$C$14,IF(M269&lt;$I269,0,A_Scoring_Model!$C$15+(A_Scoring_Model!$C$14-A_Scoring_Model!$C$15)*(M269-$I269)/($H269-$I269))),IF(M269&lt;=$H269,A_Scoring_Model!$C$14,IF(M269&gt;$I269,0,A_Scoring_Model!$C$15+(A_Scoring_Model!$C$14-A_Scoring_Model!$C$15)*($I269-M269)/($I269-$H269))))))</f>
        <v/>
      </c>
    </row>
    <row r="270" customFormat="false" ht="15" hidden="false" customHeight="false" outlineLevel="0" collapsed="false">
      <c r="A270" s="51" t="str">
        <f aca="false">C_KPI_Benchmark!A270</f>
        <v>5.b-D1-03</v>
      </c>
      <c r="B270" s="52" t="str">
        <f aca="false">C_KPI_Benchmark!D270</f>
        <v>5.b</v>
      </c>
      <c r="C270" s="51" t="str">
        <f aca="false">C_KPI_Benchmark!E270</f>
        <v>Self-Healing Script Agent</v>
      </c>
      <c r="D270" s="52" t="str">
        <f aca="false">C_KPI_Benchmark!F270</f>
        <v>D1</v>
      </c>
      <c r="E270" s="51" t="str">
        <f aca="false">C_KPI_Benchmark!J270</f>
        <v>Script vs product failure classification F1</v>
      </c>
      <c r="F270" s="52" t="str">
        <f aca="false">C_KPI_Benchmark!K270</f>
        <v>F1</v>
      </c>
      <c r="G270" s="51" t="str">
        <f aca="false">C_KPI_Benchmark!L270</f>
        <v>Higher is better</v>
      </c>
      <c r="H270" s="57" t="n">
        <f aca="false">C_KPI_Benchmark!N270</f>
        <v>0.9</v>
      </c>
      <c r="I270" s="58" t="n">
        <f aca="false">IF(C_KPI_Benchmark!O270&lt;&gt;"",C_KPI_Benchmark!O270,IF(G270="Higher is better",H270*(1-A_Scoring_Model!$C$16),H270*(1+A_Scoring_Model!$C$16)))</f>
        <v>0.8</v>
      </c>
      <c r="J270" s="59"/>
      <c r="K270" s="59"/>
      <c r="L270" s="59"/>
      <c r="M270" s="59"/>
      <c r="N270" s="56" t="str">
        <f aca="false">IF(J270="","",IF($H270=$I270,IF(OR(AND($G270="Higher is better",J270&gt;=$H270),AND($G270="Lower is better",J270&lt;=$H270)),A_Scoring_Model!$C$14,0),IF($G270="Higher is better",IF(J270&gt;=$H270,A_Scoring_Model!$C$14,IF(J270&lt;$I270,0,A_Scoring_Model!$C$15+(A_Scoring_Model!$C$14-A_Scoring_Model!$C$15)*(J270-$I270)/($H270-$I270))),IF(J270&lt;=$H270,A_Scoring_Model!$C$14,IF(J270&gt;$I270,0,A_Scoring_Model!$C$15+(A_Scoring_Model!$C$14-A_Scoring_Model!$C$15)*($I270-J270)/($I270-$H270))))))</f>
        <v/>
      </c>
      <c r="O270" s="56" t="str">
        <f aca="false">IF(K270="","",IF($H270=$I270,IF(OR(AND($G270="Higher is better",K270&gt;=$H270),AND($G270="Lower is better",K270&lt;=$H270)),A_Scoring_Model!$C$14,0),IF($G270="Higher is better",IF(K270&gt;=$H270,A_Scoring_Model!$C$14,IF(K270&lt;$I270,0,A_Scoring_Model!$C$15+(A_Scoring_Model!$C$14-A_Scoring_Model!$C$15)*(K270-$I270)/($H270-$I270))),IF(K270&lt;=$H270,A_Scoring_Model!$C$14,IF(K270&gt;$I270,0,A_Scoring_Model!$C$15+(A_Scoring_Model!$C$14-A_Scoring_Model!$C$15)*($I270-K270)/($I270-$H270))))))</f>
        <v/>
      </c>
      <c r="P270" s="56" t="str">
        <f aca="false">IF(L270="","",IF($H270=$I270,IF(OR(AND($G270="Higher is better",L270&gt;=$H270),AND($G270="Lower is better",L270&lt;=$H270)),A_Scoring_Model!$C$14,0),IF($G270="Higher is better",IF(L270&gt;=$H270,A_Scoring_Model!$C$14,IF(L270&lt;$I270,0,A_Scoring_Model!$C$15+(A_Scoring_Model!$C$14-A_Scoring_Model!$C$15)*(L270-$I270)/($H270-$I270))),IF(L270&lt;=$H270,A_Scoring_Model!$C$14,IF(L270&gt;$I270,0,A_Scoring_Model!$C$15+(A_Scoring_Model!$C$14-A_Scoring_Model!$C$15)*($I270-L270)/($I270-$H270))))))</f>
        <v/>
      </c>
      <c r="Q270" s="56" t="str">
        <f aca="false">IF(M270="","",IF($H270=$I270,IF(OR(AND($G270="Higher is better",M270&gt;=$H270),AND($G270="Lower is better",M270&lt;=$H270)),A_Scoring_Model!$C$14,0),IF($G270="Higher is better",IF(M270&gt;=$H270,A_Scoring_Model!$C$14,IF(M270&lt;$I270,0,A_Scoring_Model!$C$15+(A_Scoring_Model!$C$14-A_Scoring_Model!$C$15)*(M270-$I270)/($H270-$I270))),IF(M270&lt;=$H270,A_Scoring_Model!$C$14,IF(M270&gt;$I270,0,A_Scoring_Model!$C$15+(A_Scoring_Model!$C$14-A_Scoring_Model!$C$15)*($I270-M270)/($I270-$H270))))))</f>
        <v/>
      </c>
    </row>
    <row r="271" customFormat="false" ht="15" hidden="false" customHeight="false" outlineLevel="0" collapsed="false">
      <c r="A271" s="51" t="str">
        <f aca="false">C_KPI_Benchmark!A271</f>
        <v>5.b-D2-04</v>
      </c>
      <c r="B271" s="52" t="str">
        <f aca="false">C_KPI_Benchmark!D271</f>
        <v>5.b</v>
      </c>
      <c r="C271" s="51" t="str">
        <f aca="false">C_KPI_Benchmark!E271</f>
        <v>Self-Healing Script Agent</v>
      </c>
      <c r="D271" s="52" t="str">
        <f aca="false">C_KPI_Benchmark!F271</f>
        <v>D2</v>
      </c>
      <c r="E271" s="51" t="str">
        <f aca="false">C_KPI_Benchmark!J271</f>
        <v>Shared failure-signature taxonomy; framework-neutral diff</v>
      </c>
      <c r="F271" s="52" t="str">
        <f aca="false">C_KPI_Benchmark!K271</f>
        <v>Yes/No</v>
      </c>
      <c r="G271" s="51" t="str">
        <f aca="false">C_KPI_Benchmark!L271</f>
        <v>Higher is better</v>
      </c>
      <c r="H271" s="60" t="n">
        <f aca="false">C_KPI_Benchmark!N271</f>
        <v>1</v>
      </c>
      <c r="I271" s="56" t="n">
        <f aca="false">IF(C_KPI_Benchmark!O271&lt;&gt;"",C_KPI_Benchmark!O271,IF(G271="Higher is better",H271*(1-A_Scoring_Model!$C$16),H271*(1+A_Scoring_Model!$C$16)))</f>
        <v>0.8</v>
      </c>
      <c r="J271" s="61"/>
      <c r="K271" s="61"/>
      <c r="L271" s="61"/>
      <c r="M271" s="61"/>
      <c r="N271" s="56" t="str">
        <f aca="false">IF(J271="","",IF($H271=$I271,IF(OR(AND($G271="Higher is better",J271&gt;=$H271),AND($G271="Lower is better",J271&lt;=$H271)),A_Scoring_Model!$C$14,0),IF($G271="Higher is better",IF(J271&gt;=$H271,A_Scoring_Model!$C$14,IF(J271&lt;$I271,0,A_Scoring_Model!$C$15+(A_Scoring_Model!$C$14-A_Scoring_Model!$C$15)*(J271-$I271)/($H271-$I271))),IF(J271&lt;=$H271,A_Scoring_Model!$C$14,IF(J271&gt;$I271,0,A_Scoring_Model!$C$15+(A_Scoring_Model!$C$14-A_Scoring_Model!$C$15)*($I271-J271)/($I271-$H271))))))</f>
        <v/>
      </c>
      <c r="O271" s="56" t="str">
        <f aca="false">IF(K271="","",IF($H271=$I271,IF(OR(AND($G271="Higher is better",K271&gt;=$H271),AND($G271="Lower is better",K271&lt;=$H271)),A_Scoring_Model!$C$14,0),IF($G271="Higher is better",IF(K271&gt;=$H271,A_Scoring_Model!$C$14,IF(K271&lt;$I271,0,A_Scoring_Model!$C$15+(A_Scoring_Model!$C$14-A_Scoring_Model!$C$15)*(K271-$I271)/($H271-$I271))),IF(K271&lt;=$H271,A_Scoring_Model!$C$14,IF(K271&gt;$I271,0,A_Scoring_Model!$C$15+(A_Scoring_Model!$C$14-A_Scoring_Model!$C$15)*($I271-K271)/($I271-$H271))))))</f>
        <v/>
      </c>
      <c r="P271" s="56" t="str">
        <f aca="false">IF(L271="","",IF($H271=$I271,IF(OR(AND($G271="Higher is better",L271&gt;=$H271),AND($G271="Lower is better",L271&lt;=$H271)),A_Scoring_Model!$C$14,0),IF($G271="Higher is better",IF(L271&gt;=$H271,A_Scoring_Model!$C$14,IF(L271&lt;$I271,0,A_Scoring_Model!$C$15+(A_Scoring_Model!$C$14-A_Scoring_Model!$C$15)*(L271-$I271)/($H271-$I271))),IF(L271&lt;=$H271,A_Scoring_Model!$C$14,IF(L271&gt;$I271,0,A_Scoring_Model!$C$15+(A_Scoring_Model!$C$14-A_Scoring_Model!$C$15)*($I271-L271)/($I271-$H271))))))</f>
        <v/>
      </c>
      <c r="Q271" s="56" t="str">
        <f aca="false">IF(M271="","",IF($H271=$I271,IF(OR(AND($G271="Higher is better",M271&gt;=$H271),AND($G271="Lower is better",M271&lt;=$H271)),A_Scoring_Model!$C$14,0),IF($G271="Higher is better",IF(M271&gt;=$H271,A_Scoring_Model!$C$14,IF(M271&lt;$I271,0,A_Scoring_Model!$C$15+(A_Scoring_Model!$C$14-A_Scoring_Model!$C$15)*(M271-$I271)/($H271-$I271))),IF(M271&lt;=$H271,A_Scoring_Model!$C$14,IF(M271&gt;$I271,0,A_Scoring_Model!$C$15+(A_Scoring_Model!$C$14-A_Scoring_Model!$C$15)*($I271-M271)/($I271-$H271))))))</f>
        <v/>
      </c>
    </row>
    <row r="272" customFormat="false" ht="23.85" hidden="false" customHeight="false" outlineLevel="0" collapsed="false">
      <c r="A272" s="51" t="str">
        <f aca="false">C_KPI_Benchmark!A272</f>
        <v>5.b-D2-05</v>
      </c>
      <c r="B272" s="52" t="str">
        <f aca="false">C_KPI_Benchmark!D272</f>
        <v>5.b</v>
      </c>
      <c r="C272" s="51" t="str">
        <f aca="false">C_KPI_Benchmark!E272</f>
        <v>Self-Healing Script Agent</v>
      </c>
      <c r="D272" s="52" t="str">
        <f aca="false">C_KPI_Benchmark!F272</f>
        <v>D2</v>
      </c>
      <c r="E272" s="51" t="str">
        <f aca="false">C_KPI_Benchmark!J272</f>
        <v>Product lines supported with ≤10% efficacy drop (NVMe SSD, UFS, eMMC/uSD, PSSD)</v>
      </c>
      <c r="F272" s="52" t="str">
        <f aca="false">C_KPI_Benchmark!K272</f>
        <v>count</v>
      </c>
      <c r="G272" s="51" t="str">
        <f aca="false">C_KPI_Benchmark!L272</f>
        <v>Higher is better</v>
      </c>
      <c r="H272" s="62" t="n">
        <f aca="false">C_KPI_Benchmark!N272</f>
        <v>3</v>
      </c>
      <c r="I272" s="63" t="n">
        <f aca="false">IF(C_KPI_Benchmark!O272&lt;&gt;"",C_KPI_Benchmark!O272,IF(G272="Higher is better",H272*(1-A_Scoring_Model!$C$16),H272*(1+A_Scoring_Model!$C$16)))</f>
        <v>2</v>
      </c>
      <c r="J272" s="64"/>
      <c r="K272" s="64"/>
      <c r="L272" s="64"/>
      <c r="M272" s="64"/>
      <c r="N272" s="56" t="str">
        <f aca="false">IF(J272="","",IF($H272=$I272,IF(OR(AND($G272="Higher is better",J272&gt;=$H272),AND($G272="Lower is better",J272&lt;=$H272)),A_Scoring_Model!$C$14,0),IF($G272="Higher is better",IF(J272&gt;=$H272,A_Scoring_Model!$C$14,IF(J272&lt;$I272,0,A_Scoring_Model!$C$15+(A_Scoring_Model!$C$14-A_Scoring_Model!$C$15)*(J272-$I272)/($H272-$I272))),IF(J272&lt;=$H272,A_Scoring_Model!$C$14,IF(J272&gt;$I272,0,A_Scoring_Model!$C$15+(A_Scoring_Model!$C$14-A_Scoring_Model!$C$15)*($I272-J272)/($I272-$H272))))))</f>
        <v/>
      </c>
      <c r="O272" s="56" t="str">
        <f aca="false">IF(K272="","",IF($H272=$I272,IF(OR(AND($G272="Higher is better",K272&gt;=$H272),AND($G272="Lower is better",K272&lt;=$H272)),A_Scoring_Model!$C$14,0),IF($G272="Higher is better",IF(K272&gt;=$H272,A_Scoring_Model!$C$14,IF(K272&lt;$I272,0,A_Scoring_Model!$C$15+(A_Scoring_Model!$C$14-A_Scoring_Model!$C$15)*(K272-$I272)/($H272-$I272))),IF(K272&lt;=$H272,A_Scoring_Model!$C$14,IF(K272&gt;$I272,0,A_Scoring_Model!$C$15+(A_Scoring_Model!$C$14-A_Scoring_Model!$C$15)*($I272-K272)/($I272-$H272))))))</f>
        <v/>
      </c>
      <c r="P272" s="56" t="str">
        <f aca="false">IF(L272="","",IF($H272=$I272,IF(OR(AND($G272="Higher is better",L272&gt;=$H272),AND($G272="Lower is better",L272&lt;=$H272)),A_Scoring_Model!$C$14,0),IF($G272="Higher is better",IF(L272&gt;=$H272,A_Scoring_Model!$C$14,IF(L272&lt;$I272,0,A_Scoring_Model!$C$15+(A_Scoring_Model!$C$14-A_Scoring_Model!$C$15)*(L272-$I272)/($H272-$I272))),IF(L272&lt;=$H272,A_Scoring_Model!$C$14,IF(L272&gt;$I272,0,A_Scoring_Model!$C$15+(A_Scoring_Model!$C$14-A_Scoring_Model!$C$15)*($I272-L272)/($I272-$H272))))))</f>
        <v/>
      </c>
      <c r="Q272" s="56" t="str">
        <f aca="false">IF(M272="","",IF($H272=$I272,IF(OR(AND($G272="Higher is better",M272&gt;=$H272),AND($G272="Lower is better",M272&lt;=$H272)),A_Scoring_Model!$C$14,0),IF($G272="Higher is better",IF(M272&gt;=$H272,A_Scoring_Model!$C$14,IF(M272&lt;$I272,0,A_Scoring_Model!$C$15+(A_Scoring_Model!$C$14-A_Scoring_Model!$C$15)*(M272-$I272)/($H272-$I272))),IF(M272&lt;=$H272,A_Scoring_Model!$C$14,IF(M272&gt;$I272,0,A_Scoring_Model!$C$15+(A_Scoring_Model!$C$14-A_Scoring_Model!$C$15)*($I272-M272)/($I272-$H272))))))</f>
        <v/>
      </c>
    </row>
    <row r="273" customFormat="false" ht="15" hidden="false" customHeight="false" outlineLevel="0" collapsed="false">
      <c r="A273" s="51" t="str">
        <f aca="false">C_KPI_Benchmark!A273</f>
        <v>5.b-D2-06</v>
      </c>
      <c r="B273" s="52" t="str">
        <f aca="false">C_KPI_Benchmark!D273</f>
        <v>5.b</v>
      </c>
      <c r="C273" s="51" t="str">
        <f aca="false">C_KPI_Benchmark!E273</f>
        <v>Self-Healing Script Agent</v>
      </c>
      <c r="D273" s="52" t="str">
        <f aca="false">C_KPI_Benchmark!F273</f>
        <v>D2</v>
      </c>
      <c r="E273" s="51" t="str">
        <f aca="false">C_KPI_Benchmark!J273</f>
        <v>Uses Zion shared services instead of re-implementing them</v>
      </c>
      <c r="F273" s="52" t="str">
        <f aca="false">C_KPI_Benchmark!K273</f>
        <v>Yes/No</v>
      </c>
      <c r="G273" s="51" t="str">
        <f aca="false">C_KPI_Benchmark!L273</f>
        <v>Higher is better</v>
      </c>
      <c r="H273" s="60" t="n">
        <f aca="false">C_KPI_Benchmark!N273</f>
        <v>1</v>
      </c>
      <c r="I273" s="56" t="n">
        <f aca="false">IF(C_KPI_Benchmark!O273&lt;&gt;"",C_KPI_Benchmark!O273,IF(G273="Higher is better",H273*(1-A_Scoring_Model!$C$16),H273*(1+A_Scoring_Model!$C$16)))</f>
        <v>0.8</v>
      </c>
      <c r="J273" s="61"/>
      <c r="K273" s="61"/>
      <c r="L273" s="61"/>
      <c r="M273" s="61"/>
      <c r="N273" s="56" t="str">
        <f aca="false">IF(J273="","",IF($H273=$I273,IF(OR(AND($G273="Higher is better",J273&gt;=$H273),AND($G273="Lower is better",J273&lt;=$H273)),A_Scoring_Model!$C$14,0),IF($G273="Higher is better",IF(J273&gt;=$H273,A_Scoring_Model!$C$14,IF(J273&lt;$I273,0,A_Scoring_Model!$C$15+(A_Scoring_Model!$C$14-A_Scoring_Model!$C$15)*(J273-$I273)/($H273-$I273))),IF(J273&lt;=$H273,A_Scoring_Model!$C$14,IF(J273&gt;$I273,0,A_Scoring_Model!$C$15+(A_Scoring_Model!$C$14-A_Scoring_Model!$C$15)*($I273-J273)/($I273-$H273))))))</f>
        <v/>
      </c>
      <c r="O273" s="56" t="str">
        <f aca="false">IF(K273="","",IF($H273=$I273,IF(OR(AND($G273="Higher is better",K273&gt;=$H273),AND($G273="Lower is better",K273&lt;=$H273)),A_Scoring_Model!$C$14,0),IF($G273="Higher is better",IF(K273&gt;=$H273,A_Scoring_Model!$C$14,IF(K273&lt;$I273,0,A_Scoring_Model!$C$15+(A_Scoring_Model!$C$14-A_Scoring_Model!$C$15)*(K273-$I273)/($H273-$I273))),IF(K273&lt;=$H273,A_Scoring_Model!$C$14,IF(K273&gt;$I273,0,A_Scoring_Model!$C$15+(A_Scoring_Model!$C$14-A_Scoring_Model!$C$15)*($I273-K273)/($I273-$H273))))))</f>
        <v/>
      </c>
      <c r="P273" s="56" t="str">
        <f aca="false">IF(L273="","",IF($H273=$I273,IF(OR(AND($G273="Higher is better",L273&gt;=$H273),AND($G273="Lower is better",L273&lt;=$H273)),A_Scoring_Model!$C$14,0),IF($G273="Higher is better",IF(L273&gt;=$H273,A_Scoring_Model!$C$14,IF(L273&lt;$I273,0,A_Scoring_Model!$C$15+(A_Scoring_Model!$C$14-A_Scoring_Model!$C$15)*(L273-$I273)/($H273-$I273))),IF(L273&lt;=$H273,A_Scoring_Model!$C$14,IF(L273&gt;$I273,0,A_Scoring_Model!$C$15+(A_Scoring_Model!$C$14-A_Scoring_Model!$C$15)*($I273-L273)/($I273-$H273))))))</f>
        <v/>
      </c>
      <c r="Q273" s="56" t="str">
        <f aca="false">IF(M273="","",IF($H273=$I273,IF(OR(AND($G273="Higher is better",M273&gt;=$H273),AND($G273="Lower is better",M273&lt;=$H273)),A_Scoring_Model!$C$14,0),IF($G273="Higher is better",IF(M273&gt;=$H273,A_Scoring_Model!$C$14,IF(M273&lt;$I273,0,A_Scoring_Model!$C$15+(A_Scoring_Model!$C$14-A_Scoring_Model!$C$15)*(M273-$I273)/($H273-$I273))),IF(M273&lt;=$H273,A_Scoring_Model!$C$14,IF(M273&gt;$I273,0,A_Scoring_Model!$C$15+(A_Scoring_Model!$C$14-A_Scoring_Model!$C$15)*($I273-M273)/($I273-$H273))))))</f>
        <v/>
      </c>
    </row>
    <row r="274" customFormat="false" ht="15" hidden="false" customHeight="false" outlineLevel="0" collapsed="false">
      <c r="A274" s="51" t="str">
        <f aca="false">C_KPI_Benchmark!A274</f>
        <v>5.b-D3-07</v>
      </c>
      <c r="B274" s="52" t="str">
        <f aca="false">C_KPI_Benchmark!D274</f>
        <v>5.b</v>
      </c>
      <c r="C274" s="51" t="str">
        <f aca="false">C_KPI_Benchmark!E274</f>
        <v>Self-Healing Script Agent</v>
      </c>
      <c r="D274" s="52" t="str">
        <f aca="false">C_KPI_Benchmark!F274</f>
        <v>D3</v>
      </c>
      <c r="E274" s="51" t="str">
        <f aca="false">C_KPI_Benchmark!J274</f>
        <v>Heal proposal time</v>
      </c>
      <c r="F274" s="52" t="str">
        <f aca="false">C_KPI_Benchmark!K274</f>
        <v>s</v>
      </c>
      <c r="G274" s="51" t="str">
        <f aca="false">C_KPI_Benchmark!L274</f>
        <v>Lower is better</v>
      </c>
      <c r="H274" s="62" t="n">
        <f aca="false">C_KPI_Benchmark!N274</f>
        <v>60</v>
      </c>
      <c r="I274" s="63" t="n">
        <f aca="false">IF(C_KPI_Benchmark!O274&lt;&gt;"",C_KPI_Benchmark!O274,IF(G274="Higher is better",H274*(1-A_Scoring_Model!$C$16),H274*(1+A_Scoring_Model!$C$16)))</f>
        <v>72</v>
      </c>
      <c r="J274" s="64"/>
      <c r="K274" s="64"/>
      <c r="L274" s="64"/>
      <c r="M274" s="64"/>
      <c r="N274" s="56" t="str">
        <f aca="false">IF(J274="","",IF($H274=$I274,IF(OR(AND($G274="Higher is better",J274&gt;=$H274),AND($G274="Lower is better",J274&lt;=$H274)),A_Scoring_Model!$C$14,0),IF($G274="Higher is better",IF(J274&gt;=$H274,A_Scoring_Model!$C$14,IF(J274&lt;$I274,0,A_Scoring_Model!$C$15+(A_Scoring_Model!$C$14-A_Scoring_Model!$C$15)*(J274-$I274)/($H274-$I274))),IF(J274&lt;=$H274,A_Scoring_Model!$C$14,IF(J274&gt;$I274,0,A_Scoring_Model!$C$15+(A_Scoring_Model!$C$14-A_Scoring_Model!$C$15)*($I274-J274)/($I274-$H274))))))</f>
        <v/>
      </c>
      <c r="O274" s="56" t="str">
        <f aca="false">IF(K274="","",IF($H274=$I274,IF(OR(AND($G274="Higher is better",K274&gt;=$H274),AND($G274="Lower is better",K274&lt;=$H274)),A_Scoring_Model!$C$14,0),IF($G274="Higher is better",IF(K274&gt;=$H274,A_Scoring_Model!$C$14,IF(K274&lt;$I274,0,A_Scoring_Model!$C$15+(A_Scoring_Model!$C$14-A_Scoring_Model!$C$15)*(K274-$I274)/($H274-$I274))),IF(K274&lt;=$H274,A_Scoring_Model!$C$14,IF(K274&gt;$I274,0,A_Scoring_Model!$C$15+(A_Scoring_Model!$C$14-A_Scoring_Model!$C$15)*($I274-K274)/($I274-$H274))))))</f>
        <v/>
      </c>
      <c r="P274" s="56" t="str">
        <f aca="false">IF(L274="","",IF($H274=$I274,IF(OR(AND($G274="Higher is better",L274&gt;=$H274),AND($G274="Lower is better",L274&lt;=$H274)),A_Scoring_Model!$C$14,0),IF($G274="Higher is better",IF(L274&gt;=$H274,A_Scoring_Model!$C$14,IF(L274&lt;$I274,0,A_Scoring_Model!$C$15+(A_Scoring_Model!$C$14-A_Scoring_Model!$C$15)*(L274-$I274)/($H274-$I274))),IF(L274&lt;=$H274,A_Scoring_Model!$C$14,IF(L274&gt;$I274,0,A_Scoring_Model!$C$15+(A_Scoring_Model!$C$14-A_Scoring_Model!$C$15)*($I274-L274)/($I274-$H274))))))</f>
        <v/>
      </c>
      <c r="Q274" s="56" t="str">
        <f aca="false">IF(M274="","",IF($H274=$I274,IF(OR(AND($G274="Higher is better",M274&gt;=$H274),AND($G274="Lower is better",M274&lt;=$H274)),A_Scoring_Model!$C$14,0),IF($G274="Higher is better",IF(M274&gt;=$H274,A_Scoring_Model!$C$14,IF(M274&lt;$I274,0,A_Scoring_Model!$C$15+(A_Scoring_Model!$C$14-A_Scoring_Model!$C$15)*(M274-$I274)/($H274-$I274))),IF(M274&lt;=$H274,A_Scoring_Model!$C$14,IF(M274&gt;$I274,0,A_Scoring_Model!$C$15+(A_Scoring_Model!$C$14-A_Scoring_Model!$C$15)*($I274-M274)/($I274-$H274))))))</f>
        <v/>
      </c>
    </row>
    <row r="275" customFormat="false" ht="15" hidden="false" customHeight="false" outlineLevel="0" collapsed="false">
      <c r="A275" s="51" t="str">
        <f aca="false">C_KPI_Benchmark!A275</f>
        <v>5.b-D3-08</v>
      </c>
      <c r="B275" s="52" t="str">
        <f aca="false">C_KPI_Benchmark!D275</f>
        <v>5.b</v>
      </c>
      <c r="C275" s="51" t="str">
        <f aca="false">C_KPI_Benchmark!E275</f>
        <v>Self-Healing Script Agent</v>
      </c>
      <c r="D275" s="52" t="str">
        <f aca="false">C_KPI_Benchmark!F275</f>
        <v>D3</v>
      </c>
      <c r="E275" s="51" t="str">
        <f aca="false">C_KPI_Benchmark!J275</f>
        <v>Latency degradation at 10× load</v>
      </c>
      <c r="F275" s="52" t="str">
        <f aca="false">C_KPI_Benchmark!K275</f>
        <v>%</v>
      </c>
      <c r="G275" s="51" t="str">
        <f aca="false">C_KPI_Benchmark!L275</f>
        <v>Lower is better</v>
      </c>
      <c r="H275" s="53" t="n">
        <f aca="false">C_KPI_Benchmark!N275</f>
        <v>0.2</v>
      </c>
      <c r="I275" s="54" t="n">
        <f aca="false">IF(C_KPI_Benchmark!O275&lt;&gt;"",C_KPI_Benchmark!O275,IF(G275="Higher is better",H275*(1-A_Scoring_Model!$C$16),H275*(1+A_Scoring_Model!$C$16)))</f>
        <v>0.4</v>
      </c>
      <c r="J275" s="55"/>
      <c r="K275" s="55"/>
      <c r="L275" s="55"/>
      <c r="M275" s="55"/>
      <c r="N275" s="56" t="str">
        <f aca="false">IF(J275="","",IF($H275=$I275,IF(OR(AND($G275="Higher is better",J275&gt;=$H275),AND($G275="Lower is better",J275&lt;=$H275)),A_Scoring_Model!$C$14,0),IF($G275="Higher is better",IF(J275&gt;=$H275,A_Scoring_Model!$C$14,IF(J275&lt;$I275,0,A_Scoring_Model!$C$15+(A_Scoring_Model!$C$14-A_Scoring_Model!$C$15)*(J275-$I275)/($H275-$I275))),IF(J275&lt;=$H275,A_Scoring_Model!$C$14,IF(J275&gt;$I275,0,A_Scoring_Model!$C$15+(A_Scoring_Model!$C$14-A_Scoring_Model!$C$15)*($I275-J275)/($I275-$H275))))))</f>
        <v/>
      </c>
      <c r="O275" s="56" t="str">
        <f aca="false">IF(K275="","",IF($H275=$I275,IF(OR(AND($G275="Higher is better",K275&gt;=$H275),AND($G275="Lower is better",K275&lt;=$H275)),A_Scoring_Model!$C$14,0),IF($G275="Higher is better",IF(K275&gt;=$H275,A_Scoring_Model!$C$14,IF(K275&lt;$I275,0,A_Scoring_Model!$C$15+(A_Scoring_Model!$C$14-A_Scoring_Model!$C$15)*(K275-$I275)/($H275-$I275))),IF(K275&lt;=$H275,A_Scoring_Model!$C$14,IF(K275&gt;$I275,0,A_Scoring_Model!$C$15+(A_Scoring_Model!$C$14-A_Scoring_Model!$C$15)*($I275-K275)/($I275-$H275))))))</f>
        <v/>
      </c>
      <c r="P275" s="56" t="str">
        <f aca="false">IF(L275="","",IF($H275=$I275,IF(OR(AND($G275="Higher is better",L275&gt;=$H275),AND($G275="Lower is better",L275&lt;=$H275)),A_Scoring_Model!$C$14,0),IF($G275="Higher is better",IF(L275&gt;=$H275,A_Scoring_Model!$C$14,IF(L275&lt;$I275,0,A_Scoring_Model!$C$15+(A_Scoring_Model!$C$14-A_Scoring_Model!$C$15)*(L275-$I275)/($H275-$I275))),IF(L275&lt;=$H275,A_Scoring_Model!$C$14,IF(L275&gt;$I275,0,A_Scoring_Model!$C$15+(A_Scoring_Model!$C$14-A_Scoring_Model!$C$15)*($I275-L275)/($I275-$H275))))))</f>
        <v/>
      </c>
      <c r="Q275" s="56" t="str">
        <f aca="false">IF(M275="","",IF($H275=$I275,IF(OR(AND($G275="Higher is better",M275&gt;=$H275),AND($G275="Lower is better",M275&lt;=$H275)),A_Scoring_Model!$C$14,0),IF($G275="Higher is better",IF(M275&gt;=$H275,A_Scoring_Model!$C$14,IF(M275&lt;$I275,0,A_Scoring_Model!$C$15+(A_Scoring_Model!$C$14-A_Scoring_Model!$C$15)*(M275-$I275)/($H275-$I275))),IF(M275&lt;=$H275,A_Scoring_Model!$C$14,IF(M275&gt;$I275,0,A_Scoring_Model!$C$15+(A_Scoring_Model!$C$14-A_Scoring_Model!$C$15)*($I275-M275)/($I275-$H275))))))</f>
        <v/>
      </c>
    </row>
    <row r="276" customFormat="false" ht="15" hidden="false" customHeight="false" outlineLevel="0" collapsed="false">
      <c r="A276" s="51" t="str">
        <f aca="false">C_KPI_Benchmark!A276</f>
        <v>5.b-D4-09</v>
      </c>
      <c r="B276" s="52" t="str">
        <f aca="false">C_KPI_Benchmark!D276</f>
        <v>5.b</v>
      </c>
      <c r="C276" s="51" t="str">
        <f aca="false">C_KPI_Benchmark!E276</f>
        <v>Self-Healing Script Agent</v>
      </c>
      <c r="D276" s="52" t="str">
        <f aca="false">C_KPI_Benchmark!F276</f>
        <v>D4</v>
      </c>
      <c r="E276" s="51" t="str">
        <f aca="false">C_KPI_Benchmark!J276</f>
        <v>Heals submitted as PR needing approval</v>
      </c>
      <c r="F276" s="52" t="str">
        <f aca="false">C_KPI_Benchmark!K276</f>
        <v>%</v>
      </c>
      <c r="G276" s="51" t="str">
        <f aca="false">C_KPI_Benchmark!L276</f>
        <v>Higher is better</v>
      </c>
      <c r="H276" s="53" t="n">
        <f aca="false">C_KPI_Benchmark!N276</f>
        <v>1</v>
      </c>
      <c r="I276" s="54" t="n">
        <f aca="false">IF(C_KPI_Benchmark!O276&lt;&gt;"",C_KPI_Benchmark!O276,IF(G276="Higher is better",H276*(1-A_Scoring_Model!$C$16),H276*(1+A_Scoring_Model!$C$16)))</f>
        <v>0.8</v>
      </c>
      <c r="J276" s="55"/>
      <c r="K276" s="55"/>
      <c r="L276" s="55"/>
      <c r="M276" s="55"/>
      <c r="N276" s="56" t="str">
        <f aca="false">IF(J276="","",IF($H276=$I276,IF(OR(AND($G276="Higher is better",J276&gt;=$H276),AND($G276="Lower is better",J276&lt;=$H276)),A_Scoring_Model!$C$14,0),IF($G276="Higher is better",IF(J276&gt;=$H276,A_Scoring_Model!$C$14,IF(J276&lt;$I276,0,A_Scoring_Model!$C$15+(A_Scoring_Model!$C$14-A_Scoring_Model!$C$15)*(J276-$I276)/($H276-$I276))),IF(J276&lt;=$H276,A_Scoring_Model!$C$14,IF(J276&gt;$I276,0,A_Scoring_Model!$C$15+(A_Scoring_Model!$C$14-A_Scoring_Model!$C$15)*($I276-J276)/($I276-$H276))))))</f>
        <v/>
      </c>
      <c r="O276" s="56" t="str">
        <f aca="false">IF(K276="","",IF($H276=$I276,IF(OR(AND($G276="Higher is better",K276&gt;=$H276),AND($G276="Lower is better",K276&lt;=$H276)),A_Scoring_Model!$C$14,0),IF($G276="Higher is better",IF(K276&gt;=$H276,A_Scoring_Model!$C$14,IF(K276&lt;$I276,0,A_Scoring_Model!$C$15+(A_Scoring_Model!$C$14-A_Scoring_Model!$C$15)*(K276-$I276)/($H276-$I276))),IF(K276&lt;=$H276,A_Scoring_Model!$C$14,IF(K276&gt;$I276,0,A_Scoring_Model!$C$15+(A_Scoring_Model!$C$14-A_Scoring_Model!$C$15)*($I276-K276)/($I276-$H276))))))</f>
        <v/>
      </c>
      <c r="P276" s="56" t="str">
        <f aca="false">IF(L276="","",IF($H276=$I276,IF(OR(AND($G276="Higher is better",L276&gt;=$H276),AND($G276="Lower is better",L276&lt;=$H276)),A_Scoring_Model!$C$14,0),IF($G276="Higher is better",IF(L276&gt;=$H276,A_Scoring_Model!$C$14,IF(L276&lt;$I276,0,A_Scoring_Model!$C$15+(A_Scoring_Model!$C$14-A_Scoring_Model!$C$15)*(L276-$I276)/($H276-$I276))),IF(L276&lt;=$H276,A_Scoring_Model!$C$14,IF(L276&gt;$I276,0,A_Scoring_Model!$C$15+(A_Scoring_Model!$C$14-A_Scoring_Model!$C$15)*($I276-L276)/($I276-$H276))))))</f>
        <v/>
      </c>
      <c r="Q276" s="56" t="str">
        <f aca="false">IF(M276="","",IF($H276=$I276,IF(OR(AND($G276="Higher is better",M276&gt;=$H276),AND($G276="Lower is better",M276&lt;=$H276)),A_Scoring_Model!$C$14,0),IF($G276="Higher is better",IF(M276&gt;=$H276,A_Scoring_Model!$C$14,IF(M276&lt;$I276,0,A_Scoring_Model!$C$15+(A_Scoring_Model!$C$14-A_Scoring_Model!$C$15)*(M276-$I276)/($H276-$I276))),IF(M276&lt;=$H276,A_Scoring_Model!$C$14,IF(M276&gt;$I276,0,A_Scoring_Model!$C$15+(A_Scoring_Model!$C$14-A_Scoring_Model!$C$15)*($I276-M276)/($I276-$H276))))))</f>
        <v/>
      </c>
    </row>
    <row r="277" customFormat="false" ht="15" hidden="false" customHeight="false" outlineLevel="0" collapsed="false">
      <c r="A277" s="51" t="str">
        <f aca="false">C_KPI_Benchmark!A277</f>
        <v>5.b-D4-10</v>
      </c>
      <c r="B277" s="52" t="str">
        <f aca="false">C_KPI_Benchmark!D277</f>
        <v>5.b</v>
      </c>
      <c r="C277" s="51" t="str">
        <f aca="false">C_KPI_Benchmark!E277</f>
        <v>Self-Healing Script Agent</v>
      </c>
      <c r="D277" s="52" t="str">
        <f aca="false">C_KPI_Benchmark!F277</f>
        <v>D4</v>
      </c>
      <c r="E277" s="51" t="str">
        <f aca="false">C_KPI_Benchmark!J277</f>
        <v>Service availability</v>
      </c>
      <c r="F277" s="52" t="str">
        <f aca="false">C_KPI_Benchmark!K277</f>
        <v>%</v>
      </c>
      <c r="G277" s="51" t="str">
        <f aca="false">C_KPI_Benchmark!L277</f>
        <v>Higher is better</v>
      </c>
      <c r="H277" s="53" t="n">
        <f aca="false">C_KPI_Benchmark!N277</f>
        <v>0.995</v>
      </c>
      <c r="I277" s="54" t="n">
        <f aca="false">IF(C_KPI_Benchmark!O277&lt;&gt;"",C_KPI_Benchmark!O277,IF(G277="Higher is better",H277*(1-A_Scoring_Model!$C$16),H277*(1+A_Scoring_Model!$C$16)))</f>
        <v>0.99</v>
      </c>
      <c r="J277" s="55"/>
      <c r="K277" s="55"/>
      <c r="L277" s="55"/>
      <c r="M277" s="55"/>
      <c r="N277" s="56" t="str">
        <f aca="false">IF(J277="","",IF($H277=$I277,IF(OR(AND($G277="Higher is better",J277&gt;=$H277),AND($G277="Lower is better",J277&lt;=$H277)),A_Scoring_Model!$C$14,0),IF($G277="Higher is better",IF(J277&gt;=$H277,A_Scoring_Model!$C$14,IF(J277&lt;$I277,0,A_Scoring_Model!$C$15+(A_Scoring_Model!$C$14-A_Scoring_Model!$C$15)*(J277-$I277)/($H277-$I277))),IF(J277&lt;=$H277,A_Scoring_Model!$C$14,IF(J277&gt;$I277,0,A_Scoring_Model!$C$15+(A_Scoring_Model!$C$14-A_Scoring_Model!$C$15)*($I277-J277)/($I277-$H277))))))</f>
        <v/>
      </c>
      <c r="O277" s="56" t="str">
        <f aca="false">IF(K277="","",IF($H277=$I277,IF(OR(AND($G277="Higher is better",K277&gt;=$H277),AND($G277="Lower is better",K277&lt;=$H277)),A_Scoring_Model!$C$14,0),IF($G277="Higher is better",IF(K277&gt;=$H277,A_Scoring_Model!$C$14,IF(K277&lt;$I277,0,A_Scoring_Model!$C$15+(A_Scoring_Model!$C$14-A_Scoring_Model!$C$15)*(K277-$I277)/($H277-$I277))),IF(K277&lt;=$H277,A_Scoring_Model!$C$14,IF(K277&gt;$I277,0,A_Scoring_Model!$C$15+(A_Scoring_Model!$C$14-A_Scoring_Model!$C$15)*($I277-K277)/($I277-$H277))))))</f>
        <v/>
      </c>
      <c r="P277" s="56" t="str">
        <f aca="false">IF(L277="","",IF($H277=$I277,IF(OR(AND($G277="Higher is better",L277&gt;=$H277),AND($G277="Lower is better",L277&lt;=$H277)),A_Scoring_Model!$C$14,0),IF($G277="Higher is better",IF(L277&gt;=$H277,A_Scoring_Model!$C$14,IF(L277&lt;$I277,0,A_Scoring_Model!$C$15+(A_Scoring_Model!$C$14-A_Scoring_Model!$C$15)*(L277-$I277)/($H277-$I277))),IF(L277&lt;=$H277,A_Scoring_Model!$C$14,IF(L277&gt;$I277,0,A_Scoring_Model!$C$15+(A_Scoring_Model!$C$14-A_Scoring_Model!$C$15)*($I277-L277)/($I277-$H277))))))</f>
        <v/>
      </c>
      <c r="Q277" s="56" t="str">
        <f aca="false">IF(M277="","",IF($H277=$I277,IF(OR(AND($G277="Higher is better",M277&gt;=$H277),AND($G277="Lower is better",M277&lt;=$H277)),A_Scoring_Model!$C$14,0),IF($G277="Higher is better",IF(M277&gt;=$H277,A_Scoring_Model!$C$14,IF(M277&lt;$I277,0,A_Scoring_Model!$C$15+(A_Scoring_Model!$C$14-A_Scoring_Model!$C$15)*(M277-$I277)/($H277-$I277))),IF(M277&lt;=$H277,A_Scoring_Model!$C$14,IF(M277&gt;$I277,0,A_Scoring_Model!$C$15+(A_Scoring_Model!$C$14-A_Scoring_Model!$C$15)*($I277-M277)/($I277-$H277))))))</f>
        <v/>
      </c>
    </row>
    <row r="278" customFormat="false" ht="15" hidden="false" customHeight="false" outlineLevel="0" collapsed="false">
      <c r="A278" s="51" t="str">
        <f aca="false">C_KPI_Benchmark!A278</f>
        <v>5.b-D5-11</v>
      </c>
      <c r="B278" s="52" t="str">
        <f aca="false">C_KPI_Benchmark!D278</f>
        <v>5.b</v>
      </c>
      <c r="C278" s="51" t="str">
        <f aca="false">C_KPI_Benchmark!E278</f>
        <v>Self-Healing Script Agent</v>
      </c>
      <c r="D278" s="52" t="str">
        <f aca="false">C_KPI_Benchmark!F278</f>
        <v>D5</v>
      </c>
      <c r="E278" s="51" t="str">
        <f aca="false">C_KPI_Benchmark!J278</f>
        <v>Script maintenance effort reduction</v>
      </c>
      <c r="F278" s="52" t="str">
        <f aca="false">C_KPI_Benchmark!K278</f>
        <v>%</v>
      </c>
      <c r="G278" s="51" t="str">
        <f aca="false">C_KPI_Benchmark!L278</f>
        <v>Higher is better</v>
      </c>
      <c r="H278" s="53" t="n">
        <f aca="false">C_KPI_Benchmark!N278</f>
        <v>0.5</v>
      </c>
      <c r="I278" s="54" t="n">
        <f aca="false">IF(C_KPI_Benchmark!O278&lt;&gt;"",C_KPI_Benchmark!O278,IF(G278="Higher is better",H278*(1-A_Scoring_Model!$C$16),H278*(1+A_Scoring_Model!$C$16)))</f>
        <v>0.4</v>
      </c>
      <c r="J278" s="55"/>
      <c r="K278" s="55"/>
      <c r="L278" s="55"/>
      <c r="M278" s="55"/>
      <c r="N278" s="56" t="str">
        <f aca="false">IF(J278="","",IF($H278=$I278,IF(OR(AND($G278="Higher is better",J278&gt;=$H278),AND($G278="Lower is better",J278&lt;=$H278)),A_Scoring_Model!$C$14,0),IF($G278="Higher is better",IF(J278&gt;=$H278,A_Scoring_Model!$C$14,IF(J278&lt;$I278,0,A_Scoring_Model!$C$15+(A_Scoring_Model!$C$14-A_Scoring_Model!$C$15)*(J278-$I278)/($H278-$I278))),IF(J278&lt;=$H278,A_Scoring_Model!$C$14,IF(J278&gt;$I278,0,A_Scoring_Model!$C$15+(A_Scoring_Model!$C$14-A_Scoring_Model!$C$15)*($I278-J278)/($I278-$H278))))))</f>
        <v/>
      </c>
      <c r="O278" s="56" t="str">
        <f aca="false">IF(K278="","",IF($H278=$I278,IF(OR(AND($G278="Higher is better",K278&gt;=$H278),AND($G278="Lower is better",K278&lt;=$H278)),A_Scoring_Model!$C$14,0),IF($G278="Higher is better",IF(K278&gt;=$H278,A_Scoring_Model!$C$14,IF(K278&lt;$I278,0,A_Scoring_Model!$C$15+(A_Scoring_Model!$C$14-A_Scoring_Model!$C$15)*(K278-$I278)/($H278-$I278))),IF(K278&lt;=$H278,A_Scoring_Model!$C$14,IF(K278&gt;$I278,0,A_Scoring_Model!$C$15+(A_Scoring_Model!$C$14-A_Scoring_Model!$C$15)*($I278-K278)/($I278-$H278))))))</f>
        <v/>
      </c>
      <c r="P278" s="56" t="str">
        <f aca="false">IF(L278="","",IF($H278=$I278,IF(OR(AND($G278="Higher is better",L278&gt;=$H278),AND($G278="Lower is better",L278&lt;=$H278)),A_Scoring_Model!$C$14,0),IF($G278="Higher is better",IF(L278&gt;=$H278,A_Scoring_Model!$C$14,IF(L278&lt;$I278,0,A_Scoring_Model!$C$15+(A_Scoring_Model!$C$14-A_Scoring_Model!$C$15)*(L278-$I278)/($H278-$I278))),IF(L278&lt;=$H278,A_Scoring_Model!$C$14,IF(L278&gt;$I278,0,A_Scoring_Model!$C$15+(A_Scoring_Model!$C$14-A_Scoring_Model!$C$15)*($I278-L278)/($I278-$H278))))))</f>
        <v/>
      </c>
      <c r="Q278" s="56" t="str">
        <f aca="false">IF(M278="","",IF($H278=$I278,IF(OR(AND($G278="Higher is better",M278&gt;=$H278),AND($G278="Lower is better",M278&lt;=$H278)),A_Scoring_Model!$C$14,0),IF($G278="Higher is better",IF(M278&gt;=$H278,A_Scoring_Model!$C$14,IF(M278&lt;$I278,0,A_Scoring_Model!$C$15+(A_Scoring_Model!$C$14-A_Scoring_Model!$C$15)*(M278-$I278)/($H278-$I278))),IF(M278&lt;=$H278,A_Scoring_Model!$C$14,IF(M278&gt;$I278,0,A_Scoring_Model!$C$15+(A_Scoring_Model!$C$14-A_Scoring_Model!$C$15)*($I278-M278)/($I278-$H278))))))</f>
        <v/>
      </c>
    </row>
    <row r="279" customFormat="false" ht="15" hidden="false" customHeight="false" outlineLevel="0" collapsed="false">
      <c r="A279" s="51" t="str">
        <f aca="false">C_KPI_Benchmark!A279</f>
        <v>5.b-D6-12</v>
      </c>
      <c r="B279" s="52" t="str">
        <f aca="false">C_KPI_Benchmark!D279</f>
        <v>5.b</v>
      </c>
      <c r="C279" s="51" t="str">
        <f aca="false">C_KPI_Benchmark!E279</f>
        <v>Self-Healing Script Agent</v>
      </c>
      <c r="D279" s="52" t="str">
        <f aca="false">C_KPI_Benchmark!F279</f>
        <v>D6</v>
      </c>
      <c r="E279" s="51" t="str">
        <f aca="false">C_KPI_Benchmark!J279</f>
        <v>Solution code test coverage</v>
      </c>
      <c r="F279" s="52" t="str">
        <f aca="false">C_KPI_Benchmark!K279</f>
        <v>%</v>
      </c>
      <c r="G279" s="51" t="str">
        <f aca="false">C_KPI_Benchmark!L279</f>
        <v>Higher is better</v>
      </c>
      <c r="H279" s="53" t="n">
        <f aca="false">C_KPI_Benchmark!N279</f>
        <v>0.8</v>
      </c>
      <c r="I279" s="54" t="n">
        <f aca="false">IF(C_KPI_Benchmark!O279&lt;&gt;"",C_KPI_Benchmark!O279,IF(G279="Higher is better",H279*(1-A_Scoring_Model!$C$16),H279*(1+A_Scoring_Model!$C$16)))</f>
        <v>0.6</v>
      </c>
      <c r="J279" s="55"/>
      <c r="K279" s="55"/>
      <c r="L279" s="55"/>
      <c r="M279" s="55"/>
      <c r="N279" s="56" t="str">
        <f aca="false">IF(J279="","",IF($H279=$I279,IF(OR(AND($G279="Higher is better",J279&gt;=$H279),AND($G279="Lower is better",J279&lt;=$H279)),A_Scoring_Model!$C$14,0),IF($G279="Higher is better",IF(J279&gt;=$H279,A_Scoring_Model!$C$14,IF(J279&lt;$I279,0,A_Scoring_Model!$C$15+(A_Scoring_Model!$C$14-A_Scoring_Model!$C$15)*(J279-$I279)/($H279-$I279))),IF(J279&lt;=$H279,A_Scoring_Model!$C$14,IF(J279&gt;$I279,0,A_Scoring_Model!$C$15+(A_Scoring_Model!$C$14-A_Scoring_Model!$C$15)*($I279-J279)/($I279-$H279))))))</f>
        <v/>
      </c>
      <c r="O279" s="56" t="str">
        <f aca="false">IF(K279="","",IF($H279=$I279,IF(OR(AND($G279="Higher is better",K279&gt;=$H279),AND($G279="Lower is better",K279&lt;=$H279)),A_Scoring_Model!$C$14,0),IF($G279="Higher is better",IF(K279&gt;=$H279,A_Scoring_Model!$C$14,IF(K279&lt;$I279,0,A_Scoring_Model!$C$15+(A_Scoring_Model!$C$14-A_Scoring_Model!$C$15)*(K279-$I279)/($H279-$I279))),IF(K279&lt;=$H279,A_Scoring_Model!$C$14,IF(K279&gt;$I279,0,A_Scoring_Model!$C$15+(A_Scoring_Model!$C$14-A_Scoring_Model!$C$15)*($I279-K279)/($I279-$H279))))))</f>
        <v/>
      </c>
      <c r="P279" s="56" t="str">
        <f aca="false">IF(L279="","",IF($H279=$I279,IF(OR(AND($G279="Higher is better",L279&gt;=$H279),AND($G279="Lower is better",L279&lt;=$H279)),A_Scoring_Model!$C$14,0),IF($G279="Higher is better",IF(L279&gt;=$H279,A_Scoring_Model!$C$14,IF(L279&lt;$I279,0,A_Scoring_Model!$C$15+(A_Scoring_Model!$C$14-A_Scoring_Model!$C$15)*(L279-$I279)/($H279-$I279))),IF(L279&lt;=$H279,A_Scoring_Model!$C$14,IF(L279&gt;$I279,0,A_Scoring_Model!$C$15+(A_Scoring_Model!$C$14-A_Scoring_Model!$C$15)*($I279-L279)/($I279-$H279))))))</f>
        <v/>
      </c>
      <c r="Q279" s="56" t="str">
        <f aca="false">IF(M279="","",IF($H279=$I279,IF(OR(AND($G279="Higher is better",M279&gt;=$H279),AND($G279="Lower is better",M279&lt;=$H279)),A_Scoring_Model!$C$14,0),IF($G279="Higher is better",IF(M279&gt;=$H279,A_Scoring_Model!$C$14,IF(M279&lt;$I279,0,A_Scoring_Model!$C$15+(A_Scoring_Model!$C$14-A_Scoring_Model!$C$15)*(M279-$I279)/($H279-$I279))),IF(M279&lt;=$H279,A_Scoring_Model!$C$14,IF(M279&gt;$I279,0,A_Scoring_Model!$C$15+(A_Scoring_Model!$C$14-A_Scoring_Model!$C$15)*($I279-M279)/($I279-$H279))))))</f>
        <v/>
      </c>
    </row>
    <row r="280" customFormat="false" ht="15" hidden="false" customHeight="false" outlineLevel="0" collapsed="false">
      <c r="A280" s="51" t="str">
        <f aca="false">C_KPI_Benchmark!A280</f>
        <v>5.b-D6-13</v>
      </c>
      <c r="B280" s="52" t="str">
        <f aca="false">C_KPI_Benchmark!D280</f>
        <v>5.b</v>
      </c>
      <c r="C280" s="51" t="str">
        <f aca="false">C_KPI_Benchmark!E280</f>
        <v>Self-Healing Script Agent</v>
      </c>
      <c r="D280" s="52" t="str">
        <f aca="false">C_KPI_Benchmark!F280</f>
        <v>D6</v>
      </c>
      <c r="E280" s="51" t="str">
        <f aca="false">C_KPI_Benchmark!J280</f>
        <v>Review Shield critical findings</v>
      </c>
      <c r="F280" s="52" t="str">
        <f aca="false">C_KPI_Benchmark!K280</f>
        <v>count</v>
      </c>
      <c r="G280" s="51" t="str">
        <f aca="false">C_KPI_Benchmark!L280</f>
        <v>Lower is better</v>
      </c>
      <c r="H280" s="62" t="n">
        <f aca="false">C_KPI_Benchmark!N280</f>
        <v>0</v>
      </c>
      <c r="I280" s="63" t="n">
        <f aca="false">IF(C_KPI_Benchmark!O280&lt;&gt;"",C_KPI_Benchmark!O280,IF(G280="Higher is better",H280*(1-A_Scoring_Model!$C$16),H280*(1+A_Scoring_Model!$C$16)))</f>
        <v>0</v>
      </c>
      <c r="J280" s="64"/>
      <c r="K280" s="64"/>
      <c r="L280" s="64"/>
      <c r="M280" s="64"/>
      <c r="N280" s="56" t="str">
        <f aca="false">IF(J280="","",IF($H280=$I280,IF(OR(AND($G280="Higher is better",J280&gt;=$H280),AND($G280="Lower is better",J280&lt;=$H280)),A_Scoring_Model!$C$14,0),IF($G280="Higher is better",IF(J280&gt;=$H280,A_Scoring_Model!$C$14,IF(J280&lt;$I280,0,A_Scoring_Model!$C$15+(A_Scoring_Model!$C$14-A_Scoring_Model!$C$15)*(J280-$I280)/($H280-$I280))),IF(J280&lt;=$H280,A_Scoring_Model!$C$14,IF(J280&gt;$I280,0,A_Scoring_Model!$C$15+(A_Scoring_Model!$C$14-A_Scoring_Model!$C$15)*($I280-J280)/($I280-$H280))))))</f>
        <v/>
      </c>
      <c r="O280" s="56" t="str">
        <f aca="false">IF(K280="","",IF($H280=$I280,IF(OR(AND($G280="Higher is better",K280&gt;=$H280),AND($G280="Lower is better",K280&lt;=$H280)),A_Scoring_Model!$C$14,0),IF($G280="Higher is better",IF(K280&gt;=$H280,A_Scoring_Model!$C$14,IF(K280&lt;$I280,0,A_Scoring_Model!$C$15+(A_Scoring_Model!$C$14-A_Scoring_Model!$C$15)*(K280-$I280)/($H280-$I280))),IF(K280&lt;=$H280,A_Scoring_Model!$C$14,IF(K280&gt;$I280,0,A_Scoring_Model!$C$15+(A_Scoring_Model!$C$14-A_Scoring_Model!$C$15)*($I280-K280)/($I280-$H280))))))</f>
        <v/>
      </c>
      <c r="P280" s="56" t="str">
        <f aca="false">IF(L280="","",IF($H280=$I280,IF(OR(AND($G280="Higher is better",L280&gt;=$H280),AND($G280="Lower is better",L280&lt;=$H280)),A_Scoring_Model!$C$14,0),IF($G280="Higher is better",IF(L280&gt;=$H280,A_Scoring_Model!$C$14,IF(L280&lt;$I280,0,A_Scoring_Model!$C$15+(A_Scoring_Model!$C$14-A_Scoring_Model!$C$15)*(L280-$I280)/($H280-$I280))),IF(L280&lt;=$H280,A_Scoring_Model!$C$14,IF(L280&gt;$I280,0,A_Scoring_Model!$C$15+(A_Scoring_Model!$C$14-A_Scoring_Model!$C$15)*($I280-L280)/($I280-$H280))))))</f>
        <v/>
      </c>
      <c r="Q280" s="56" t="str">
        <f aca="false">IF(M280="","",IF($H280=$I280,IF(OR(AND($G280="Higher is better",M280&gt;=$H280),AND($G280="Lower is better",M280&lt;=$H280)),A_Scoring_Model!$C$14,0),IF($G280="Higher is better",IF(M280&gt;=$H280,A_Scoring_Model!$C$14,IF(M280&lt;$I280,0,A_Scoring_Model!$C$15+(A_Scoring_Model!$C$14-A_Scoring_Model!$C$15)*(M280-$I280)/($H280-$I280))),IF(M280&lt;=$H280,A_Scoring_Model!$C$14,IF(M280&gt;$I280,0,A_Scoring_Model!$C$15+(A_Scoring_Model!$C$14-A_Scoring_Model!$C$15)*($I280-M280)/($I280-$H280))))))</f>
        <v/>
      </c>
    </row>
    <row r="281" customFormat="false" ht="15" hidden="false" customHeight="false" outlineLevel="0" collapsed="false">
      <c r="A281" s="51" t="str">
        <f aca="false">C_KPI_Benchmark!A281</f>
        <v>5.b-D6-14</v>
      </c>
      <c r="B281" s="52" t="str">
        <f aca="false">C_KPI_Benchmark!D281</f>
        <v>5.b</v>
      </c>
      <c r="C281" s="51" t="str">
        <f aca="false">C_KPI_Benchmark!E281</f>
        <v>Self-Healing Script Agent</v>
      </c>
      <c r="D281" s="52" t="str">
        <f aca="false">C_KPI_Benchmark!F281</f>
        <v>D6</v>
      </c>
      <c r="E281" s="51" t="str">
        <f aca="false">C_KPI_Benchmark!J281</f>
        <v>SAST high findings and exposed secrets</v>
      </c>
      <c r="F281" s="52" t="str">
        <f aca="false">C_KPI_Benchmark!K281</f>
        <v>count</v>
      </c>
      <c r="G281" s="51" t="str">
        <f aca="false">C_KPI_Benchmark!L281</f>
        <v>Lower is better</v>
      </c>
      <c r="H281" s="62" t="n">
        <f aca="false">C_KPI_Benchmark!N281</f>
        <v>0</v>
      </c>
      <c r="I281" s="63" t="n">
        <f aca="false">IF(C_KPI_Benchmark!O281&lt;&gt;"",C_KPI_Benchmark!O281,IF(G281="Higher is better",H281*(1-A_Scoring_Model!$C$16),H281*(1+A_Scoring_Model!$C$16)))</f>
        <v>0</v>
      </c>
      <c r="J281" s="64"/>
      <c r="K281" s="64"/>
      <c r="L281" s="64"/>
      <c r="M281" s="64"/>
      <c r="N281" s="56" t="str">
        <f aca="false">IF(J281="","",IF($H281=$I281,IF(OR(AND($G281="Higher is better",J281&gt;=$H281),AND($G281="Lower is better",J281&lt;=$H281)),A_Scoring_Model!$C$14,0),IF($G281="Higher is better",IF(J281&gt;=$H281,A_Scoring_Model!$C$14,IF(J281&lt;$I281,0,A_Scoring_Model!$C$15+(A_Scoring_Model!$C$14-A_Scoring_Model!$C$15)*(J281-$I281)/($H281-$I281))),IF(J281&lt;=$H281,A_Scoring_Model!$C$14,IF(J281&gt;$I281,0,A_Scoring_Model!$C$15+(A_Scoring_Model!$C$14-A_Scoring_Model!$C$15)*($I281-J281)/($I281-$H281))))))</f>
        <v/>
      </c>
      <c r="O281" s="56" t="str">
        <f aca="false">IF(K281="","",IF($H281=$I281,IF(OR(AND($G281="Higher is better",K281&gt;=$H281),AND($G281="Lower is better",K281&lt;=$H281)),A_Scoring_Model!$C$14,0),IF($G281="Higher is better",IF(K281&gt;=$H281,A_Scoring_Model!$C$14,IF(K281&lt;$I281,0,A_Scoring_Model!$C$15+(A_Scoring_Model!$C$14-A_Scoring_Model!$C$15)*(K281-$I281)/($H281-$I281))),IF(K281&lt;=$H281,A_Scoring_Model!$C$14,IF(K281&gt;$I281,0,A_Scoring_Model!$C$15+(A_Scoring_Model!$C$14-A_Scoring_Model!$C$15)*($I281-K281)/($I281-$H281))))))</f>
        <v/>
      </c>
      <c r="P281" s="56" t="str">
        <f aca="false">IF(L281="","",IF($H281=$I281,IF(OR(AND($G281="Higher is better",L281&gt;=$H281),AND($G281="Lower is better",L281&lt;=$H281)),A_Scoring_Model!$C$14,0),IF($G281="Higher is better",IF(L281&gt;=$H281,A_Scoring_Model!$C$14,IF(L281&lt;$I281,0,A_Scoring_Model!$C$15+(A_Scoring_Model!$C$14-A_Scoring_Model!$C$15)*(L281-$I281)/($H281-$I281))),IF(L281&lt;=$H281,A_Scoring_Model!$C$14,IF(L281&gt;$I281,0,A_Scoring_Model!$C$15+(A_Scoring_Model!$C$14-A_Scoring_Model!$C$15)*($I281-L281)/($I281-$H281))))))</f>
        <v/>
      </c>
      <c r="Q281" s="56" t="str">
        <f aca="false">IF(M281="","",IF($H281=$I281,IF(OR(AND($G281="Higher is better",M281&gt;=$H281),AND($G281="Lower is better",M281&lt;=$H281)),A_Scoring_Model!$C$14,0),IF($G281="Higher is better",IF(M281&gt;=$H281,A_Scoring_Model!$C$14,IF(M281&lt;$I281,0,A_Scoring_Model!$C$15+(A_Scoring_Model!$C$14-A_Scoring_Model!$C$15)*(M281-$I281)/($H281-$I281))),IF(M281&lt;=$H281,A_Scoring_Model!$C$14,IF(M281&gt;$I281,0,A_Scoring_Model!$C$15+(A_Scoring_Model!$C$14-A_Scoring_Model!$C$15)*($I281-M281)/($I281-$H281))))))</f>
        <v/>
      </c>
    </row>
    <row r="282" customFormat="false" ht="23.85" hidden="false" customHeight="false" outlineLevel="0" collapsed="false">
      <c r="A282" s="51" t="str">
        <f aca="false">C_KPI_Benchmark!A282</f>
        <v>5.b-D6-15</v>
      </c>
      <c r="B282" s="52" t="str">
        <f aca="false">C_KPI_Benchmark!D282</f>
        <v>5.b</v>
      </c>
      <c r="C282" s="51" t="str">
        <f aca="false">C_KPI_Benchmark!E282</f>
        <v>Self-Healing Script Agent</v>
      </c>
      <c r="D282" s="52" t="str">
        <f aca="false">C_KPI_Benchmark!F282</f>
        <v>D6</v>
      </c>
      <c r="E282" s="51" t="str">
        <f aca="false">C_KPI_Benchmark!J282</f>
        <v>Documentation pack complete (README, I/O contract, model card, runbook)</v>
      </c>
      <c r="F282" s="52" t="str">
        <f aca="false">C_KPI_Benchmark!K282</f>
        <v>Yes/No</v>
      </c>
      <c r="G282" s="51" t="str">
        <f aca="false">C_KPI_Benchmark!L282</f>
        <v>Higher is better</v>
      </c>
      <c r="H282" s="60" t="n">
        <f aca="false">C_KPI_Benchmark!N282</f>
        <v>1</v>
      </c>
      <c r="I282" s="56" t="n">
        <f aca="false">IF(C_KPI_Benchmark!O282&lt;&gt;"",C_KPI_Benchmark!O282,IF(G282="Higher is better",H282*(1-A_Scoring_Model!$C$16),H282*(1+A_Scoring_Model!$C$16)))</f>
        <v>0.8</v>
      </c>
      <c r="J282" s="61"/>
      <c r="K282" s="61"/>
      <c r="L282" s="61"/>
      <c r="M282" s="61"/>
      <c r="N282" s="56" t="str">
        <f aca="false">IF(J282="","",IF($H282=$I282,IF(OR(AND($G282="Higher is better",J282&gt;=$H282),AND($G282="Lower is better",J282&lt;=$H282)),A_Scoring_Model!$C$14,0),IF($G282="Higher is better",IF(J282&gt;=$H282,A_Scoring_Model!$C$14,IF(J282&lt;$I282,0,A_Scoring_Model!$C$15+(A_Scoring_Model!$C$14-A_Scoring_Model!$C$15)*(J282-$I282)/($H282-$I282))),IF(J282&lt;=$H282,A_Scoring_Model!$C$14,IF(J282&gt;$I282,0,A_Scoring_Model!$C$15+(A_Scoring_Model!$C$14-A_Scoring_Model!$C$15)*($I282-J282)/($I282-$H282))))))</f>
        <v/>
      </c>
      <c r="O282" s="56" t="str">
        <f aca="false">IF(K282="","",IF($H282=$I282,IF(OR(AND($G282="Higher is better",K282&gt;=$H282),AND($G282="Lower is better",K282&lt;=$H282)),A_Scoring_Model!$C$14,0),IF($G282="Higher is better",IF(K282&gt;=$H282,A_Scoring_Model!$C$14,IF(K282&lt;$I282,0,A_Scoring_Model!$C$15+(A_Scoring_Model!$C$14-A_Scoring_Model!$C$15)*(K282-$I282)/($H282-$I282))),IF(K282&lt;=$H282,A_Scoring_Model!$C$14,IF(K282&gt;$I282,0,A_Scoring_Model!$C$15+(A_Scoring_Model!$C$14-A_Scoring_Model!$C$15)*($I282-K282)/($I282-$H282))))))</f>
        <v/>
      </c>
      <c r="P282" s="56" t="str">
        <f aca="false">IF(L282="","",IF($H282=$I282,IF(OR(AND($G282="Higher is better",L282&gt;=$H282),AND($G282="Lower is better",L282&lt;=$H282)),A_Scoring_Model!$C$14,0),IF($G282="Higher is better",IF(L282&gt;=$H282,A_Scoring_Model!$C$14,IF(L282&lt;$I282,0,A_Scoring_Model!$C$15+(A_Scoring_Model!$C$14-A_Scoring_Model!$C$15)*(L282-$I282)/($H282-$I282))),IF(L282&lt;=$H282,A_Scoring_Model!$C$14,IF(L282&gt;$I282,0,A_Scoring_Model!$C$15+(A_Scoring_Model!$C$14-A_Scoring_Model!$C$15)*($I282-L282)/($I282-$H282))))))</f>
        <v/>
      </c>
      <c r="Q282" s="56" t="str">
        <f aca="false">IF(M282="","",IF($H282=$I282,IF(OR(AND($G282="Higher is better",M282&gt;=$H282),AND($G282="Lower is better",M282&lt;=$H282)),A_Scoring_Model!$C$14,0),IF($G282="Higher is better",IF(M282&gt;=$H282,A_Scoring_Model!$C$14,IF(M282&lt;$I282,0,A_Scoring_Model!$C$15+(A_Scoring_Model!$C$14-A_Scoring_Model!$C$15)*(M282-$I282)/($H282-$I282))),IF(M282&lt;=$H282,A_Scoring_Model!$C$14,IF(M282&gt;$I282,0,A_Scoring_Model!$C$15+(A_Scoring_Model!$C$14-A_Scoring_Model!$C$15)*($I282-M282)/($I282-$H282))))))</f>
        <v/>
      </c>
    </row>
    <row r="283" customFormat="false" ht="15" hidden="false" customHeight="false" outlineLevel="0" collapsed="false">
      <c r="A283" s="51" t="str">
        <f aca="false">C_KPI_Benchmark!A283</f>
        <v>5.b-D6-16</v>
      </c>
      <c r="B283" s="52" t="str">
        <f aca="false">C_KPI_Benchmark!D283</f>
        <v>5.b</v>
      </c>
      <c r="C283" s="51" t="str">
        <f aca="false">C_KPI_Benchmark!E283</f>
        <v>Self-Healing Script Agent</v>
      </c>
      <c r="D283" s="52" t="str">
        <f aca="false">C_KPI_Benchmark!F283</f>
        <v>D6</v>
      </c>
      <c r="E283" s="51" t="str">
        <f aca="false">C_KPI_Benchmark!J283</f>
        <v>Named owner and support SLA</v>
      </c>
      <c r="F283" s="52" t="str">
        <f aca="false">C_KPI_Benchmark!K283</f>
        <v>Yes/No</v>
      </c>
      <c r="G283" s="51" t="str">
        <f aca="false">C_KPI_Benchmark!L283</f>
        <v>Higher is better</v>
      </c>
      <c r="H283" s="60" t="n">
        <f aca="false">C_KPI_Benchmark!N283</f>
        <v>1</v>
      </c>
      <c r="I283" s="56" t="n">
        <f aca="false">IF(C_KPI_Benchmark!O283&lt;&gt;"",C_KPI_Benchmark!O283,IF(G283="Higher is better",H283*(1-A_Scoring_Model!$C$16),H283*(1+A_Scoring_Model!$C$16)))</f>
        <v>0.8</v>
      </c>
      <c r="J283" s="61"/>
      <c r="K283" s="61"/>
      <c r="L283" s="61"/>
      <c r="M283" s="61"/>
      <c r="N283" s="56" t="str">
        <f aca="false">IF(J283="","",IF($H283=$I283,IF(OR(AND($G283="Higher is better",J283&gt;=$H283),AND($G283="Lower is better",J283&lt;=$H283)),A_Scoring_Model!$C$14,0),IF($G283="Higher is better",IF(J283&gt;=$H283,A_Scoring_Model!$C$14,IF(J283&lt;$I283,0,A_Scoring_Model!$C$15+(A_Scoring_Model!$C$14-A_Scoring_Model!$C$15)*(J283-$I283)/($H283-$I283))),IF(J283&lt;=$H283,A_Scoring_Model!$C$14,IF(J283&gt;$I283,0,A_Scoring_Model!$C$15+(A_Scoring_Model!$C$14-A_Scoring_Model!$C$15)*($I283-J283)/($I283-$H283))))))</f>
        <v/>
      </c>
      <c r="O283" s="56" t="str">
        <f aca="false">IF(K283="","",IF($H283=$I283,IF(OR(AND($G283="Higher is better",K283&gt;=$H283),AND($G283="Lower is better",K283&lt;=$H283)),A_Scoring_Model!$C$14,0),IF($G283="Higher is better",IF(K283&gt;=$H283,A_Scoring_Model!$C$14,IF(K283&lt;$I283,0,A_Scoring_Model!$C$15+(A_Scoring_Model!$C$14-A_Scoring_Model!$C$15)*(K283-$I283)/($H283-$I283))),IF(K283&lt;=$H283,A_Scoring_Model!$C$14,IF(K283&gt;$I283,0,A_Scoring_Model!$C$15+(A_Scoring_Model!$C$14-A_Scoring_Model!$C$15)*($I283-K283)/($I283-$H283))))))</f>
        <v/>
      </c>
      <c r="P283" s="56" t="str">
        <f aca="false">IF(L283="","",IF($H283=$I283,IF(OR(AND($G283="Higher is better",L283&gt;=$H283),AND($G283="Lower is better",L283&lt;=$H283)),A_Scoring_Model!$C$14,0),IF($G283="Higher is better",IF(L283&gt;=$H283,A_Scoring_Model!$C$14,IF(L283&lt;$I283,0,A_Scoring_Model!$C$15+(A_Scoring_Model!$C$14-A_Scoring_Model!$C$15)*(L283-$I283)/($H283-$I283))),IF(L283&lt;=$H283,A_Scoring_Model!$C$14,IF(L283&gt;$I283,0,A_Scoring_Model!$C$15+(A_Scoring_Model!$C$14-A_Scoring_Model!$C$15)*($I283-L283)/($I283-$H283))))))</f>
        <v/>
      </c>
      <c r="Q283" s="56" t="str">
        <f aca="false">IF(M283="","",IF($H283=$I283,IF(OR(AND($G283="Higher is better",M283&gt;=$H283),AND($G283="Lower is better",M283&lt;=$H283)),A_Scoring_Model!$C$14,0),IF($G283="Higher is better",IF(M283&gt;=$H283,A_Scoring_Model!$C$14,IF(M283&lt;$I283,0,A_Scoring_Model!$C$15+(A_Scoring_Model!$C$14-A_Scoring_Model!$C$15)*(M283-$I283)/($H283-$I283))),IF(M283&lt;=$H283,A_Scoring_Model!$C$14,IF(M283&gt;$I283,0,A_Scoring_Model!$C$15+(A_Scoring_Model!$C$14-A_Scoring_Model!$C$15)*($I283-M283)/($I283-$H283))))))</f>
        <v/>
      </c>
    </row>
    <row r="284" customFormat="false" ht="15" hidden="false" customHeight="false" outlineLevel="0" collapsed="false">
      <c r="A284" s="51" t="str">
        <f aca="false">C_KPI_Benchmark!A284</f>
        <v>5.c-D1-01</v>
      </c>
      <c r="B284" s="52" t="str">
        <f aca="false">C_KPI_Benchmark!D284</f>
        <v>5.c</v>
      </c>
      <c r="C284" s="51" t="str">
        <f aca="false">C_KPI_Benchmark!E284</f>
        <v>Visual AI + Perf Analyzer</v>
      </c>
      <c r="D284" s="52" t="str">
        <f aca="false">C_KPI_Benchmark!F284</f>
        <v>D1</v>
      </c>
      <c r="E284" s="51" t="str">
        <f aca="false">C_KPI_Benchmark!J284</f>
        <v>Perf regression recall at ≥3% delta</v>
      </c>
      <c r="F284" s="52" t="str">
        <f aca="false">C_KPI_Benchmark!K284</f>
        <v>%</v>
      </c>
      <c r="G284" s="51" t="str">
        <f aca="false">C_KPI_Benchmark!L284</f>
        <v>Higher is better</v>
      </c>
      <c r="H284" s="53" t="n">
        <f aca="false">C_KPI_Benchmark!N284</f>
        <v>0.95</v>
      </c>
      <c r="I284" s="54" t="n">
        <f aca="false">IF(C_KPI_Benchmark!O284&lt;&gt;"",C_KPI_Benchmark!O284,IF(G284="Higher is better",H284*(1-A_Scoring_Model!$C$16),H284*(1+A_Scoring_Model!$C$16)))</f>
        <v>0.85</v>
      </c>
      <c r="J284" s="55"/>
      <c r="K284" s="55"/>
      <c r="L284" s="55"/>
      <c r="M284" s="55"/>
      <c r="N284" s="56" t="str">
        <f aca="false">IF(J284="","",IF($H284=$I284,IF(OR(AND($G284="Higher is better",J284&gt;=$H284),AND($G284="Lower is better",J284&lt;=$H284)),A_Scoring_Model!$C$14,0),IF($G284="Higher is better",IF(J284&gt;=$H284,A_Scoring_Model!$C$14,IF(J284&lt;$I284,0,A_Scoring_Model!$C$15+(A_Scoring_Model!$C$14-A_Scoring_Model!$C$15)*(J284-$I284)/($H284-$I284))),IF(J284&lt;=$H284,A_Scoring_Model!$C$14,IF(J284&gt;$I284,0,A_Scoring_Model!$C$15+(A_Scoring_Model!$C$14-A_Scoring_Model!$C$15)*($I284-J284)/($I284-$H284))))))</f>
        <v/>
      </c>
      <c r="O284" s="56" t="str">
        <f aca="false">IF(K284="","",IF($H284=$I284,IF(OR(AND($G284="Higher is better",K284&gt;=$H284),AND($G284="Lower is better",K284&lt;=$H284)),A_Scoring_Model!$C$14,0),IF($G284="Higher is better",IF(K284&gt;=$H284,A_Scoring_Model!$C$14,IF(K284&lt;$I284,0,A_Scoring_Model!$C$15+(A_Scoring_Model!$C$14-A_Scoring_Model!$C$15)*(K284-$I284)/($H284-$I284))),IF(K284&lt;=$H284,A_Scoring_Model!$C$14,IF(K284&gt;$I284,0,A_Scoring_Model!$C$15+(A_Scoring_Model!$C$14-A_Scoring_Model!$C$15)*($I284-K284)/($I284-$H284))))))</f>
        <v/>
      </c>
      <c r="P284" s="56" t="str">
        <f aca="false">IF(L284="","",IF($H284=$I284,IF(OR(AND($G284="Higher is better",L284&gt;=$H284),AND($G284="Lower is better",L284&lt;=$H284)),A_Scoring_Model!$C$14,0),IF($G284="Higher is better",IF(L284&gt;=$H284,A_Scoring_Model!$C$14,IF(L284&lt;$I284,0,A_Scoring_Model!$C$15+(A_Scoring_Model!$C$14-A_Scoring_Model!$C$15)*(L284-$I284)/($H284-$I284))),IF(L284&lt;=$H284,A_Scoring_Model!$C$14,IF(L284&gt;$I284,0,A_Scoring_Model!$C$15+(A_Scoring_Model!$C$14-A_Scoring_Model!$C$15)*($I284-L284)/($I284-$H284))))))</f>
        <v/>
      </c>
      <c r="Q284" s="56" t="str">
        <f aca="false">IF(M284="","",IF($H284=$I284,IF(OR(AND($G284="Higher is better",M284&gt;=$H284),AND($G284="Lower is better",M284&lt;=$H284)),A_Scoring_Model!$C$14,0),IF($G284="Higher is better",IF(M284&gt;=$H284,A_Scoring_Model!$C$14,IF(M284&lt;$I284,0,A_Scoring_Model!$C$15+(A_Scoring_Model!$C$14-A_Scoring_Model!$C$15)*(M284-$I284)/($H284-$I284))),IF(M284&lt;=$H284,A_Scoring_Model!$C$14,IF(M284&gt;$I284,0,A_Scoring_Model!$C$15+(A_Scoring_Model!$C$14-A_Scoring_Model!$C$15)*($I284-M284)/($I284-$H284))))))</f>
        <v/>
      </c>
    </row>
    <row r="285" customFormat="false" ht="15" hidden="false" customHeight="false" outlineLevel="0" collapsed="false">
      <c r="A285" s="51" t="str">
        <f aca="false">C_KPI_Benchmark!A285</f>
        <v>5.c-D1-02</v>
      </c>
      <c r="B285" s="52" t="str">
        <f aca="false">C_KPI_Benchmark!D285</f>
        <v>5.c</v>
      </c>
      <c r="C285" s="51" t="str">
        <f aca="false">C_KPI_Benchmark!E285</f>
        <v>Visual AI + Perf Analyzer</v>
      </c>
      <c r="D285" s="52" t="str">
        <f aca="false">C_KPI_Benchmark!F285</f>
        <v>D1</v>
      </c>
      <c r="E285" s="51" t="str">
        <f aca="false">C_KPI_Benchmark!J285</f>
        <v>False-positive regressions</v>
      </c>
      <c r="F285" s="52" t="str">
        <f aca="false">C_KPI_Benchmark!K285</f>
        <v>%</v>
      </c>
      <c r="G285" s="51" t="str">
        <f aca="false">C_KPI_Benchmark!L285</f>
        <v>Lower is better</v>
      </c>
      <c r="H285" s="53" t="n">
        <f aca="false">C_KPI_Benchmark!N285</f>
        <v>0.05</v>
      </c>
      <c r="I285" s="54" t="n">
        <f aca="false">IF(C_KPI_Benchmark!O285&lt;&gt;"",C_KPI_Benchmark!O285,IF(G285="Higher is better",H285*(1-A_Scoring_Model!$C$16),H285*(1+A_Scoring_Model!$C$16)))</f>
        <v>0.1</v>
      </c>
      <c r="J285" s="55"/>
      <c r="K285" s="55"/>
      <c r="L285" s="55"/>
      <c r="M285" s="55"/>
      <c r="N285" s="56" t="str">
        <f aca="false">IF(J285="","",IF($H285=$I285,IF(OR(AND($G285="Higher is better",J285&gt;=$H285),AND($G285="Lower is better",J285&lt;=$H285)),A_Scoring_Model!$C$14,0),IF($G285="Higher is better",IF(J285&gt;=$H285,A_Scoring_Model!$C$14,IF(J285&lt;$I285,0,A_Scoring_Model!$C$15+(A_Scoring_Model!$C$14-A_Scoring_Model!$C$15)*(J285-$I285)/($H285-$I285))),IF(J285&lt;=$H285,A_Scoring_Model!$C$14,IF(J285&gt;$I285,0,A_Scoring_Model!$C$15+(A_Scoring_Model!$C$14-A_Scoring_Model!$C$15)*($I285-J285)/($I285-$H285))))))</f>
        <v/>
      </c>
      <c r="O285" s="56" t="str">
        <f aca="false">IF(K285="","",IF($H285=$I285,IF(OR(AND($G285="Higher is better",K285&gt;=$H285),AND($G285="Lower is better",K285&lt;=$H285)),A_Scoring_Model!$C$14,0),IF($G285="Higher is better",IF(K285&gt;=$H285,A_Scoring_Model!$C$14,IF(K285&lt;$I285,0,A_Scoring_Model!$C$15+(A_Scoring_Model!$C$14-A_Scoring_Model!$C$15)*(K285-$I285)/($H285-$I285))),IF(K285&lt;=$H285,A_Scoring_Model!$C$14,IF(K285&gt;$I285,0,A_Scoring_Model!$C$15+(A_Scoring_Model!$C$14-A_Scoring_Model!$C$15)*($I285-K285)/($I285-$H285))))))</f>
        <v/>
      </c>
      <c r="P285" s="56" t="str">
        <f aca="false">IF(L285="","",IF($H285=$I285,IF(OR(AND($G285="Higher is better",L285&gt;=$H285),AND($G285="Lower is better",L285&lt;=$H285)),A_Scoring_Model!$C$14,0),IF($G285="Higher is better",IF(L285&gt;=$H285,A_Scoring_Model!$C$14,IF(L285&lt;$I285,0,A_Scoring_Model!$C$15+(A_Scoring_Model!$C$14-A_Scoring_Model!$C$15)*(L285-$I285)/($H285-$I285))),IF(L285&lt;=$H285,A_Scoring_Model!$C$14,IF(L285&gt;$I285,0,A_Scoring_Model!$C$15+(A_Scoring_Model!$C$14-A_Scoring_Model!$C$15)*($I285-L285)/($I285-$H285))))))</f>
        <v/>
      </c>
      <c r="Q285" s="56" t="str">
        <f aca="false">IF(M285="","",IF($H285=$I285,IF(OR(AND($G285="Higher is better",M285&gt;=$H285),AND($G285="Lower is better",M285&lt;=$H285)),A_Scoring_Model!$C$14,0),IF($G285="Higher is better",IF(M285&gt;=$H285,A_Scoring_Model!$C$14,IF(M285&lt;$I285,0,A_Scoring_Model!$C$15+(A_Scoring_Model!$C$14-A_Scoring_Model!$C$15)*(M285-$I285)/($H285-$I285))),IF(M285&lt;=$H285,A_Scoring_Model!$C$14,IF(M285&gt;$I285,0,A_Scoring_Model!$C$15+(A_Scoring_Model!$C$14-A_Scoring_Model!$C$15)*($I285-M285)/($I285-$H285))))))</f>
        <v/>
      </c>
    </row>
    <row r="286" customFormat="false" ht="15" hidden="false" customHeight="false" outlineLevel="0" collapsed="false">
      <c r="A286" s="51" t="str">
        <f aca="false">C_KPI_Benchmark!A286</f>
        <v>5.c-D1-03</v>
      </c>
      <c r="B286" s="52" t="str">
        <f aca="false">C_KPI_Benchmark!D286</f>
        <v>5.c</v>
      </c>
      <c r="C286" s="51" t="str">
        <f aca="false">C_KPI_Benchmark!E286</f>
        <v>Visual AI + Perf Analyzer</v>
      </c>
      <c r="D286" s="52" t="str">
        <f aca="false">C_KPI_Benchmark!F286</f>
        <v>D1</v>
      </c>
      <c r="E286" s="51" t="str">
        <f aca="false">C_KPI_Benchmark!J286</f>
        <v>Tail-latency outlier F1</v>
      </c>
      <c r="F286" s="52" t="str">
        <f aca="false">C_KPI_Benchmark!K286</f>
        <v>F1</v>
      </c>
      <c r="G286" s="51" t="str">
        <f aca="false">C_KPI_Benchmark!L286</f>
        <v>Higher is better</v>
      </c>
      <c r="H286" s="57" t="n">
        <f aca="false">C_KPI_Benchmark!N286</f>
        <v>0.9</v>
      </c>
      <c r="I286" s="58" t="n">
        <f aca="false">IF(C_KPI_Benchmark!O286&lt;&gt;"",C_KPI_Benchmark!O286,IF(G286="Higher is better",H286*(1-A_Scoring_Model!$C$16),H286*(1+A_Scoring_Model!$C$16)))</f>
        <v>0.8</v>
      </c>
      <c r="J286" s="59"/>
      <c r="K286" s="59"/>
      <c r="L286" s="59"/>
      <c r="M286" s="59"/>
      <c r="N286" s="56" t="str">
        <f aca="false">IF(J286="","",IF($H286=$I286,IF(OR(AND($G286="Higher is better",J286&gt;=$H286),AND($G286="Lower is better",J286&lt;=$H286)),A_Scoring_Model!$C$14,0),IF($G286="Higher is better",IF(J286&gt;=$H286,A_Scoring_Model!$C$14,IF(J286&lt;$I286,0,A_Scoring_Model!$C$15+(A_Scoring_Model!$C$14-A_Scoring_Model!$C$15)*(J286-$I286)/($H286-$I286))),IF(J286&lt;=$H286,A_Scoring_Model!$C$14,IF(J286&gt;$I286,0,A_Scoring_Model!$C$15+(A_Scoring_Model!$C$14-A_Scoring_Model!$C$15)*($I286-J286)/($I286-$H286))))))</f>
        <v/>
      </c>
      <c r="O286" s="56" t="str">
        <f aca="false">IF(K286="","",IF($H286=$I286,IF(OR(AND($G286="Higher is better",K286&gt;=$H286),AND($G286="Lower is better",K286&lt;=$H286)),A_Scoring_Model!$C$14,0),IF($G286="Higher is better",IF(K286&gt;=$H286,A_Scoring_Model!$C$14,IF(K286&lt;$I286,0,A_Scoring_Model!$C$15+(A_Scoring_Model!$C$14-A_Scoring_Model!$C$15)*(K286-$I286)/($H286-$I286))),IF(K286&lt;=$H286,A_Scoring_Model!$C$14,IF(K286&gt;$I286,0,A_Scoring_Model!$C$15+(A_Scoring_Model!$C$14-A_Scoring_Model!$C$15)*($I286-K286)/($I286-$H286))))))</f>
        <v/>
      </c>
      <c r="P286" s="56" t="str">
        <f aca="false">IF(L286="","",IF($H286=$I286,IF(OR(AND($G286="Higher is better",L286&gt;=$H286),AND($G286="Lower is better",L286&lt;=$H286)),A_Scoring_Model!$C$14,0),IF($G286="Higher is better",IF(L286&gt;=$H286,A_Scoring_Model!$C$14,IF(L286&lt;$I286,0,A_Scoring_Model!$C$15+(A_Scoring_Model!$C$14-A_Scoring_Model!$C$15)*(L286-$I286)/($H286-$I286))),IF(L286&lt;=$H286,A_Scoring_Model!$C$14,IF(L286&gt;$I286,0,A_Scoring_Model!$C$15+(A_Scoring_Model!$C$14-A_Scoring_Model!$C$15)*($I286-L286)/($I286-$H286))))))</f>
        <v/>
      </c>
      <c r="Q286" s="56" t="str">
        <f aca="false">IF(M286="","",IF($H286=$I286,IF(OR(AND($G286="Higher is better",M286&gt;=$H286),AND($G286="Lower is better",M286&lt;=$H286)),A_Scoring_Model!$C$14,0),IF($G286="Higher is better",IF(M286&gt;=$H286,A_Scoring_Model!$C$14,IF(M286&lt;$I286,0,A_Scoring_Model!$C$15+(A_Scoring_Model!$C$14-A_Scoring_Model!$C$15)*(M286-$I286)/($H286-$I286))),IF(M286&lt;=$H286,A_Scoring_Model!$C$14,IF(M286&gt;$I286,0,A_Scoring_Model!$C$15+(A_Scoring_Model!$C$14-A_Scoring_Model!$C$15)*($I286-M286)/($I286-$H286))))))</f>
        <v/>
      </c>
    </row>
    <row r="287" customFormat="false" ht="15" hidden="false" customHeight="false" outlineLevel="0" collapsed="false">
      <c r="A287" s="51" t="str">
        <f aca="false">C_KPI_Benchmark!A287</f>
        <v>5.c-D1-04</v>
      </c>
      <c r="B287" s="52" t="str">
        <f aca="false">C_KPI_Benchmark!D287</f>
        <v>5.c</v>
      </c>
      <c r="C287" s="51" t="str">
        <f aca="false">C_KPI_Benchmark!E287</f>
        <v>Visual AI + Perf Analyzer</v>
      </c>
      <c r="D287" s="52" t="str">
        <f aca="false">C_KPI_Benchmark!F287</f>
        <v>D1</v>
      </c>
      <c r="E287" s="51" t="str">
        <f aca="false">C_KPI_Benchmark!J287</f>
        <v>Visual diff F1</v>
      </c>
      <c r="F287" s="52" t="str">
        <f aca="false">C_KPI_Benchmark!K287</f>
        <v>F1</v>
      </c>
      <c r="G287" s="51" t="str">
        <f aca="false">C_KPI_Benchmark!L287</f>
        <v>Higher is better</v>
      </c>
      <c r="H287" s="57" t="n">
        <f aca="false">C_KPI_Benchmark!N287</f>
        <v>0.9</v>
      </c>
      <c r="I287" s="58" t="n">
        <f aca="false">IF(C_KPI_Benchmark!O287&lt;&gt;"",C_KPI_Benchmark!O287,IF(G287="Higher is better",H287*(1-A_Scoring_Model!$C$16),H287*(1+A_Scoring_Model!$C$16)))</f>
        <v>0.8</v>
      </c>
      <c r="J287" s="59"/>
      <c r="K287" s="59"/>
      <c r="L287" s="59"/>
      <c r="M287" s="59"/>
      <c r="N287" s="56" t="str">
        <f aca="false">IF(J287="","",IF($H287=$I287,IF(OR(AND($G287="Higher is better",J287&gt;=$H287),AND($G287="Lower is better",J287&lt;=$H287)),A_Scoring_Model!$C$14,0),IF($G287="Higher is better",IF(J287&gt;=$H287,A_Scoring_Model!$C$14,IF(J287&lt;$I287,0,A_Scoring_Model!$C$15+(A_Scoring_Model!$C$14-A_Scoring_Model!$C$15)*(J287-$I287)/($H287-$I287))),IF(J287&lt;=$H287,A_Scoring_Model!$C$14,IF(J287&gt;$I287,0,A_Scoring_Model!$C$15+(A_Scoring_Model!$C$14-A_Scoring_Model!$C$15)*($I287-J287)/($I287-$H287))))))</f>
        <v/>
      </c>
      <c r="O287" s="56" t="str">
        <f aca="false">IF(K287="","",IF($H287=$I287,IF(OR(AND($G287="Higher is better",K287&gt;=$H287),AND($G287="Lower is better",K287&lt;=$H287)),A_Scoring_Model!$C$14,0),IF($G287="Higher is better",IF(K287&gt;=$H287,A_Scoring_Model!$C$14,IF(K287&lt;$I287,0,A_Scoring_Model!$C$15+(A_Scoring_Model!$C$14-A_Scoring_Model!$C$15)*(K287-$I287)/($H287-$I287))),IF(K287&lt;=$H287,A_Scoring_Model!$C$14,IF(K287&gt;$I287,0,A_Scoring_Model!$C$15+(A_Scoring_Model!$C$14-A_Scoring_Model!$C$15)*($I287-K287)/($I287-$H287))))))</f>
        <v/>
      </c>
      <c r="P287" s="56" t="str">
        <f aca="false">IF(L287="","",IF($H287=$I287,IF(OR(AND($G287="Higher is better",L287&gt;=$H287),AND($G287="Lower is better",L287&lt;=$H287)),A_Scoring_Model!$C$14,0),IF($G287="Higher is better",IF(L287&gt;=$H287,A_Scoring_Model!$C$14,IF(L287&lt;$I287,0,A_Scoring_Model!$C$15+(A_Scoring_Model!$C$14-A_Scoring_Model!$C$15)*(L287-$I287)/($H287-$I287))),IF(L287&lt;=$H287,A_Scoring_Model!$C$14,IF(L287&gt;$I287,0,A_Scoring_Model!$C$15+(A_Scoring_Model!$C$14-A_Scoring_Model!$C$15)*($I287-L287)/($I287-$H287))))))</f>
        <v/>
      </c>
      <c r="Q287" s="56" t="str">
        <f aca="false">IF(M287="","",IF($H287=$I287,IF(OR(AND($G287="Higher is better",M287&gt;=$H287),AND($G287="Lower is better",M287&lt;=$H287)),A_Scoring_Model!$C$14,0),IF($G287="Higher is better",IF(M287&gt;=$H287,A_Scoring_Model!$C$14,IF(M287&lt;$I287,0,A_Scoring_Model!$C$15+(A_Scoring_Model!$C$14-A_Scoring_Model!$C$15)*(M287-$I287)/($H287-$I287))),IF(M287&lt;=$H287,A_Scoring_Model!$C$14,IF(M287&gt;$I287,0,A_Scoring_Model!$C$15+(A_Scoring_Model!$C$14-A_Scoring_Model!$C$15)*($I287-M287)/($I287-$H287))))))</f>
        <v/>
      </c>
    </row>
    <row r="288" customFormat="false" ht="15" hidden="false" customHeight="false" outlineLevel="0" collapsed="false">
      <c r="A288" s="51" t="str">
        <f aca="false">C_KPI_Benchmark!A288</f>
        <v>5.c-D2-05</v>
      </c>
      <c r="B288" s="52" t="str">
        <f aca="false">C_KPI_Benchmark!D288</f>
        <v>5.c</v>
      </c>
      <c r="C288" s="51" t="str">
        <f aca="false">C_KPI_Benchmark!E288</f>
        <v>Visual AI + Perf Analyzer</v>
      </c>
      <c r="D288" s="52" t="str">
        <f aca="false">C_KPI_Benchmark!F288</f>
        <v>D2</v>
      </c>
      <c r="E288" s="51" t="str">
        <f aca="false">C_KPI_Benchmark!J288</f>
        <v>Metric-agnostic ingestion; thresholds per product in config</v>
      </c>
      <c r="F288" s="52" t="str">
        <f aca="false">C_KPI_Benchmark!K288</f>
        <v>Yes/No</v>
      </c>
      <c r="G288" s="51" t="str">
        <f aca="false">C_KPI_Benchmark!L288</f>
        <v>Higher is better</v>
      </c>
      <c r="H288" s="60" t="n">
        <f aca="false">C_KPI_Benchmark!N288</f>
        <v>1</v>
      </c>
      <c r="I288" s="56" t="n">
        <f aca="false">IF(C_KPI_Benchmark!O288&lt;&gt;"",C_KPI_Benchmark!O288,IF(G288="Higher is better",H288*(1-A_Scoring_Model!$C$16),H288*(1+A_Scoring_Model!$C$16)))</f>
        <v>0.8</v>
      </c>
      <c r="J288" s="61"/>
      <c r="K288" s="61"/>
      <c r="L288" s="61"/>
      <c r="M288" s="61"/>
      <c r="N288" s="56" t="str">
        <f aca="false">IF(J288="","",IF($H288=$I288,IF(OR(AND($G288="Higher is better",J288&gt;=$H288),AND($G288="Lower is better",J288&lt;=$H288)),A_Scoring_Model!$C$14,0),IF($G288="Higher is better",IF(J288&gt;=$H288,A_Scoring_Model!$C$14,IF(J288&lt;$I288,0,A_Scoring_Model!$C$15+(A_Scoring_Model!$C$14-A_Scoring_Model!$C$15)*(J288-$I288)/($H288-$I288))),IF(J288&lt;=$H288,A_Scoring_Model!$C$14,IF(J288&gt;$I288,0,A_Scoring_Model!$C$15+(A_Scoring_Model!$C$14-A_Scoring_Model!$C$15)*($I288-J288)/($I288-$H288))))))</f>
        <v/>
      </c>
      <c r="O288" s="56" t="str">
        <f aca="false">IF(K288="","",IF($H288=$I288,IF(OR(AND($G288="Higher is better",K288&gt;=$H288),AND($G288="Lower is better",K288&lt;=$H288)),A_Scoring_Model!$C$14,0),IF($G288="Higher is better",IF(K288&gt;=$H288,A_Scoring_Model!$C$14,IF(K288&lt;$I288,0,A_Scoring_Model!$C$15+(A_Scoring_Model!$C$14-A_Scoring_Model!$C$15)*(K288-$I288)/($H288-$I288))),IF(K288&lt;=$H288,A_Scoring_Model!$C$14,IF(K288&gt;$I288,0,A_Scoring_Model!$C$15+(A_Scoring_Model!$C$14-A_Scoring_Model!$C$15)*($I288-K288)/($I288-$H288))))))</f>
        <v/>
      </c>
      <c r="P288" s="56" t="str">
        <f aca="false">IF(L288="","",IF($H288=$I288,IF(OR(AND($G288="Higher is better",L288&gt;=$H288),AND($G288="Lower is better",L288&lt;=$H288)),A_Scoring_Model!$C$14,0),IF($G288="Higher is better",IF(L288&gt;=$H288,A_Scoring_Model!$C$14,IF(L288&lt;$I288,0,A_Scoring_Model!$C$15+(A_Scoring_Model!$C$14-A_Scoring_Model!$C$15)*(L288-$I288)/($H288-$I288))),IF(L288&lt;=$H288,A_Scoring_Model!$C$14,IF(L288&gt;$I288,0,A_Scoring_Model!$C$15+(A_Scoring_Model!$C$14-A_Scoring_Model!$C$15)*($I288-L288)/($I288-$H288))))))</f>
        <v/>
      </c>
      <c r="Q288" s="56" t="str">
        <f aca="false">IF(M288="","",IF($H288=$I288,IF(OR(AND($G288="Higher is better",M288&gt;=$H288),AND($G288="Lower is better",M288&lt;=$H288)),A_Scoring_Model!$C$14,0),IF($G288="Higher is better",IF(M288&gt;=$H288,A_Scoring_Model!$C$14,IF(M288&lt;$I288,0,A_Scoring_Model!$C$15+(A_Scoring_Model!$C$14-A_Scoring_Model!$C$15)*(M288-$I288)/($H288-$I288))),IF(M288&lt;=$H288,A_Scoring_Model!$C$14,IF(M288&gt;$I288,0,A_Scoring_Model!$C$15+(A_Scoring_Model!$C$14-A_Scoring_Model!$C$15)*($I288-M288)/($I288-$H288))))))</f>
        <v/>
      </c>
    </row>
    <row r="289" customFormat="false" ht="23.85" hidden="false" customHeight="false" outlineLevel="0" collapsed="false">
      <c r="A289" s="51" t="str">
        <f aca="false">C_KPI_Benchmark!A289</f>
        <v>5.c-D2-06</v>
      </c>
      <c r="B289" s="52" t="str">
        <f aca="false">C_KPI_Benchmark!D289</f>
        <v>5.c</v>
      </c>
      <c r="C289" s="51" t="str">
        <f aca="false">C_KPI_Benchmark!E289</f>
        <v>Visual AI + Perf Analyzer</v>
      </c>
      <c r="D289" s="52" t="str">
        <f aca="false">C_KPI_Benchmark!F289</f>
        <v>D2</v>
      </c>
      <c r="E289" s="51" t="str">
        <f aca="false">C_KPI_Benchmark!J289</f>
        <v>Product lines supported with ≤10% efficacy drop (NVMe SSD, UFS, eMMC/uSD, PSSD)</v>
      </c>
      <c r="F289" s="52" t="str">
        <f aca="false">C_KPI_Benchmark!K289</f>
        <v>count</v>
      </c>
      <c r="G289" s="51" t="str">
        <f aca="false">C_KPI_Benchmark!L289</f>
        <v>Higher is better</v>
      </c>
      <c r="H289" s="62" t="n">
        <f aca="false">C_KPI_Benchmark!N289</f>
        <v>3</v>
      </c>
      <c r="I289" s="63" t="n">
        <f aca="false">IF(C_KPI_Benchmark!O289&lt;&gt;"",C_KPI_Benchmark!O289,IF(G289="Higher is better",H289*(1-A_Scoring_Model!$C$16),H289*(1+A_Scoring_Model!$C$16)))</f>
        <v>2</v>
      </c>
      <c r="J289" s="64"/>
      <c r="K289" s="64"/>
      <c r="L289" s="64"/>
      <c r="M289" s="64"/>
      <c r="N289" s="56" t="str">
        <f aca="false">IF(J289="","",IF($H289=$I289,IF(OR(AND($G289="Higher is better",J289&gt;=$H289),AND($G289="Lower is better",J289&lt;=$H289)),A_Scoring_Model!$C$14,0),IF($G289="Higher is better",IF(J289&gt;=$H289,A_Scoring_Model!$C$14,IF(J289&lt;$I289,0,A_Scoring_Model!$C$15+(A_Scoring_Model!$C$14-A_Scoring_Model!$C$15)*(J289-$I289)/($H289-$I289))),IF(J289&lt;=$H289,A_Scoring_Model!$C$14,IF(J289&gt;$I289,0,A_Scoring_Model!$C$15+(A_Scoring_Model!$C$14-A_Scoring_Model!$C$15)*($I289-J289)/($I289-$H289))))))</f>
        <v/>
      </c>
      <c r="O289" s="56" t="str">
        <f aca="false">IF(K289="","",IF($H289=$I289,IF(OR(AND($G289="Higher is better",K289&gt;=$H289),AND($G289="Lower is better",K289&lt;=$H289)),A_Scoring_Model!$C$14,0),IF($G289="Higher is better",IF(K289&gt;=$H289,A_Scoring_Model!$C$14,IF(K289&lt;$I289,0,A_Scoring_Model!$C$15+(A_Scoring_Model!$C$14-A_Scoring_Model!$C$15)*(K289-$I289)/($H289-$I289))),IF(K289&lt;=$H289,A_Scoring_Model!$C$14,IF(K289&gt;$I289,0,A_Scoring_Model!$C$15+(A_Scoring_Model!$C$14-A_Scoring_Model!$C$15)*($I289-K289)/($I289-$H289))))))</f>
        <v/>
      </c>
      <c r="P289" s="56" t="str">
        <f aca="false">IF(L289="","",IF($H289=$I289,IF(OR(AND($G289="Higher is better",L289&gt;=$H289),AND($G289="Lower is better",L289&lt;=$H289)),A_Scoring_Model!$C$14,0),IF($G289="Higher is better",IF(L289&gt;=$H289,A_Scoring_Model!$C$14,IF(L289&lt;$I289,0,A_Scoring_Model!$C$15+(A_Scoring_Model!$C$14-A_Scoring_Model!$C$15)*(L289-$I289)/($H289-$I289))),IF(L289&lt;=$H289,A_Scoring_Model!$C$14,IF(L289&gt;$I289,0,A_Scoring_Model!$C$15+(A_Scoring_Model!$C$14-A_Scoring_Model!$C$15)*($I289-L289)/($I289-$H289))))))</f>
        <v/>
      </c>
      <c r="Q289" s="56" t="str">
        <f aca="false">IF(M289="","",IF($H289=$I289,IF(OR(AND($G289="Higher is better",M289&gt;=$H289),AND($G289="Lower is better",M289&lt;=$H289)),A_Scoring_Model!$C$14,0),IF($G289="Higher is better",IF(M289&gt;=$H289,A_Scoring_Model!$C$14,IF(M289&lt;$I289,0,A_Scoring_Model!$C$15+(A_Scoring_Model!$C$14-A_Scoring_Model!$C$15)*(M289-$I289)/($H289-$I289))),IF(M289&lt;=$H289,A_Scoring_Model!$C$14,IF(M289&gt;$I289,0,A_Scoring_Model!$C$15+(A_Scoring_Model!$C$14-A_Scoring_Model!$C$15)*($I289-M289)/($I289-$H289))))))</f>
        <v/>
      </c>
    </row>
    <row r="290" customFormat="false" ht="15" hidden="false" customHeight="false" outlineLevel="0" collapsed="false">
      <c r="A290" s="51" t="str">
        <f aca="false">C_KPI_Benchmark!A290</f>
        <v>5.c-D2-07</v>
      </c>
      <c r="B290" s="52" t="str">
        <f aca="false">C_KPI_Benchmark!D290</f>
        <v>5.c</v>
      </c>
      <c r="C290" s="51" t="str">
        <f aca="false">C_KPI_Benchmark!E290</f>
        <v>Visual AI + Perf Analyzer</v>
      </c>
      <c r="D290" s="52" t="str">
        <f aca="false">C_KPI_Benchmark!F290</f>
        <v>D2</v>
      </c>
      <c r="E290" s="51" t="str">
        <f aca="false">C_KPI_Benchmark!J290</f>
        <v>Uses Zion shared services instead of re-implementing them</v>
      </c>
      <c r="F290" s="52" t="str">
        <f aca="false">C_KPI_Benchmark!K290</f>
        <v>Yes/No</v>
      </c>
      <c r="G290" s="51" t="str">
        <f aca="false">C_KPI_Benchmark!L290</f>
        <v>Higher is better</v>
      </c>
      <c r="H290" s="60" t="n">
        <f aca="false">C_KPI_Benchmark!N290</f>
        <v>1</v>
      </c>
      <c r="I290" s="56" t="n">
        <f aca="false">IF(C_KPI_Benchmark!O290&lt;&gt;"",C_KPI_Benchmark!O290,IF(G290="Higher is better",H290*(1-A_Scoring_Model!$C$16),H290*(1+A_Scoring_Model!$C$16)))</f>
        <v>0.8</v>
      </c>
      <c r="J290" s="61"/>
      <c r="K290" s="61"/>
      <c r="L290" s="61"/>
      <c r="M290" s="61"/>
      <c r="N290" s="56" t="str">
        <f aca="false">IF(J290="","",IF($H290=$I290,IF(OR(AND($G290="Higher is better",J290&gt;=$H290),AND($G290="Lower is better",J290&lt;=$H290)),A_Scoring_Model!$C$14,0),IF($G290="Higher is better",IF(J290&gt;=$H290,A_Scoring_Model!$C$14,IF(J290&lt;$I290,0,A_Scoring_Model!$C$15+(A_Scoring_Model!$C$14-A_Scoring_Model!$C$15)*(J290-$I290)/($H290-$I290))),IF(J290&lt;=$H290,A_Scoring_Model!$C$14,IF(J290&gt;$I290,0,A_Scoring_Model!$C$15+(A_Scoring_Model!$C$14-A_Scoring_Model!$C$15)*($I290-J290)/($I290-$H290))))))</f>
        <v/>
      </c>
      <c r="O290" s="56" t="str">
        <f aca="false">IF(K290="","",IF($H290=$I290,IF(OR(AND($G290="Higher is better",K290&gt;=$H290),AND($G290="Lower is better",K290&lt;=$H290)),A_Scoring_Model!$C$14,0),IF($G290="Higher is better",IF(K290&gt;=$H290,A_Scoring_Model!$C$14,IF(K290&lt;$I290,0,A_Scoring_Model!$C$15+(A_Scoring_Model!$C$14-A_Scoring_Model!$C$15)*(K290-$I290)/($H290-$I290))),IF(K290&lt;=$H290,A_Scoring_Model!$C$14,IF(K290&gt;$I290,0,A_Scoring_Model!$C$15+(A_Scoring_Model!$C$14-A_Scoring_Model!$C$15)*($I290-K290)/($I290-$H290))))))</f>
        <v/>
      </c>
      <c r="P290" s="56" t="str">
        <f aca="false">IF(L290="","",IF($H290=$I290,IF(OR(AND($G290="Higher is better",L290&gt;=$H290),AND($G290="Lower is better",L290&lt;=$H290)),A_Scoring_Model!$C$14,0),IF($G290="Higher is better",IF(L290&gt;=$H290,A_Scoring_Model!$C$14,IF(L290&lt;$I290,0,A_Scoring_Model!$C$15+(A_Scoring_Model!$C$14-A_Scoring_Model!$C$15)*(L290-$I290)/($H290-$I290))),IF(L290&lt;=$H290,A_Scoring_Model!$C$14,IF(L290&gt;$I290,0,A_Scoring_Model!$C$15+(A_Scoring_Model!$C$14-A_Scoring_Model!$C$15)*($I290-L290)/($I290-$H290))))))</f>
        <v/>
      </c>
      <c r="Q290" s="56" t="str">
        <f aca="false">IF(M290="","",IF($H290=$I290,IF(OR(AND($G290="Higher is better",M290&gt;=$H290),AND($G290="Lower is better",M290&lt;=$H290)),A_Scoring_Model!$C$14,0),IF($G290="Higher is better",IF(M290&gt;=$H290,A_Scoring_Model!$C$14,IF(M290&lt;$I290,0,A_Scoring_Model!$C$15+(A_Scoring_Model!$C$14-A_Scoring_Model!$C$15)*(M290-$I290)/($H290-$I290))),IF(M290&lt;=$H290,A_Scoring_Model!$C$14,IF(M290&gt;$I290,0,A_Scoring_Model!$C$15+(A_Scoring_Model!$C$14-A_Scoring_Model!$C$15)*($I290-M290)/($I290-$H290))))))</f>
        <v/>
      </c>
    </row>
    <row r="291" customFormat="false" ht="15" hidden="false" customHeight="false" outlineLevel="0" collapsed="false">
      <c r="A291" s="51" t="str">
        <f aca="false">C_KPI_Benchmark!A291</f>
        <v>5.c-D3-08</v>
      </c>
      <c r="B291" s="52" t="str">
        <f aca="false">C_KPI_Benchmark!D291</f>
        <v>5.c</v>
      </c>
      <c r="C291" s="51" t="str">
        <f aca="false">C_KPI_Benchmark!E291</f>
        <v>Visual AI + Perf Analyzer</v>
      </c>
      <c r="D291" s="52" t="str">
        <f aca="false">C_KPI_Benchmark!F291</f>
        <v>D3</v>
      </c>
      <c r="E291" s="51" t="str">
        <f aca="false">C_KPI_Benchmark!J291</f>
        <v>Analysis time for 1M datapoints</v>
      </c>
      <c r="F291" s="52" t="str">
        <f aca="false">C_KPI_Benchmark!K291</f>
        <v>min</v>
      </c>
      <c r="G291" s="51" t="str">
        <f aca="false">C_KPI_Benchmark!L291</f>
        <v>Lower is better</v>
      </c>
      <c r="H291" s="62" t="n">
        <f aca="false">C_KPI_Benchmark!N291</f>
        <v>2</v>
      </c>
      <c r="I291" s="63" t="n">
        <f aca="false">IF(C_KPI_Benchmark!O291&lt;&gt;"",C_KPI_Benchmark!O291,IF(G291="Higher is better",H291*(1-A_Scoring_Model!$C$16),H291*(1+A_Scoring_Model!$C$16)))</f>
        <v>2.4</v>
      </c>
      <c r="J291" s="64"/>
      <c r="K291" s="64"/>
      <c r="L291" s="64"/>
      <c r="M291" s="64"/>
      <c r="N291" s="56" t="str">
        <f aca="false">IF(J291="","",IF($H291=$I291,IF(OR(AND($G291="Higher is better",J291&gt;=$H291),AND($G291="Lower is better",J291&lt;=$H291)),A_Scoring_Model!$C$14,0),IF($G291="Higher is better",IF(J291&gt;=$H291,A_Scoring_Model!$C$14,IF(J291&lt;$I291,0,A_Scoring_Model!$C$15+(A_Scoring_Model!$C$14-A_Scoring_Model!$C$15)*(J291-$I291)/($H291-$I291))),IF(J291&lt;=$H291,A_Scoring_Model!$C$14,IF(J291&gt;$I291,0,A_Scoring_Model!$C$15+(A_Scoring_Model!$C$14-A_Scoring_Model!$C$15)*($I291-J291)/($I291-$H291))))))</f>
        <v/>
      </c>
      <c r="O291" s="56" t="str">
        <f aca="false">IF(K291="","",IF($H291=$I291,IF(OR(AND($G291="Higher is better",K291&gt;=$H291),AND($G291="Lower is better",K291&lt;=$H291)),A_Scoring_Model!$C$14,0),IF($G291="Higher is better",IF(K291&gt;=$H291,A_Scoring_Model!$C$14,IF(K291&lt;$I291,0,A_Scoring_Model!$C$15+(A_Scoring_Model!$C$14-A_Scoring_Model!$C$15)*(K291-$I291)/($H291-$I291))),IF(K291&lt;=$H291,A_Scoring_Model!$C$14,IF(K291&gt;$I291,0,A_Scoring_Model!$C$15+(A_Scoring_Model!$C$14-A_Scoring_Model!$C$15)*($I291-K291)/($I291-$H291))))))</f>
        <v/>
      </c>
      <c r="P291" s="56" t="str">
        <f aca="false">IF(L291="","",IF($H291=$I291,IF(OR(AND($G291="Higher is better",L291&gt;=$H291),AND($G291="Lower is better",L291&lt;=$H291)),A_Scoring_Model!$C$14,0),IF($G291="Higher is better",IF(L291&gt;=$H291,A_Scoring_Model!$C$14,IF(L291&lt;$I291,0,A_Scoring_Model!$C$15+(A_Scoring_Model!$C$14-A_Scoring_Model!$C$15)*(L291-$I291)/($H291-$I291))),IF(L291&lt;=$H291,A_Scoring_Model!$C$14,IF(L291&gt;$I291,0,A_Scoring_Model!$C$15+(A_Scoring_Model!$C$14-A_Scoring_Model!$C$15)*($I291-L291)/($I291-$H291))))))</f>
        <v/>
      </c>
      <c r="Q291" s="56" t="str">
        <f aca="false">IF(M291="","",IF($H291=$I291,IF(OR(AND($G291="Higher is better",M291&gt;=$H291),AND($G291="Lower is better",M291&lt;=$H291)),A_Scoring_Model!$C$14,0),IF($G291="Higher is better",IF(M291&gt;=$H291,A_Scoring_Model!$C$14,IF(M291&lt;$I291,0,A_Scoring_Model!$C$15+(A_Scoring_Model!$C$14-A_Scoring_Model!$C$15)*(M291-$I291)/($H291-$I291))),IF(M291&lt;=$H291,A_Scoring_Model!$C$14,IF(M291&gt;$I291,0,A_Scoring_Model!$C$15+(A_Scoring_Model!$C$14-A_Scoring_Model!$C$15)*($I291-M291)/($I291-$H291))))))</f>
        <v/>
      </c>
    </row>
    <row r="292" customFormat="false" ht="15" hidden="false" customHeight="false" outlineLevel="0" collapsed="false">
      <c r="A292" s="51" t="str">
        <f aca="false">C_KPI_Benchmark!A292</f>
        <v>5.c-D3-09</v>
      </c>
      <c r="B292" s="52" t="str">
        <f aca="false">C_KPI_Benchmark!D292</f>
        <v>5.c</v>
      </c>
      <c r="C292" s="51" t="str">
        <f aca="false">C_KPI_Benchmark!E292</f>
        <v>Visual AI + Perf Analyzer</v>
      </c>
      <c r="D292" s="52" t="str">
        <f aca="false">C_KPI_Benchmark!F292</f>
        <v>D3</v>
      </c>
      <c r="E292" s="51" t="str">
        <f aca="false">C_KPI_Benchmark!J292</f>
        <v>Latency degradation at 10× load</v>
      </c>
      <c r="F292" s="52" t="str">
        <f aca="false">C_KPI_Benchmark!K292</f>
        <v>%</v>
      </c>
      <c r="G292" s="51" t="str">
        <f aca="false">C_KPI_Benchmark!L292</f>
        <v>Lower is better</v>
      </c>
      <c r="H292" s="53" t="n">
        <f aca="false">C_KPI_Benchmark!N292</f>
        <v>0.2</v>
      </c>
      <c r="I292" s="54" t="n">
        <f aca="false">IF(C_KPI_Benchmark!O292&lt;&gt;"",C_KPI_Benchmark!O292,IF(G292="Higher is better",H292*(1-A_Scoring_Model!$C$16),H292*(1+A_Scoring_Model!$C$16)))</f>
        <v>0.4</v>
      </c>
      <c r="J292" s="55"/>
      <c r="K292" s="55"/>
      <c r="L292" s="55"/>
      <c r="M292" s="55"/>
      <c r="N292" s="56" t="str">
        <f aca="false">IF(J292="","",IF($H292=$I292,IF(OR(AND($G292="Higher is better",J292&gt;=$H292),AND($G292="Lower is better",J292&lt;=$H292)),A_Scoring_Model!$C$14,0),IF($G292="Higher is better",IF(J292&gt;=$H292,A_Scoring_Model!$C$14,IF(J292&lt;$I292,0,A_Scoring_Model!$C$15+(A_Scoring_Model!$C$14-A_Scoring_Model!$C$15)*(J292-$I292)/($H292-$I292))),IF(J292&lt;=$H292,A_Scoring_Model!$C$14,IF(J292&gt;$I292,0,A_Scoring_Model!$C$15+(A_Scoring_Model!$C$14-A_Scoring_Model!$C$15)*($I292-J292)/($I292-$H292))))))</f>
        <v/>
      </c>
      <c r="O292" s="56" t="str">
        <f aca="false">IF(K292="","",IF($H292=$I292,IF(OR(AND($G292="Higher is better",K292&gt;=$H292),AND($G292="Lower is better",K292&lt;=$H292)),A_Scoring_Model!$C$14,0),IF($G292="Higher is better",IF(K292&gt;=$H292,A_Scoring_Model!$C$14,IF(K292&lt;$I292,0,A_Scoring_Model!$C$15+(A_Scoring_Model!$C$14-A_Scoring_Model!$C$15)*(K292-$I292)/($H292-$I292))),IF(K292&lt;=$H292,A_Scoring_Model!$C$14,IF(K292&gt;$I292,0,A_Scoring_Model!$C$15+(A_Scoring_Model!$C$14-A_Scoring_Model!$C$15)*($I292-K292)/($I292-$H292))))))</f>
        <v/>
      </c>
      <c r="P292" s="56" t="str">
        <f aca="false">IF(L292="","",IF($H292=$I292,IF(OR(AND($G292="Higher is better",L292&gt;=$H292),AND($G292="Lower is better",L292&lt;=$H292)),A_Scoring_Model!$C$14,0),IF($G292="Higher is better",IF(L292&gt;=$H292,A_Scoring_Model!$C$14,IF(L292&lt;$I292,0,A_Scoring_Model!$C$15+(A_Scoring_Model!$C$14-A_Scoring_Model!$C$15)*(L292-$I292)/($H292-$I292))),IF(L292&lt;=$H292,A_Scoring_Model!$C$14,IF(L292&gt;$I292,0,A_Scoring_Model!$C$15+(A_Scoring_Model!$C$14-A_Scoring_Model!$C$15)*($I292-L292)/($I292-$H292))))))</f>
        <v/>
      </c>
      <c r="Q292" s="56" t="str">
        <f aca="false">IF(M292="","",IF($H292=$I292,IF(OR(AND($G292="Higher is better",M292&gt;=$H292),AND($G292="Lower is better",M292&lt;=$H292)),A_Scoring_Model!$C$14,0),IF($G292="Higher is better",IF(M292&gt;=$H292,A_Scoring_Model!$C$14,IF(M292&lt;$I292,0,A_Scoring_Model!$C$15+(A_Scoring_Model!$C$14-A_Scoring_Model!$C$15)*(M292-$I292)/($H292-$I292))),IF(M292&lt;=$H292,A_Scoring_Model!$C$14,IF(M292&gt;$I292,0,A_Scoring_Model!$C$15+(A_Scoring_Model!$C$14-A_Scoring_Model!$C$15)*($I292-M292)/($I292-$H292))))))</f>
        <v/>
      </c>
    </row>
    <row r="293" customFormat="false" ht="15" hidden="false" customHeight="false" outlineLevel="0" collapsed="false">
      <c r="A293" s="51" t="str">
        <f aca="false">C_KPI_Benchmark!A293</f>
        <v>5.c-D4-10</v>
      </c>
      <c r="B293" s="52" t="str">
        <f aca="false">C_KPI_Benchmark!D293</f>
        <v>5.c</v>
      </c>
      <c r="C293" s="51" t="str">
        <f aca="false">C_KPI_Benchmark!E293</f>
        <v>Visual AI + Perf Analyzer</v>
      </c>
      <c r="D293" s="52" t="str">
        <f aca="false">C_KPI_Benchmark!F293</f>
        <v>D4</v>
      </c>
      <c r="E293" s="51" t="str">
        <f aca="false">C_KPI_Benchmark!J293</f>
        <v>Verdicts with significance (p-value / CI)</v>
      </c>
      <c r="F293" s="52" t="str">
        <f aca="false">C_KPI_Benchmark!K293</f>
        <v>%</v>
      </c>
      <c r="G293" s="51" t="str">
        <f aca="false">C_KPI_Benchmark!L293</f>
        <v>Higher is better</v>
      </c>
      <c r="H293" s="53" t="n">
        <f aca="false">C_KPI_Benchmark!N293</f>
        <v>1</v>
      </c>
      <c r="I293" s="54" t="n">
        <f aca="false">IF(C_KPI_Benchmark!O293&lt;&gt;"",C_KPI_Benchmark!O293,IF(G293="Higher is better",H293*(1-A_Scoring_Model!$C$16),H293*(1+A_Scoring_Model!$C$16)))</f>
        <v>0.8</v>
      </c>
      <c r="J293" s="55"/>
      <c r="K293" s="55"/>
      <c r="L293" s="55"/>
      <c r="M293" s="55"/>
      <c r="N293" s="56" t="str">
        <f aca="false">IF(J293="","",IF($H293=$I293,IF(OR(AND($G293="Higher is better",J293&gt;=$H293),AND($G293="Lower is better",J293&lt;=$H293)),A_Scoring_Model!$C$14,0),IF($G293="Higher is better",IF(J293&gt;=$H293,A_Scoring_Model!$C$14,IF(J293&lt;$I293,0,A_Scoring_Model!$C$15+(A_Scoring_Model!$C$14-A_Scoring_Model!$C$15)*(J293-$I293)/($H293-$I293))),IF(J293&lt;=$H293,A_Scoring_Model!$C$14,IF(J293&gt;$I293,0,A_Scoring_Model!$C$15+(A_Scoring_Model!$C$14-A_Scoring_Model!$C$15)*($I293-J293)/($I293-$H293))))))</f>
        <v/>
      </c>
      <c r="O293" s="56" t="str">
        <f aca="false">IF(K293="","",IF($H293=$I293,IF(OR(AND($G293="Higher is better",K293&gt;=$H293),AND($G293="Lower is better",K293&lt;=$H293)),A_Scoring_Model!$C$14,0),IF($G293="Higher is better",IF(K293&gt;=$H293,A_Scoring_Model!$C$14,IF(K293&lt;$I293,0,A_Scoring_Model!$C$15+(A_Scoring_Model!$C$14-A_Scoring_Model!$C$15)*(K293-$I293)/($H293-$I293))),IF(K293&lt;=$H293,A_Scoring_Model!$C$14,IF(K293&gt;$I293,0,A_Scoring_Model!$C$15+(A_Scoring_Model!$C$14-A_Scoring_Model!$C$15)*($I293-K293)/($I293-$H293))))))</f>
        <v/>
      </c>
      <c r="P293" s="56" t="str">
        <f aca="false">IF(L293="","",IF($H293=$I293,IF(OR(AND($G293="Higher is better",L293&gt;=$H293),AND($G293="Lower is better",L293&lt;=$H293)),A_Scoring_Model!$C$14,0),IF($G293="Higher is better",IF(L293&gt;=$H293,A_Scoring_Model!$C$14,IF(L293&lt;$I293,0,A_Scoring_Model!$C$15+(A_Scoring_Model!$C$14-A_Scoring_Model!$C$15)*(L293-$I293)/($H293-$I293))),IF(L293&lt;=$H293,A_Scoring_Model!$C$14,IF(L293&gt;$I293,0,A_Scoring_Model!$C$15+(A_Scoring_Model!$C$14-A_Scoring_Model!$C$15)*($I293-L293)/($I293-$H293))))))</f>
        <v/>
      </c>
      <c r="Q293" s="56" t="str">
        <f aca="false">IF(M293="","",IF($H293=$I293,IF(OR(AND($G293="Higher is better",M293&gt;=$H293),AND($G293="Lower is better",M293&lt;=$H293)),A_Scoring_Model!$C$14,0),IF($G293="Higher is better",IF(M293&gt;=$H293,A_Scoring_Model!$C$14,IF(M293&lt;$I293,0,A_Scoring_Model!$C$15+(A_Scoring_Model!$C$14-A_Scoring_Model!$C$15)*(M293-$I293)/($H293-$I293))),IF(M293&lt;=$H293,A_Scoring_Model!$C$14,IF(M293&gt;$I293,0,A_Scoring_Model!$C$15+(A_Scoring_Model!$C$14-A_Scoring_Model!$C$15)*($I293-M293)/($I293-$H293))))))</f>
        <v/>
      </c>
    </row>
    <row r="294" customFormat="false" ht="15" hidden="false" customHeight="false" outlineLevel="0" collapsed="false">
      <c r="A294" s="51" t="str">
        <f aca="false">C_KPI_Benchmark!A294</f>
        <v>5.c-D4-11</v>
      </c>
      <c r="B294" s="52" t="str">
        <f aca="false">C_KPI_Benchmark!D294</f>
        <v>5.c</v>
      </c>
      <c r="C294" s="51" t="str">
        <f aca="false">C_KPI_Benchmark!E294</f>
        <v>Visual AI + Perf Analyzer</v>
      </c>
      <c r="D294" s="52" t="str">
        <f aca="false">C_KPI_Benchmark!F294</f>
        <v>D4</v>
      </c>
      <c r="E294" s="51" t="str">
        <f aca="false">C_KPI_Benchmark!J294</f>
        <v>Service availability</v>
      </c>
      <c r="F294" s="52" t="str">
        <f aca="false">C_KPI_Benchmark!K294</f>
        <v>%</v>
      </c>
      <c r="G294" s="51" t="str">
        <f aca="false">C_KPI_Benchmark!L294</f>
        <v>Higher is better</v>
      </c>
      <c r="H294" s="53" t="n">
        <f aca="false">C_KPI_Benchmark!N294</f>
        <v>0.995</v>
      </c>
      <c r="I294" s="54" t="n">
        <f aca="false">IF(C_KPI_Benchmark!O294&lt;&gt;"",C_KPI_Benchmark!O294,IF(G294="Higher is better",H294*(1-A_Scoring_Model!$C$16),H294*(1+A_Scoring_Model!$C$16)))</f>
        <v>0.99</v>
      </c>
      <c r="J294" s="55"/>
      <c r="K294" s="55"/>
      <c r="L294" s="55"/>
      <c r="M294" s="55"/>
      <c r="N294" s="56" t="str">
        <f aca="false">IF(J294="","",IF($H294=$I294,IF(OR(AND($G294="Higher is better",J294&gt;=$H294),AND($G294="Lower is better",J294&lt;=$H294)),A_Scoring_Model!$C$14,0),IF($G294="Higher is better",IF(J294&gt;=$H294,A_Scoring_Model!$C$14,IF(J294&lt;$I294,0,A_Scoring_Model!$C$15+(A_Scoring_Model!$C$14-A_Scoring_Model!$C$15)*(J294-$I294)/($H294-$I294))),IF(J294&lt;=$H294,A_Scoring_Model!$C$14,IF(J294&gt;$I294,0,A_Scoring_Model!$C$15+(A_Scoring_Model!$C$14-A_Scoring_Model!$C$15)*($I294-J294)/($I294-$H294))))))</f>
        <v/>
      </c>
      <c r="O294" s="56" t="str">
        <f aca="false">IF(K294="","",IF($H294=$I294,IF(OR(AND($G294="Higher is better",K294&gt;=$H294),AND($G294="Lower is better",K294&lt;=$H294)),A_Scoring_Model!$C$14,0),IF($G294="Higher is better",IF(K294&gt;=$H294,A_Scoring_Model!$C$14,IF(K294&lt;$I294,0,A_Scoring_Model!$C$15+(A_Scoring_Model!$C$14-A_Scoring_Model!$C$15)*(K294-$I294)/($H294-$I294))),IF(K294&lt;=$H294,A_Scoring_Model!$C$14,IF(K294&gt;$I294,0,A_Scoring_Model!$C$15+(A_Scoring_Model!$C$14-A_Scoring_Model!$C$15)*($I294-K294)/($I294-$H294))))))</f>
        <v/>
      </c>
      <c r="P294" s="56" t="str">
        <f aca="false">IF(L294="","",IF($H294=$I294,IF(OR(AND($G294="Higher is better",L294&gt;=$H294),AND($G294="Lower is better",L294&lt;=$H294)),A_Scoring_Model!$C$14,0),IF($G294="Higher is better",IF(L294&gt;=$H294,A_Scoring_Model!$C$14,IF(L294&lt;$I294,0,A_Scoring_Model!$C$15+(A_Scoring_Model!$C$14-A_Scoring_Model!$C$15)*(L294-$I294)/($H294-$I294))),IF(L294&lt;=$H294,A_Scoring_Model!$C$14,IF(L294&gt;$I294,0,A_Scoring_Model!$C$15+(A_Scoring_Model!$C$14-A_Scoring_Model!$C$15)*($I294-L294)/($I294-$H294))))))</f>
        <v/>
      </c>
      <c r="Q294" s="56" t="str">
        <f aca="false">IF(M294="","",IF($H294=$I294,IF(OR(AND($G294="Higher is better",M294&gt;=$H294),AND($G294="Lower is better",M294&lt;=$H294)),A_Scoring_Model!$C$14,0),IF($G294="Higher is better",IF(M294&gt;=$H294,A_Scoring_Model!$C$14,IF(M294&lt;$I294,0,A_Scoring_Model!$C$15+(A_Scoring_Model!$C$14-A_Scoring_Model!$C$15)*(M294-$I294)/($H294-$I294))),IF(M294&lt;=$H294,A_Scoring_Model!$C$14,IF(M294&gt;$I294,0,A_Scoring_Model!$C$15+(A_Scoring_Model!$C$14-A_Scoring_Model!$C$15)*($I294-M294)/($I294-$H294))))))</f>
        <v/>
      </c>
    </row>
    <row r="295" customFormat="false" ht="15" hidden="false" customHeight="false" outlineLevel="0" collapsed="false">
      <c r="A295" s="51" t="str">
        <f aca="false">C_KPI_Benchmark!A295</f>
        <v>5.c-D5-12</v>
      </c>
      <c r="B295" s="52" t="str">
        <f aca="false">C_KPI_Benchmark!D295</f>
        <v>5.c</v>
      </c>
      <c r="C295" s="51" t="str">
        <f aca="false">C_KPI_Benchmark!E295</f>
        <v>Visual AI + Perf Analyzer</v>
      </c>
      <c r="D295" s="52" t="str">
        <f aca="false">C_KPI_Benchmark!F295</f>
        <v>D5</v>
      </c>
      <c r="E295" s="51" t="str">
        <f aca="false">C_KPI_Benchmark!J295</f>
        <v>Perf analysis time reduction</v>
      </c>
      <c r="F295" s="52" t="str">
        <f aca="false">C_KPI_Benchmark!K295</f>
        <v>%</v>
      </c>
      <c r="G295" s="51" t="str">
        <f aca="false">C_KPI_Benchmark!L295</f>
        <v>Higher is better</v>
      </c>
      <c r="H295" s="53" t="n">
        <f aca="false">C_KPI_Benchmark!N295</f>
        <v>0.7</v>
      </c>
      <c r="I295" s="54" t="n">
        <f aca="false">IF(C_KPI_Benchmark!O295&lt;&gt;"",C_KPI_Benchmark!O295,IF(G295="Higher is better",H295*(1-A_Scoring_Model!$C$16),H295*(1+A_Scoring_Model!$C$16)))</f>
        <v>0.56</v>
      </c>
      <c r="J295" s="55"/>
      <c r="K295" s="55"/>
      <c r="L295" s="55"/>
      <c r="M295" s="55"/>
      <c r="N295" s="56" t="str">
        <f aca="false">IF(J295="","",IF($H295=$I295,IF(OR(AND($G295="Higher is better",J295&gt;=$H295),AND($G295="Lower is better",J295&lt;=$H295)),A_Scoring_Model!$C$14,0),IF($G295="Higher is better",IF(J295&gt;=$H295,A_Scoring_Model!$C$14,IF(J295&lt;$I295,0,A_Scoring_Model!$C$15+(A_Scoring_Model!$C$14-A_Scoring_Model!$C$15)*(J295-$I295)/($H295-$I295))),IF(J295&lt;=$H295,A_Scoring_Model!$C$14,IF(J295&gt;$I295,0,A_Scoring_Model!$C$15+(A_Scoring_Model!$C$14-A_Scoring_Model!$C$15)*($I295-J295)/($I295-$H295))))))</f>
        <v/>
      </c>
      <c r="O295" s="56" t="str">
        <f aca="false">IF(K295="","",IF($H295=$I295,IF(OR(AND($G295="Higher is better",K295&gt;=$H295),AND($G295="Lower is better",K295&lt;=$H295)),A_Scoring_Model!$C$14,0),IF($G295="Higher is better",IF(K295&gt;=$H295,A_Scoring_Model!$C$14,IF(K295&lt;$I295,0,A_Scoring_Model!$C$15+(A_Scoring_Model!$C$14-A_Scoring_Model!$C$15)*(K295-$I295)/($H295-$I295))),IF(K295&lt;=$H295,A_Scoring_Model!$C$14,IF(K295&gt;$I295,0,A_Scoring_Model!$C$15+(A_Scoring_Model!$C$14-A_Scoring_Model!$C$15)*($I295-K295)/($I295-$H295))))))</f>
        <v/>
      </c>
      <c r="P295" s="56" t="str">
        <f aca="false">IF(L295="","",IF($H295=$I295,IF(OR(AND($G295="Higher is better",L295&gt;=$H295),AND($G295="Lower is better",L295&lt;=$H295)),A_Scoring_Model!$C$14,0),IF($G295="Higher is better",IF(L295&gt;=$H295,A_Scoring_Model!$C$14,IF(L295&lt;$I295,0,A_Scoring_Model!$C$15+(A_Scoring_Model!$C$14-A_Scoring_Model!$C$15)*(L295-$I295)/($H295-$I295))),IF(L295&lt;=$H295,A_Scoring_Model!$C$14,IF(L295&gt;$I295,0,A_Scoring_Model!$C$15+(A_Scoring_Model!$C$14-A_Scoring_Model!$C$15)*($I295-L295)/($I295-$H295))))))</f>
        <v/>
      </c>
      <c r="Q295" s="56" t="str">
        <f aca="false">IF(M295="","",IF($H295=$I295,IF(OR(AND($G295="Higher is better",M295&gt;=$H295),AND($G295="Lower is better",M295&lt;=$H295)),A_Scoring_Model!$C$14,0),IF($G295="Higher is better",IF(M295&gt;=$H295,A_Scoring_Model!$C$14,IF(M295&lt;$I295,0,A_Scoring_Model!$C$15+(A_Scoring_Model!$C$14-A_Scoring_Model!$C$15)*(M295-$I295)/($H295-$I295))),IF(M295&lt;=$H295,A_Scoring_Model!$C$14,IF(M295&gt;$I295,0,A_Scoring_Model!$C$15+(A_Scoring_Model!$C$14-A_Scoring_Model!$C$15)*($I295-M295)/($I295-$H295))))))</f>
        <v/>
      </c>
    </row>
    <row r="296" customFormat="false" ht="15" hidden="false" customHeight="false" outlineLevel="0" collapsed="false">
      <c r="A296" s="51" t="str">
        <f aca="false">C_KPI_Benchmark!A296</f>
        <v>5.c-D6-13</v>
      </c>
      <c r="B296" s="52" t="str">
        <f aca="false">C_KPI_Benchmark!D296</f>
        <v>5.c</v>
      </c>
      <c r="C296" s="51" t="str">
        <f aca="false">C_KPI_Benchmark!E296</f>
        <v>Visual AI + Perf Analyzer</v>
      </c>
      <c r="D296" s="52" t="str">
        <f aca="false">C_KPI_Benchmark!F296</f>
        <v>D6</v>
      </c>
      <c r="E296" s="51" t="str">
        <f aca="false">C_KPI_Benchmark!J296</f>
        <v>Solution code test coverage</v>
      </c>
      <c r="F296" s="52" t="str">
        <f aca="false">C_KPI_Benchmark!K296</f>
        <v>%</v>
      </c>
      <c r="G296" s="51" t="str">
        <f aca="false">C_KPI_Benchmark!L296</f>
        <v>Higher is better</v>
      </c>
      <c r="H296" s="53" t="n">
        <f aca="false">C_KPI_Benchmark!N296</f>
        <v>0.8</v>
      </c>
      <c r="I296" s="54" t="n">
        <f aca="false">IF(C_KPI_Benchmark!O296&lt;&gt;"",C_KPI_Benchmark!O296,IF(G296="Higher is better",H296*(1-A_Scoring_Model!$C$16),H296*(1+A_Scoring_Model!$C$16)))</f>
        <v>0.6</v>
      </c>
      <c r="J296" s="55"/>
      <c r="K296" s="55"/>
      <c r="L296" s="55"/>
      <c r="M296" s="55"/>
      <c r="N296" s="56" t="str">
        <f aca="false">IF(J296="","",IF($H296=$I296,IF(OR(AND($G296="Higher is better",J296&gt;=$H296),AND($G296="Lower is better",J296&lt;=$H296)),A_Scoring_Model!$C$14,0),IF($G296="Higher is better",IF(J296&gt;=$H296,A_Scoring_Model!$C$14,IF(J296&lt;$I296,0,A_Scoring_Model!$C$15+(A_Scoring_Model!$C$14-A_Scoring_Model!$C$15)*(J296-$I296)/($H296-$I296))),IF(J296&lt;=$H296,A_Scoring_Model!$C$14,IF(J296&gt;$I296,0,A_Scoring_Model!$C$15+(A_Scoring_Model!$C$14-A_Scoring_Model!$C$15)*($I296-J296)/($I296-$H296))))))</f>
        <v/>
      </c>
      <c r="O296" s="56" t="str">
        <f aca="false">IF(K296="","",IF($H296=$I296,IF(OR(AND($G296="Higher is better",K296&gt;=$H296),AND($G296="Lower is better",K296&lt;=$H296)),A_Scoring_Model!$C$14,0),IF($G296="Higher is better",IF(K296&gt;=$H296,A_Scoring_Model!$C$14,IF(K296&lt;$I296,0,A_Scoring_Model!$C$15+(A_Scoring_Model!$C$14-A_Scoring_Model!$C$15)*(K296-$I296)/($H296-$I296))),IF(K296&lt;=$H296,A_Scoring_Model!$C$14,IF(K296&gt;$I296,0,A_Scoring_Model!$C$15+(A_Scoring_Model!$C$14-A_Scoring_Model!$C$15)*($I296-K296)/($I296-$H296))))))</f>
        <v/>
      </c>
      <c r="P296" s="56" t="str">
        <f aca="false">IF(L296="","",IF($H296=$I296,IF(OR(AND($G296="Higher is better",L296&gt;=$H296),AND($G296="Lower is better",L296&lt;=$H296)),A_Scoring_Model!$C$14,0),IF($G296="Higher is better",IF(L296&gt;=$H296,A_Scoring_Model!$C$14,IF(L296&lt;$I296,0,A_Scoring_Model!$C$15+(A_Scoring_Model!$C$14-A_Scoring_Model!$C$15)*(L296-$I296)/($H296-$I296))),IF(L296&lt;=$H296,A_Scoring_Model!$C$14,IF(L296&gt;$I296,0,A_Scoring_Model!$C$15+(A_Scoring_Model!$C$14-A_Scoring_Model!$C$15)*($I296-L296)/($I296-$H296))))))</f>
        <v/>
      </c>
      <c r="Q296" s="56" t="str">
        <f aca="false">IF(M296="","",IF($H296=$I296,IF(OR(AND($G296="Higher is better",M296&gt;=$H296),AND($G296="Lower is better",M296&lt;=$H296)),A_Scoring_Model!$C$14,0),IF($G296="Higher is better",IF(M296&gt;=$H296,A_Scoring_Model!$C$14,IF(M296&lt;$I296,0,A_Scoring_Model!$C$15+(A_Scoring_Model!$C$14-A_Scoring_Model!$C$15)*(M296-$I296)/($H296-$I296))),IF(M296&lt;=$H296,A_Scoring_Model!$C$14,IF(M296&gt;$I296,0,A_Scoring_Model!$C$15+(A_Scoring_Model!$C$14-A_Scoring_Model!$C$15)*($I296-M296)/($I296-$H296))))))</f>
        <v/>
      </c>
    </row>
    <row r="297" customFormat="false" ht="15" hidden="false" customHeight="false" outlineLevel="0" collapsed="false">
      <c r="A297" s="51" t="str">
        <f aca="false">C_KPI_Benchmark!A297</f>
        <v>5.c-D6-14</v>
      </c>
      <c r="B297" s="52" t="str">
        <f aca="false">C_KPI_Benchmark!D297</f>
        <v>5.c</v>
      </c>
      <c r="C297" s="51" t="str">
        <f aca="false">C_KPI_Benchmark!E297</f>
        <v>Visual AI + Perf Analyzer</v>
      </c>
      <c r="D297" s="52" t="str">
        <f aca="false">C_KPI_Benchmark!F297</f>
        <v>D6</v>
      </c>
      <c r="E297" s="51" t="str">
        <f aca="false">C_KPI_Benchmark!J297</f>
        <v>Review Shield critical findings</v>
      </c>
      <c r="F297" s="52" t="str">
        <f aca="false">C_KPI_Benchmark!K297</f>
        <v>count</v>
      </c>
      <c r="G297" s="51" t="str">
        <f aca="false">C_KPI_Benchmark!L297</f>
        <v>Lower is better</v>
      </c>
      <c r="H297" s="62" t="n">
        <f aca="false">C_KPI_Benchmark!N297</f>
        <v>0</v>
      </c>
      <c r="I297" s="63" t="n">
        <f aca="false">IF(C_KPI_Benchmark!O297&lt;&gt;"",C_KPI_Benchmark!O297,IF(G297="Higher is better",H297*(1-A_Scoring_Model!$C$16),H297*(1+A_Scoring_Model!$C$16)))</f>
        <v>0</v>
      </c>
      <c r="J297" s="64"/>
      <c r="K297" s="64"/>
      <c r="L297" s="64"/>
      <c r="M297" s="64"/>
      <c r="N297" s="56" t="str">
        <f aca="false">IF(J297="","",IF($H297=$I297,IF(OR(AND($G297="Higher is better",J297&gt;=$H297),AND($G297="Lower is better",J297&lt;=$H297)),A_Scoring_Model!$C$14,0),IF($G297="Higher is better",IF(J297&gt;=$H297,A_Scoring_Model!$C$14,IF(J297&lt;$I297,0,A_Scoring_Model!$C$15+(A_Scoring_Model!$C$14-A_Scoring_Model!$C$15)*(J297-$I297)/($H297-$I297))),IF(J297&lt;=$H297,A_Scoring_Model!$C$14,IF(J297&gt;$I297,0,A_Scoring_Model!$C$15+(A_Scoring_Model!$C$14-A_Scoring_Model!$C$15)*($I297-J297)/($I297-$H297))))))</f>
        <v/>
      </c>
      <c r="O297" s="56" t="str">
        <f aca="false">IF(K297="","",IF($H297=$I297,IF(OR(AND($G297="Higher is better",K297&gt;=$H297),AND($G297="Lower is better",K297&lt;=$H297)),A_Scoring_Model!$C$14,0),IF($G297="Higher is better",IF(K297&gt;=$H297,A_Scoring_Model!$C$14,IF(K297&lt;$I297,0,A_Scoring_Model!$C$15+(A_Scoring_Model!$C$14-A_Scoring_Model!$C$15)*(K297-$I297)/($H297-$I297))),IF(K297&lt;=$H297,A_Scoring_Model!$C$14,IF(K297&gt;$I297,0,A_Scoring_Model!$C$15+(A_Scoring_Model!$C$14-A_Scoring_Model!$C$15)*($I297-K297)/($I297-$H297))))))</f>
        <v/>
      </c>
      <c r="P297" s="56" t="str">
        <f aca="false">IF(L297="","",IF($H297=$I297,IF(OR(AND($G297="Higher is better",L297&gt;=$H297),AND($G297="Lower is better",L297&lt;=$H297)),A_Scoring_Model!$C$14,0),IF($G297="Higher is better",IF(L297&gt;=$H297,A_Scoring_Model!$C$14,IF(L297&lt;$I297,0,A_Scoring_Model!$C$15+(A_Scoring_Model!$C$14-A_Scoring_Model!$C$15)*(L297-$I297)/($H297-$I297))),IF(L297&lt;=$H297,A_Scoring_Model!$C$14,IF(L297&gt;$I297,0,A_Scoring_Model!$C$15+(A_Scoring_Model!$C$14-A_Scoring_Model!$C$15)*($I297-L297)/($I297-$H297))))))</f>
        <v/>
      </c>
      <c r="Q297" s="56" t="str">
        <f aca="false">IF(M297="","",IF($H297=$I297,IF(OR(AND($G297="Higher is better",M297&gt;=$H297),AND($G297="Lower is better",M297&lt;=$H297)),A_Scoring_Model!$C$14,0),IF($G297="Higher is better",IF(M297&gt;=$H297,A_Scoring_Model!$C$14,IF(M297&lt;$I297,0,A_Scoring_Model!$C$15+(A_Scoring_Model!$C$14-A_Scoring_Model!$C$15)*(M297-$I297)/($H297-$I297))),IF(M297&lt;=$H297,A_Scoring_Model!$C$14,IF(M297&gt;$I297,0,A_Scoring_Model!$C$15+(A_Scoring_Model!$C$14-A_Scoring_Model!$C$15)*($I297-M297)/($I297-$H297))))))</f>
        <v/>
      </c>
    </row>
    <row r="298" customFormat="false" ht="15" hidden="false" customHeight="false" outlineLevel="0" collapsed="false">
      <c r="A298" s="51" t="str">
        <f aca="false">C_KPI_Benchmark!A298</f>
        <v>5.c-D6-15</v>
      </c>
      <c r="B298" s="52" t="str">
        <f aca="false">C_KPI_Benchmark!D298</f>
        <v>5.c</v>
      </c>
      <c r="C298" s="51" t="str">
        <f aca="false">C_KPI_Benchmark!E298</f>
        <v>Visual AI + Perf Analyzer</v>
      </c>
      <c r="D298" s="52" t="str">
        <f aca="false">C_KPI_Benchmark!F298</f>
        <v>D6</v>
      </c>
      <c r="E298" s="51" t="str">
        <f aca="false">C_KPI_Benchmark!J298</f>
        <v>SAST high findings and exposed secrets</v>
      </c>
      <c r="F298" s="52" t="str">
        <f aca="false">C_KPI_Benchmark!K298</f>
        <v>count</v>
      </c>
      <c r="G298" s="51" t="str">
        <f aca="false">C_KPI_Benchmark!L298</f>
        <v>Lower is better</v>
      </c>
      <c r="H298" s="62" t="n">
        <f aca="false">C_KPI_Benchmark!N298</f>
        <v>0</v>
      </c>
      <c r="I298" s="63" t="n">
        <f aca="false">IF(C_KPI_Benchmark!O298&lt;&gt;"",C_KPI_Benchmark!O298,IF(G298="Higher is better",H298*(1-A_Scoring_Model!$C$16),H298*(1+A_Scoring_Model!$C$16)))</f>
        <v>0</v>
      </c>
      <c r="J298" s="64"/>
      <c r="K298" s="64"/>
      <c r="L298" s="64"/>
      <c r="M298" s="64"/>
      <c r="N298" s="56" t="str">
        <f aca="false">IF(J298="","",IF($H298=$I298,IF(OR(AND($G298="Higher is better",J298&gt;=$H298),AND($G298="Lower is better",J298&lt;=$H298)),A_Scoring_Model!$C$14,0),IF($G298="Higher is better",IF(J298&gt;=$H298,A_Scoring_Model!$C$14,IF(J298&lt;$I298,0,A_Scoring_Model!$C$15+(A_Scoring_Model!$C$14-A_Scoring_Model!$C$15)*(J298-$I298)/($H298-$I298))),IF(J298&lt;=$H298,A_Scoring_Model!$C$14,IF(J298&gt;$I298,0,A_Scoring_Model!$C$15+(A_Scoring_Model!$C$14-A_Scoring_Model!$C$15)*($I298-J298)/($I298-$H298))))))</f>
        <v/>
      </c>
      <c r="O298" s="56" t="str">
        <f aca="false">IF(K298="","",IF($H298=$I298,IF(OR(AND($G298="Higher is better",K298&gt;=$H298),AND($G298="Lower is better",K298&lt;=$H298)),A_Scoring_Model!$C$14,0),IF($G298="Higher is better",IF(K298&gt;=$H298,A_Scoring_Model!$C$14,IF(K298&lt;$I298,0,A_Scoring_Model!$C$15+(A_Scoring_Model!$C$14-A_Scoring_Model!$C$15)*(K298-$I298)/($H298-$I298))),IF(K298&lt;=$H298,A_Scoring_Model!$C$14,IF(K298&gt;$I298,0,A_Scoring_Model!$C$15+(A_Scoring_Model!$C$14-A_Scoring_Model!$C$15)*($I298-K298)/($I298-$H298))))))</f>
        <v/>
      </c>
      <c r="P298" s="56" t="str">
        <f aca="false">IF(L298="","",IF($H298=$I298,IF(OR(AND($G298="Higher is better",L298&gt;=$H298),AND($G298="Lower is better",L298&lt;=$H298)),A_Scoring_Model!$C$14,0),IF($G298="Higher is better",IF(L298&gt;=$H298,A_Scoring_Model!$C$14,IF(L298&lt;$I298,0,A_Scoring_Model!$C$15+(A_Scoring_Model!$C$14-A_Scoring_Model!$C$15)*(L298-$I298)/($H298-$I298))),IF(L298&lt;=$H298,A_Scoring_Model!$C$14,IF(L298&gt;$I298,0,A_Scoring_Model!$C$15+(A_Scoring_Model!$C$14-A_Scoring_Model!$C$15)*($I298-L298)/($I298-$H298))))))</f>
        <v/>
      </c>
      <c r="Q298" s="56" t="str">
        <f aca="false">IF(M298="","",IF($H298=$I298,IF(OR(AND($G298="Higher is better",M298&gt;=$H298),AND($G298="Lower is better",M298&lt;=$H298)),A_Scoring_Model!$C$14,0),IF($G298="Higher is better",IF(M298&gt;=$H298,A_Scoring_Model!$C$14,IF(M298&lt;$I298,0,A_Scoring_Model!$C$15+(A_Scoring_Model!$C$14-A_Scoring_Model!$C$15)*(M298-$I298)/($H298-$I298))),IF(M298&lt;=$H298,A_Scoring_Model!$C$14,IF(M298&gt;$I298,0,A_Scoring_Model!$C$15+(A_Scoring_Model!$C$14-A_Scoring_Model!$C$15)*($I298-M298)/($I298-$H298))))))</f>
        <v/>
      </c>
    </row>
    <row r="299" customFormat="false" ht="23.85" hidden="false" customHeight="false" outlineLevel="0" collapsed="false">
      <c r="A299" s="51" t="str">
        <f aca="false">C_KPI_Benchmark!A299</f>
        <v>5.c-D6-16</v>
      </c>
      <c r="B299" s="52" t="str">
        <f aca="false">C_KPI_Benchmark!D299</f>
        <v>5.c</v>
      </c>
      <c r="C299" s="51" t="str">
        <f aca="false">C_KPI_Benchmark!E299</f>
        <v>Visual AI + Perf Analyzer</v>
      </c>
      <c r="D299" s="52" t="str">
        <f aca="false">C_KPI_Benchmark!F299</f>
        <v>D6</v>
      </c>
      <c r="E299" s="51" t="str">
        <f aca="false">C_KPI_Benchmark!J299</f>
        <v>Documentation pack complete (README, I/O contract, model card, runbook)</v>
      </c>
      <c r="F299" s="52" t="str">
        <f aca="false">C_KPI_Benchmark!K299</f>
        <v>Yes/No</v>
      </c>
      <c r="G299" s="51" t="str">
        <f aca="false">C_KPI_Benchmark!L299</f>
        <v>Higher is better</v>
      </c>
      <c r="H299" s="60" t="n">
        <f aca="false">C_KPI_Benchmark!N299</f>
        <v>1</v>
      </c>
      <c r="I299" s="56" t="n">
        <f aca="false">IF(C_KPI_Benchmark!O299&lt;&gt;"",C_KPI_Benchmark!O299,IF(G299="Higher is better",H299*(1-A_Scoring_Model!$C$16),H299*(1+A_Scoring_Model!$C$16)))</f>
        <v>0.8</v>
      </c>
      <c r="J299" s="61"/>
      <c r="K299" s="61"/>
      <c r="L299" s="61"/>
      <c r="M299" s="61"/>
      <c r="N299" s="56" t="str">
        <f aca="false">IF(J299="","",IF($H299=$I299,IF(OR(AND($G299="Higher is better",J299&gt;=$H299),AND($G299="Lower is better",J299&lt;=$H299)),A_Scoring_Model!$C$14,0),IF($G299="Higher is better",IF(J299&gt;=$H299,A_Scoring_Model!$C$14,IF(J299&lt;$I299,0,A_Scoring_Model!$C$15+(A_Scoring_Model!$C$14-A_Scoring_Model!$C$15)*(J299-$I299)/($H299-$I299))),IF(J299&lt;=$H299,A_Scoring_Model!$C$14,IF(J299&gt;$I299,0,A_Scoring_Model!$C$15+(A_Scoring_Model!$C$14-A_Scoring_Model!$C$15)*($I299-J299)/($I299-$H299))))))</f>
        <v/>
      </c>
      <c r="O299" s="56" t="str">
        <f aca="false">IF(K299="","",IF($H299=$I299,IF(OR(AND($G299="Higher is better",K299&gt;=$H299),AND($G299="Lower is better",K299&lt;=$H299)),A_Scoring_Model!$C$14,0),IF($G299="Higher is better",IF(K299&gt;=$H299,A_Scoring_Model!$C$14,IF(K299&lt;$I299,0,A_Scoring_Model!$C$15+(A_Scoring_Model!$C$14-A_Scoring_Model!$C$15)*(K299-$I299)/($H299-$I299))),IF(K299&lt;=$H299,A_Scoring_Model!$C$14,IF(K299&gt;$I299,0,A_Scoring_Model!$C$15+(A_Scoring_Model!$C$14-A_Scoring_Model!$C$15)*($I299-K299)/($I299-$H299))))))</f>
        <v/>
      </c>
      <c r="P299" s="56" t="str">
        <f aca="false">IF(L299="","",IF($H299=$I299,IF(OR(AND($G299="Higher is better",L299&gt;=$H299),AND($G299="Lower is better",L299&lt;=$H299)),A_Scoring_Model!$C$14,0),IF($G299="Higher is better",IF(L299&gt;=$H299,A_Scoring_Model!$C$14,IF(L299&lt;$I299,0,A_Scoring_Model!$C$15+(A_Scoring_Model!$C$14-A_Scoring_Model!$C$15)*(L299-$I299)/($H299-$I299))),IF(L299&lt;=$H299,A_Scoring_Model!$C$14,IF(L299&gt;$I299,0,A_Scoring_Model!$C$15+(A_Scoring_Model!$C$14-A_Scoring_Model!$C$15)*($I299-L299)/($I299-$H299))))))</f>
        <v/>
      </c>
      <c r="Q299" s="56" t="str">
        <f aca="false">IF(M299="","",IF($H299=$I299,IF(OR(AND($G299="Higher is better",M299&gt;=$H299),AND($G299="Lower is better",M299&lt;=$H299)),A_Scoring_Model!$C$14,0),IF($G299="Higher is better",IF(M299&gt;=$H299,A_Scoring_Model!$C$14,IF(M299&lt;$I299,0,A_Scoring_Model!$C$15+(A_Scoring_Model!$C$14-A_Scoring_Model!$C$15)*(M299-$I299)/($H299-$I299))),IF(M299&lt;=$H299,A_Scoring_Model!$C$14,IF(M299&gt;$I299,0,A_Scoring_Model!$C$15+(A_Scoring_Model!$C$14-A_Scoring_Model!$C$15)*($I299-M299)/($I299-$H299))))))</f>
        <v/>
      </c>
    </row>
    <row r="300" customFormat="false" ht="15" hidden="false" customHeight="false" outlineLevel="0" collapsed="false">
      <c r="A300" s="51" t="str">
        <f aca="false">C_KPI_Benchmark!A300</f>
        <v>5.c-D6-17</v>
      </c>
      <c r="B300" s="52" t="str">
        <f aca="false">C_KPI_Benchmark!D300</f>
        <v>5.c</v>
      </c>
      <c r="C300" s="51" t="str">
        <f aca="false">C_KPI_Benchmark!E300</f>
        <v>Visual AI + Perf Analyzer</v>
      </c>
      <c r="D300" s="52" t="str">
        <f aca="false">C_KPI_Benchmark!F300</f>
        <v>D6</v>
      </c>
      <c r="E300" s="51" t="str">
        <f aca="false">C_KPI_Benchmark!J300</f>
        <v>Named owner and support SLA</v>
      </c>
      <c r="F300" s="52" t="str">
        <f aca="false">C_KPI_Benchmark!K300</f>
        <v>Yes/No</v>
      </c>
      <c r="G300" s="51" t="str">
        <f aca="false">C_KPI_Benchmark!L300</f>
        <v>Higher is better</v>
      </c>
      <c r="H300" s="60" t="n">
        <f aca="false">C_KPI_Benchmark!N300</f>
        <v>1</v>
      </c>
      <c r="I300" s="56" t="n">
        <f aca="false">IF(C_KPI_Benchmark!O300&lt;&gt;"",C_KPI_Benchmark!O300,IF(G300="Higher is better",H300*(1-A_Scoring_Model!$C$16),H300*(1+A_Scoring_Model!$C$16)))</f>
        <v>0.8</v>
      </c>
      <c r="J300" s="61"/>
      <c r="K300" s="61"/>
      <c r="L300" s="61"/>
      <c r="M300" s="61"/>
      <c r="N300" s="56" t="str">
        <f aca="false">IF(J300="","",IF($H300=$I300,IF(OR(AND($G300="Higher is better",J300&gt;=$H300),AND($G300="Lower is better",J300&lt;=$H300)),A_Scoring_Model!$C$14,0),IF($G300="Higher is better",IF(J300&gt;=$H300,A_Scoring_Model!$C$14,IF(J300&lt;$I300,0,A_Scoring_Model!$C$15+(A_Scoring_Model!$C$14-A_Scoring_Model!$C$15)*(J300-$I300)/($H300-$I300))),IF(J300&lt;=$H300,A_Scoring_Model!$C$14,IF(J300&gt;$I300,0,A_Scoring_Model!$C$15+(A_Scoring_Model!$C$14-A_Scoring_Model!$C$15)*($I300-J300)/($I300-$H300))))))</f>
        <v/>
      </c>
      <c r="O300" s="56" t="str">
        <f aca="false">IF(K300="","",IF($H300=$I300,IF(OR(AND($G300="Higher is better",K300&gt;=$H300),AND($G300="Lower is better",K300&lt;=$H300)),A_Scoring_Model!$C$14,0),IF($G300="Higher is better",IF(K300&gt;=$H300,A_Scoring_Model!$C$14,IF(K300&lt;$I300,0,A_Scoring_Model!$C$15+(A_Scoring_Model!$C$14-A_Scoring_Model!$C$15)*(K300-$I300)/($H300-$I300))),IF(K300&lt;=$H300,A_Scoring_Model!$C$14,IF(K300&gt;$I300,0,A_Scoring_Model!$C$15+(A_Scoring_Model!$C$14-A_Scoring_Model!$C$15)*($I300-K300)/($I300-$H300))))))</f>
        <v/>
      </c>
      <c r="P300" s="56" t="str">
        <f aca="false">IF(L300="","",IF($H300=$I300,IF(OR(AND($G300="Higher is better",L300&gt;=$H300),AND($G300="Lower is better",L300&lt;=$H300)),A_Scoring_Model!$C$14,0),IF($G300="Higher is better",IF(L300&gt;=$H300,A_Scoring_Model!$C$14,IF(L300&lt;$I300,0,A_Scoring_Model!$C$15+(A_Scoring_Model!$C$14-A_Scoring_Model!$C$15)*(L300-$I300)/($H300-$I300))),IF(L300&lt;=$H300,A_Scoring_Model!$C$14,IF(L300&gt;$I300,0,A_Scoring_Model!$C$15+(A_Scoring_Model!$C$14-A_Scoring_Model!$C$15)*($I300-L300)/($I300-$H300))))))</f>
        <v/>
      </c>
      <c r="Q300" s="56" t="str">
        <f aca="false">IF(M300="","",IF($H300=$I300,IF(OR(AND($G300="Higher is better",M300&gt;=$H300),AND($G300="Lower is better",M300&lt;=$H300)),A_Scoring_Model!$C$14,0),IF($G300="Higher is better",IF(M300&gt;=$H300,A_Scoring_Model!$C$14,IF(M300&lt;$I300,0,A_Scoring_Model!$C$15+(A_Scoring_Model!$C$14-A_Scoring_Model!$C$15)*(M300-$I300)/($H300-$I300))),IF(M300&lt;=$H300,A_Scoring_Model!$C$14,IF(M300&gt;$I300,0,A_Scoring_Model!$C$15+(A_Scoring_Model!$C$14-A_Scoring_Model!$C$15)*($I300-M300)/($I300-$H300))))))</f>
        <v/>
      </c>
    </row>
    <row r="301" customFormat="false" ht="15" hidden="false" customHeight="false" outlineLevel="0" collapsed="false">
      <c r="A301" s="51" t="str">
        <f aca="false">C_KPI_Benchmark!A301</f>
        <v>6.a-D1-01</v>
      </c>
      <c r="B301" s="52" t="str">
        <f aca="false">C_KPI_Benchmark!D301</f>
        <v>6.a</v>
      </c>
      <c r="C301" s="51" t="str">
        <f aca="false">C_KPI_Benchmark!E301</f>
        <v>Defect Classifier &amp; Severity AI</v>
      </c>
      <c r="D301" s="52" t="str">
        <f aca="false">C_KPI_Benchmark!F301</f>
        <v>D1</v>
      </c>
      <c r="E301" s="51" t="str">
        <f aca="false">C_KPI_Benchmark!J301</f>
        <v>Component classification accuracy</v>
      </c>
      <c r="F301" s="52" t="str">
        <f aca="false">C_KPI_Benchmark!K301</f>
        <v>%</v>
      </c>
      <c r="G301" s="51" t="str">
        <f aca="false">C_KPI_Benchmark!L301</f>
        <v>Higher is better</v>
      </c>
      <c r="H301" s="53" t="n">
        <f aca="false">C_KPI_Benchmark!N301</f>
        <v>0.9</v>
      </c>
      <c r="I301" s="54" t="n">
        <f aca="false">IF(C_KPI_Benchmark!O301&lt;&gt;"",C_KPI_Benchmark!O301,IF(G301="Higher is better",H301*(1-A_Scoring_Model!$C$16),H301*(1+A_Scoring_Model!$C$16)))</f>
        <v>0.8</v>
      </c>
      <c r="J301" s="55"/>
      <c r="K301" s="55"/>
      <c r="L301" s="55"/>
      <c r="M301" s="55"/>
      <c r="N301" s="56" t="str">
        <f aca="false">IF(J301="","",IF($H301=$I301,IF(OR(AND($G301="Higher is better",J301&gt;=$H301),AND($G301="Lower is better",J301&lt;=$H301)),A_Scoring_Model!$C$14,0),IF($G301="Higher is better",IF(J301&gt;=$H301,A_Scoring_Model!$C$14,IF(J301&lt;$I301,0,A_Scoring_Model!$C$15+(A_Scoring_Model!$C$14-A_Scoring_Model!$C$15)*(J301-$I301)/($H301-$I301))),IF(J301&lt;=$H301,A_Scoring_Model!$C$14,IF(J301&gt;$I301,0,A_Scoring_Model!$C$15+(A_Scoring_Model!$C$14-A_Scoring_Model!$C$15)*($I301-J301)/($I301-$H301))))))</f>
        <v/>
      </c>
      <c r="O301" s="56" t="str">
        <f aca="false">IF(K301="","",IF($H301=$I301,IF(OR(AND($G301="Higher is better",K301&gt;=$H301),AND($G301="Lower is better",K301&lt;=$H301)),A_Scoring_Model!$C$14,0),IF($G301="Higher is better",IF(K301&gt;=$H301,A_Scoring_Model!$C$14,IF(K301&lt;$I301,0,A_Scoring_Model!$C$15+(A_Scoring_Model!$C$14-A_Scoring_Model!$C$15)*(K301-$I301)/($H301-$I301))),IF(K301&lt;=$H301,A_Scoring_Model!$C$14,IF(K301&gt;$I301,0,A_Scoring_Model!$C$15+(A_Scoring_Model!$C$14-A_Scoring_Model!$C$15)*($I301-K301)/($I301-$H301))))))</f>
        <v/>
      </c>
      <c r="P301" s="56" t="str">
        <f aca="false">IF(L301="","",IF($H301=$I301,IF(OR(AND($G301="Higher is better",L301&gt;=$H301),AND($G301="Lower is better",L301&lt;=$H301)),A_Scoring_Model!$C$14,0),IF($G301="Higher is better",IF(L301&gt;=$H301,A_Scoring_Model!$C$14,IF(L301&lt;$I301,0,A_Scoring_Model!$C$15+(A_Scoring_Model!$C$14-A_Scoring_Model!$C$15)*(L301-$I301)/($H301-$I301))),IF(L301&lt;=$H301,A_Scoring_Model!$C$14,IF(L301&gt;$I301,0,A_Scoring_Model!$C$15+(A_Scoring_Model!$C$14-A_Scoring_Model!$C$15)*($I301-L301)/($I301-$H301))))))</f>
        <v/>
      </c>
      <c r="Q301" s="56" t="str">
        <f aca="false">IF(M301="","",IF($H301=$I301,IF(OR(AND($G301="Higher is better",M301&gt;=$H301),AND($G301="Lower is better",M301&lt;=$H301)),A_Scoring_Model!$C$14,0),IF($G301="Higher is better",IF(M301&gt;=$H301,A_Scoring_Model!$C$14,IF(M301&lt;$I301,0,A_Scoring_Model!$C$15+(A_Scoring_Model!$C$14-A_Scoring_Model!$C$15)*(M301-$I301)/($H301-$I301))),IF(M301&lt;=$H301,A_Scoring_Model!$C$14,IF(M301&gt;$I301,0,A_Scoring_Model!$C$15+(A_Scoring_Model!$C$14-A_Scoring_Model!$C$15)*($I301-M301)/($I301-$H301))))))</f>
        <v/>
      </c>
    </row>
    <row r="302" customFormat="false" ht="15" hidden="false" customHeight="false" outlineLevel="0" collapsed="false">
      <c r="A302" s="51" t="str">
        <f aca="false">C_KPI_Benchmark!A302</f>
        <v>6.a-D1-02</v>
      </c>
      <c r="B302" s="52" t="str">
        <f aca="false">C_KPI_Benchmark!D302</f>
        <v>6.a</v>
      </c>
      <c r="C302" s="51" t="str">
        <f aca="false">C_KPI_Benchmark!E302</f>
        <v>Defect Classifier &amp; Severity AI</v>
      </c>
      <c r="D302" s="52" t="str">
        <f aca="false">C_KPI_Benchmark!F302</f>
        <v>D1</v>
      </c>
      <c r="E302" s="51" t="str">
        <f aca="false">C_KPI_Benchmark!J302</f>
        <v>Severity weighted-F1</v>
      </c>
      <c r="F302" s="52" t="str">
        <f aca="false">C_KPI_Benchmark!K302</f>
        <v>F1</v>
      </c>
      <c r="G302" s="51" t="str">
        <f aca="false">C_KPI_Benchmark!L302</f>
        <v>Higher is better</v>
      </c>
      <c r="H302" s="57" t="n">
        <f aca="false">C_KPI_Benchmark!N302</f>
        <v>0.85</v>
      </c>
      <c r="I302" s="58" t="n">
        <f aca="false">IF(C_KPI_Benchmark!O302&lt;&gt;"",C_KPI_Benchmark!O302,IF(G302="Higher is better",H302*(1-A_Scoring_Model!$C$16),H302*(1+A_Scoring_Model!$C$16)))</f>
        <v>0.75</v>
      </c>
      <c r="J302" s="59"/>
      <c r="K302" s="59"/>
      <c r="L302" s="59"/>
      <c r="M302" s="59"/>
      <c r="N302" s="56" t="str">
        <f aca="false">IF(J302="","",IF($H302=$I302,IF(OR(AND($G302="Higher is better",J302&gt;=$H302),AND($G302="Lower is better",J302&lt;=$H302)),A_Scoring_Model!$C$14,0),IF($G302="Higher is better",IF(J302&gt;=$H302,A_Scoring_Model!$C$14,IF(J302&lt;$I302,0,A_Scoring_Model!$C$15+(A_Scoring_Model!$C$14-A_Scoring_Model!$C$15)*(J302-$I302)/($H302-$I302))),IF(J302&lt;=$H302,A_Scoring_Model!$C$14,IF(J302&gt;$I302,0,A_Scoring_Model!$C$15+(A_Scoring_Model!$C$14-A_Scoring_Model!$C$15)*($I302-J302)/($I302-$H302))))))</f>
        <v/>
      </c>
      <c r="O302" s="56" t="str">
        <f aca="false">IF(K302="","",IF($H302=$I302,IF(OR(AND($G302="Higher is better",K302&gt;=$H302),AND($G302="Lower is better",K302&lt;=$H302)),A_Scoring_Model!$C$14,0),IF($G302="Higher is better",IF(K302&gt;=$H302,A_Scoring_Model!$C$14,IF(K302&lt;$I302,0,A_Scoring_Model!$C$15+(A_Scoring_Model!$C$14-A_Scoring_Model!$C$15)*(K302-$I302)/($H302-$I302))),IF(K302&lt;=$H302,A_Scoring_Model!$C$14,IF(K302&gt;$I302,0,A_Scoring_Model!$C$15+(A_Scoring_Model!$C$14-A_Scoring_Model!$C$15)*($I302-K302)/($I302-$H302))))))</f>
        <v/>
      </c>
      <c r="P302" s="56" t="str">
        <f aca="false">IF(L302="","",IF($H302=$I302,IF(OR(AND($G302="Higher is better",L302&gt;=$H302),AND($G302="Lower is better",L302&lt;=$H302)),A_Scoring_Model!$C$14,0),IF($G302="Higher is better",IF(L302&gt;=$H302,A_Scoring_Model!$C$14,IF(L302&lt;$I302,0,A_Scoring_Model!$C$15+(A_Scoring_Model!$C$14-A_Scoring_Model!$C$15)*(L302-$I302)/($H302-$I302))),IF(L302&lt;=$H302,A_Scoring_Model!$C$14,IF(L302&gt;$I302,0,A_Scoring_Model!$C$15+(A_Scoring_Model!$C$14-A_Scoring_Model!$C$15)*($I302-L302)/($I302-$H302))))))</f>
        <v/>
      </c>
      <c r="Q302" s="56" t="str">
        <f aca="false">IF(M302="","",IF($H302=$I302,IF(OR(AND($G302="Higher is better",M302&gt;=$H302),AND($G302="Lower is better",M302&lt;=$H302)),A_Scoring_Model!$C$14,0),IF($G302="Higher is better",IF(M302&gt;=$H302,A_Scoring_Model!$C$14,IF(M302&lt;$I302,0,A_Scoring_Model!$C$15+(A_Scoring_Model!$C$14-A_Scoring_Model!$C$15)*(M302-$I302)/($H302-$I302))),IF(M302&lt;=$H302,A_Scoring_Model!$C$14,IF(M302&gt;$I302,0,A_Scoring_Model!$C$15+(A_Scoring_Model!$C$14-A_Scoring_Model!$C$15)*($I302-M302)/($I302-$H302))))))</f>
        <v/>
      </c>
    </row>
    <row r="303" customFormat="false" ht="15" hidden="false" customHeight="false" outlineLevel="0" collapsed="false">
      <c r="A303" s="51" t="str">
        <f aca="false">C_KPI_Benchmark!A303</f>
        <v>6.a-D1-03</v>
      </c>
      <c r="B303" s="52" t="str">
        <f aca="false">C_KPI_Benchmark!D303</f>
        <v>6.a</v>
      </c>
      <c r="C303" s="51" t="str">
        <f aca="false">C_KPI_Benchmark!E303</f>
        <v>Defect Classifier &amp; Severity AI</v>
      </c>
      <c r="D303" s="52" t="str">
        <f aca="false">C_KPI_Benchmark!F303</f>
        <v>D1</v>
      </c>
      <c r="E303" s="51" t="str">
        <f aca="false">C_KPI_Benchmark!J303</f>
        <v>S1 / critical recall</v>
      </c>
      <c r="F303" s="52" t="str">
        <f aca="false">C_KPI_Benchmark!K303</f>
        <v>%</v>
      </c>
      <c r="G303" s="51" t="str">
        <f aca="false">C_KPI_Benchmark!L303</f>
        <v>Higher is better</v>
      </c>
      <c r="H303" s="53" t="n">
        <f aca="false">C_KPI_Benchmark!N303</f>
        <v>0.98</v>
      </c>
      <c r="I303" s="54" t="n">
        <f aca="false">IF(C_KPI_Benchmark!O303&lt;&gt;"",C_KPI_Benchmark!O303,IF(G303="Higher is better",H303*(1-A_Scoring_Model!$C$16),H303*(1+A_Scoring_Model!$C$16)))</f>
        <v>0.95</v>
      </c>
      <c r="J303" s="55"/>
      <c r="K303" s="55"/>
      <c r="L303" s="55"/>
      <c r="M303" s="55"/>
      <c r="N303" s="56" t="str">
        <f aca="false">IF(J303="","",IF($H303=$I303,IF(OR(AND($G303="Higher is better",J303&gt;=$H303),AND($G303="Lower is better",J303&lt;=$H303)),A_Scoring_Model!$C$14,0),IF($G303="Higher is better",IF(J303&gt;=$H303,A_Scoring_Model!$C$14,IF(J303&lt;$I303,0,A_Scoring_Model!$C$15+(A_Scoring_Model!$C$14-A_Scoring_Model!$C$15)*(J303-$I303)/($H303-$I303))),IF(J303&lt;=$H303,A_Scoring_Model!$C$14,IF(J303&gt;$I303,0,A_Scoring_Model!$C$15+(A_Scoring_Model!$C$14-A_Scoring_Model!$C$15)*($I303-J303)/($I303-$H303))))))</f>
        <v/>
      </c>
      <c r="O303" s="56" t="str">
        <f aca="false">IF(K303="","",IF($H303=$I303,IF(OR(AND($G303="Higher is better",K303&gt;=$H303),AND($G303="Lower is better",K303&lt;=$H303)),A_Scoring_Model!$C$14,0),IF($G303="Higher is better",IF(K303&gt;=$H303,A_Scoring_Model!$C$14,IF(K303&lt;$I303,0,A_Scoring_Model!$C$15+(A_Scoring_Model!$C$14-A_Scoring_Model!$C$15)*(K303-$I303)/($H303-$I303))),IF(K303&lt;=$H303,A_Scoring_Model!$C$14,IF(K303&gt;$I303,0,A_Scoring_Model!$C$15+(A_Scoring_Model!$C$14-A_Scoring_Model!$C$15)*($I303-K303)/($I303-$H303))))))</f>
        <v/>
      </c>
      <c r="P303" s="56" t="str">
        <f aca="false">IF(L303="","",IF($H303=$I303,IF(OR(AND($G303="Higher is better",L303&gt;=$H303),AND($G303="Lower is better",L303&lt;=$H303)),A_Scoring_Model!$C$14,0),IF($G303="Higher is better",IF(L303&gt;=$H303,A_Scoring_Model!$C$14,IF(L303&lt;$I303,0,A_Scoring_Model!$C$15+(A_Scoring_Model!$C$14-A_Scoring_Model!$C$15)*(L303-$I303)/($H303-$I303))),IF(L303&lt;=$H303,A_Scoring_Model!$C$14,IF(L303&gt;$I303,0,A_Scoring_Model!$C$15+(A_Scoring_Model!$C$14-A_Scoring_Model!$C$15)*($I303-L303)/($I303-$H303))))))</f>
        <v/>
      </c>
      <c r="Q303" s="56" t="str">
        <f aca="false">IF(M303="","",IF($H303=$I303,IF(OR(AND($G303="Higher is better",M303&gt;=$H303),AND($G303="Lower is better",M303&lt;=$H303)),A_Scoring_Model!$C$14,0),IF($G303="Higher is better",IF(M303&gt;=$H303,A_Scoring_Model!$C$14,IF(M303&lt;$I303,0,A_Scoring_Model!$C$15+(A_Scoring_Model!$C$14-A_Scoring_Model!$C$15)*(M303-$I303)/($H303-$I303))),IF(M303&lt;=$H303,A_Scoring_Model!$C$14,IF(M303&gt;$I303,0,A_Scoring_Model!$C$15+(A_Scoring_Model!$C$14-A_Scoring_Model!$C$15)*($I303-M303)/($I303-$H303))))))</f>
        <v/>
      </c>
    </row>
    <row r="304" customFormat="false" ht="15" hidden="false" customHeight="false" outlineLevel="0" collapsed="false">
      <c r="A304" s="51" t="str">
        <f aca="false">C_KPI_Benchmark!A304</f>
        <v>6.a-D1-04</v>
      </c>
      <c r="B304" s="52" t="str">
        <f aca="false">C_KPI_Benchmark!D304</f>
        <v>6.a</v>
      </c>
      <c r="C304" s="51" t="str">
        <f aca="false">C_KPI_Benchmark!E304</f>
        <v>Defect Classifier &amp; Severity AI</v>
      </c>
      <c r="D304" s="52" t="str">
        <f aca="false">C_KPI_Benchmark!F304</f>
        <v>D1</v>
      </c>
      <c r="E304" s="51" t="str">
        <f aca="false">C_KPI_Benchmark!J304</f>
        <v>Owner assignment accuracy</v>
      </c>
      <c r="F304" s="52" t="str">
        <f aca="false">C_KPI_Benchmark!K304</f>
        <v>%</v>
      </c>
      <c r="G304" s="51" t="str">
        <f aca="false">C_KPI_Benchmark!L304</f>
        <v>Higher is better</v>
      </c>
      <c r="H304" s="53" t="n">
        <f aca="false">C_KPI_Benchmark!N304</f>
        <v>0.85</v>
      </c>
      <c r="I304" s="54" t="n">
        <f aca="false">IF(C_KPI_Benchmark!O304&lt;&gt;"",C_KPI_Benchmark!O304,IF(G304="Higher is better",H304*(1-A_Scoring_Model!$C$16),H304*(1+A_Scoring_Model!$C$16)))</f>
        <v>0.75</v>
      </c>
      <c r="J304" s="55"/>
      <c r="K304" s="55"/>
      <c r="L304" s="55"/>
      <c r="M304" s="55"/>
      <c r="N304" s="56" t="str">
        <f aca="false">IF(J304="","",IF($H304=$I304,IF(OR(AND($G304="Higher is better",J304&gt;=$H304),AND($G304="Lower is better",J304&lt;=$H304)),A_Scoring_Model!$C$14,0),IF($G304="Higher is better",IF(J304&gt;=$H304,A_Scoring_Model!$C$14,IF(J304&lt;$I304,0,A_Scoring_Model!$C$15+(A_Scoring_Model!$C$14-A_Scoring_Model!$C$15)*(J304-$I304)/($H304-$I304))),IF(J304&lt;=$H304,A_Scoring_Model!$C$14,IF(J304&gt;$I304,0,A_Scoring_Model!$C$15+(A_Scoring_Model!$C$14-A_Scoring_Model!$C$15)*($I304-J304)/($I304-$H304))))))</f>
        <v/>
      </c>
      <c r="O304" s="56" t="str">
        <f aca="false">IF(K304="","",IF($H304=$I304,IF(OR(AND($G304="Higher is better",K304&gt;=$H304),AND($G304="Lower is better",K304&lt;=$H304)),A_Scoring_Model!$C$14,0),IF($G304="Higher is better",IF(K304&gt;=$H304,A_Scoring_Model!$C$14,IF(K304&lt;$I304,0,A_Scoring_Model!$C$15+(A_Scoring_Model!$C$14-A_Scoring_Model!$C$15)*(K304-$I304)/($H304-$I304))),IF(K304&lt;=$H304,A_Scoring_Model!$C$14,IF(K304&gt;$I304,0,A_Scoring_Model!$C$15+(A_Scoring_Model!$C$14-A_Scoring_Model!$C$15)*($I304-K304)/($I304-$H304))))))</f>
        <v/>
      </c>
      <c r="P304" s="56" t="str">
        <f aca="false">IF(L304="","",IF($H304=$I304,IF(OR(AND($G304="Higher is better",L304&gt;=$H304),AND($G304="Lower is better",L304&lt;=$H304)),A_Scoring_Model!$C$14,0),IF($G304="Higher is better",IF(L304&gt;=$H304,A_Scoring_Model!$C$14,IF(L304&lt;$I304,0,A_Scoring_Model!$C$15+(A_Scoring_Model!$C$14-A_Scoring_Model!$C$15)*(L304-$I304)/($H304-$I304))),IF(L304&lt;=$H304,A_Scoring_Model!$C$14,IF(L304&gt;$I304,0,A_Scoring_Model!$C$15+(A_Scoring_Model!$C$14-A_Scoring_Model!$C$15)*($I304-L304)/($I304-$H304))))))</f>
        <v/>
      </c>
      <c r="Q304" s="56" t="str">
        <f aca="false">IF(M304="","",IF($H304=$I304,IF(OR(AND($G304="Higher is better",M304&gt;=$H304),AND($G304="Lower is better",M304&lt;=$H304)),A_Scoring_Model!$C$14,0),IF($G304="Higher is better",IF(M304&gt;=$H304,A_Scoring_Model!$C$14,IF(M304&lt;$I304,0,A_Scoring_Model!$C$15+(A_Scoring_Model!$C$14-A_Scoring_Model!$C$15)*(M304-$I304)/($H304-$I304))),IF(M304&lt;=$H304,A_Scoring_Model!$C$14,IF(M304&gt;$I304,0,A_Scoring_Model!$C$15+(A_Scoring_Model!$C$14-A_Scoring_Model!$C$15)*($I304-M304)/($I304-$H304))))))</f>
        <v/>
      </c>
    </row>
    <row r="305" customFormat="false" ht="15" hidden="false" customHeight="false" outlineLevel="0" collapsed="false">
      <c r="A305" s="51" t="str">
        <f aca="false">C_KPI_Benchmark!A305</f>
        <v>6.a-D2-05</v>
      </c>
      <c r="B305" s="52" t="str">
        <f aca="false">C_KPI_Benchmark!D305</f>
        <v>6.a</v>
      </c>
      <c r="C305" s="51" t="str">
        <f aca="false">C_KPI_Benchmark!E305</f>
        <v>Defect Classifier &amp; Severity AI</v>
      </c>
      <c r="D305" s="52" t="str">
        <f aca="false">C_KPI_Benchmark!F305</f>
        <v>D2</v>
      </c>
      <c r="E305" s="51" t="str">
        <f aca="false">C_KPI_Benchmark!J305</f>
        <v>Taxonomy in config; Jira / PLM connectors</v>
      </c>
      <c r="F305" s="52" t="str">
        <f aca="false">C_KPI_Benchmark!K305</f>
        <v>Yes/No</v>
      </c>
      <c r="G305" s="51" t="str">
        <f aca="false">C_KPI_Benchmark!L305</f>
        <v>Higher is better</v>
      </c>
      <c r="H305" s="60" t="n">
        <f aca="false">C_KPI_Benchmark!N305</f>
        <v>1</v>
      </c>
      <c r="I305" s="56" t="n">
        <f aca="false">IF(C_KPI_Benchmark!O305&lt;&gt;"",C_KPI_Benchmark!O305,IF(G305="Higher is better",H305*(1-A_Scoring_Model!$C$16),H305*(1+A_Scoring_Model!$C$16)))</f>
        <v>0.8</v>
      </c>
      <c r="J305" s="61"/>
      <c r="K305" s="61"/>
      <c r="L305" s="61"/>
      <c r="M305" s="61"/>
      <c r="N305" s="56" t="str">
        <f aca="false">IF(J305="","",IF($H305=$I305,IF(OR(AND($G305="Higher is better",J305&gt;=$H305),AND($G305="Lower is better",J305&lt;=$H305)),A_Scoring_Model!$C$14,0),IF($G305="Higher is better",IF(J305&gt;=$H305,A_Scoring_Model!$C$14,IF(J305&lt;$I305,0,A_Scoring_Model!$C$15+(A_Scoring_Model!$C$14-A_Scoring_Model!$C$15)*(J305-$I305)/($H305-$I305))),IF(J305&lt;=$H305,A_Scoring_Model!$C$14,IF(J305&gt;$I305,0,A_Scoring_Model!$C$15+(A_Scoring_Model!$C$14-A_Scoring_Model!$C$15)*($I305-J305)/($I305-$H305))))))</f>
        <v/>
      </c>
      <c r="O305" s="56" t="str">
        <f aca="false">IF(K305="","",IF($H305=$I305,IF(OR(AND($G305="Higher is better",K305&gt;=$H305),AND($G305="Lower is better",K305&lt;=$H305)),A_Scoring_Model!$C$14,0),IF($G305="Higher is better",IF(K305&gt;=$H305,A_Scoring_Model!$C$14,IF(K305&lt;$I305,0,A_Scoring_Model!$C$15+(A_Scoring_Model!$C$14-A_Scoring_Model!$C$15)*(K305-$I305)/($H305-$I305))),IF(K305&lt;=$H305,A_Scoring_Model!$C$14,IF(K305&gt;$I305,0,A_Scoring_Model!$C$15+(A_Scoring_Model!$C$14-A_Scoring_Model!$C$15)*($I305-K305)/($I305-$H305))))))</f>
        <v/>
      </c>
      <c r="P305" s="56" t="str">
        <f aca="false">IF(L305="","",IF($H305=$I305,IF(OR(AND($G305="Higher is better",L305&gt;=$H305),AND($G305="Lower is better",L305&lt;=$H305)),A_Scoring_Model!$C$14,0),IF($G305="Higher is better",IF(L305&gt;=$H305,A_Scoring_Model!$C$14,IF(L305&lt;$I305,0,A_Scoring_Model!$C$15+(A_Scoring_Model!$C$14-A_Scoring_Model!$C$15)*(L305-$I305)/($H305-$I305))),IF(L305&lt;=$H305,A_Scoring_Model!$C$14,IF(L305&gt;$I305,0,A_Scoring_Model!$C$15+(A_Scoring_Model!$C$14-A_Scoring_Model!$C$15)*($I305-L305)/($I305-$H305))))))</f>
        <v/>
      </c>
      <c r="Q305" s="56" t="str">
        <f aca="false">IF(M305="","",IF($H305=$I305,IF(OR(AND($G305="Higher is better",M305&gt;=$H305),AND($G305="Lower is better",M305&lt;=$H305)),A_Scoring_Model!$C$14,0),IF($G305="Higher is better",IF(M305&gt;=$H305,A_Scoring_Model!$C$14,IF(M305&lt;$I305,0,A_Scoring_Model!$C$15+(A_Scoring_Model!$C$14-A_Scoring_Model!$C$15)*(M305-$I305)/($H305-$I305))),IF(M305&lt;=$H305,A_Scoring_Model!$C$14,IF(M305&gt;$I305,0,A_Scoring_Model!$C$15+(A_Scoring_Model!$C$14-A_Scoring_Model!$C$15)*($I305-M305)/($I305-$H305))))))</f>
        <v/>
      </c>
    </row>
    <row r="306" customFormat="false" ht="23.85" hidden="false" customHeight="false" outlineLevel="0" collapsed="false">
      <c r="A306" s="51" t="str">
        <f aca="false">C_KPI_Benchmark!A306</f>
        <v>6.a-D2-06</v>
      </c>
      <c r="B306" s="52" t="str">
        <f aca="false">C_KPI_Benchmark!D306</f>
        <v>6.a</v>
      </c>
      <c r="C306" s="51" t="str">
        <f aca="false">C_KPI_Benchmark!E306</f>
        <v>Defect Classifier &amp; Severity AI</v>
      </c>
      <c r="D306" s="52" t="str">
        <f aca="false">C_KPI_Benchmark!F306</f>
        <v>D2</v>
      </c>
      <c r="E306" s="51" t="str">
        <f aca="false">C_KPI_Benchmark!J306</f>
        <v>Product lines supported with ≤10% efficacy drop (NVMe SSD, UFS, eMMC/uSD, PSSD)</v>
      </c>
      <c r="F306" s="52" t="str">
        <f aca="false">C_KPI_Benchmark!K306</f>
        <v>count</v>
      </c>
      <c r="G306" s="51" t="str">
        <f aca="false">C_KPI_Benchmark!L306</f>
        <v>Higher is better</v>
      </c>
      <c r="H306" s="62" t="n">
        <f aca="false">C_KPI_Benchmark!N306</f>
        <v>3</v>
      </c>
      <c r="I306" s="63" t="n">
        <f aca="false">IF(C_KPI_Benchmark!O306&lt;&gt;"",C_KPI_Benchmark!O306,IF(G306="Higher is better",H306*(1-A_Scoring_Model!$C$16),H306*(1+A_Scoring_Model!$C$16)))</f>
        <v>2</v>
      </c>
      <c r="J306" s="64"/>
      <c r="K306" s="64"/>
      <c r="L306" s="64"/>
      <c r="M306" s="64"/>
      <c r="N306" s="56" t="str">
        <f aca="false">IF(J306="","",IF($H306=$I306,IF(OR(AND($G306="Higher is better",J306&gt;=$H306),AND($G306="Lower is better",J306&lt;=$H306)),A_Scoring_Model!$C$14,0),IF($G306="Higher is better",IF(J306&gt;=$H306,A_Scoring_Model!$C$14,IF(J306&lt;$I306,0,A_Scoring_Model!$C$15+(A_Scoring_Model!$C$14-A_Scoring_Model!$C$15)*(J306-$I306)/($H306-$I306))),IF(J306&lt;=$H306,A_Scoring_Model!$C$14,IF(J306&gt;$I306,0,A_Scoring_Model!$C$15+(A_Scoring_Model!$C$14-A_Scoring_Model!$C$15)*($I306-J306)/($I306-$H306))))))</f>
        <v/>
      </c>
      <c r="O306" s="56" t="str">
        <f aca="false">IF(K306="","",IF($H306=$I306,IF(OR(AND($G306="Higher is better",K306&gt;=$H306),AND($G306="Lower is better",K306&lt;=$H306)),A_Scoring_Model!$C$14,0),IF($G306="Higher is better",IF(K306&gt;=$H306,A_Scoring_Model!$C$14,IF(K306&lt;$I306,0,A_Scoring_Model!$C$15+(A_Scoring_Model!$C$14-A_Scoring_Model!$C$15)*(K306-$I306)/($H306-$I306))),IF(K306&lt;=$H306,A_Scoring_Model!$C$14,IF(K306&gt;$I306,0,A_Scoring_Model!$C$15+(A_Scoring_Model!$C$14-A_Scoring_Model!$C$15)*($I306-K306)/($I306-$H306))))))</f>
        <v/>
      </c>
      <c r="P306" s="56" t="str">
        <f aca="false">IF(L306="","",IF($H306=$I306,IF(OR(AND($G306="Higher is better",L306&gt;=$H306),AND($G306="Lower is better",L306&lt;=$H306)),A_Scoring_Model!$C$14,0),IF($G306="Higher is better",IF(L306&gt;=$H306,A_Scoring_Model!$C$14,IF(L306&lt;$I306,0,A_Scoring_Model!$C$15+(A_Scoring_Model!$C$14-A_Scoring_Model!$C$15)*(L306-$I306)/($H306-$I306))),IF(L306&lt;=$H306,A_Scoring_Model!$C$14,IF(L306&gt;$I306,0,A_Scoring_Model!$C$15+(A_Scoring_Model!$C$14-A_Scoring_Model!$C$15)*($I306-L306)/($I306-$H306))))))</f>
        <v/>
      </c>
      <c r="Q306" s="56" t="str">
        <f aca="false">IF(M306="","",IF($H306=$I306,IF(OR(AND($G306="Higher is better",M306&gt;=$H306),AND($G306="Lower is better",M306&lt;=$H306)),A_Scoring_Model!$C$14,0),IF($G306="Higher is better",IF(M306&gt;=$H306,A_Scoring_Model!$C$14,IF(M306&lt;$I306,0,A_Scoring_Model!$C$15+(A_Scoring_Model!$C$14-A_Scoring_Model!$C$15)*(M306-$I306)/($H306-$I306))),IF(M306&lt;=$H306,A_Scoring_Model!$C$14,IF(M306&gt;$I306,0,A_Scoring_Model!$C$15+(A_Scoring_Model!$C$14-A_Scoring_Model!$C$15)*($I306-M306)/($I306-$H306))))))</f>
        <v/>
      </c>
    </row>
    <row r="307" customFormat="false" ht="15" hidden="false" customHeight="false" outlineLevel="0" collapsed="false">
      <c r="A307" s="51" t="str">
        <f aca="false">C_KPI_Benchmark!A307</f>
        <v>6.a-D2-07</v>
      </c>
      <c r="B307" s="52" t="str">
        <f aca="false">C_KPI_Benchmark!D307</f>
        <v>6.a</v>
      </c>
      <c r="C307" s="51" t="str">
        <f aca="false">C_KPI_Benchmark!E307</f>
        <v>Defect Classifier &amp; Severity AI</v>
      </c>
      <c r="D307" s="52" t="str">
        <f aca="false">C_KPI_Benchmark!F307</f>
        <v>D2</v>
      </c>
      <c r="E307" s="51" t="str">
        <f aca="false">C_KPI_Benchmark!J307</f>
        <v>Uses Zion shared services instead of re-implementing them</v>
      </c>
      <c r="F307" s="52" t="str">
        <f aca="false">C_KPI_Benchmark!K307</f>
        <v>Yes/No</v>
      </c>
      <c r="G307" s="51" t="str">
        <f aca="false">C_KPI_Benchmark!L307</f>
        <v>Higher is better</v>
      </c>
      <c r="H307" s="60" t="n">
        <f aca="false">C_KPI_Benchmark!N307</f>
        <v>1</v>
      </c>
      <c r="I307" s="56" t="n">
        <f aca="false">IF(C_KPI_Benchmark!O307&lt;&gt;"",C_KPI_Benchmark!O307,IF(G307="Higher is better",H307*(1-A_Scoring_Model!$C$16),H307*(1+A_Scoring_Model!$C$16)))</f>
        <v>0.8</v>
      </c>
      <c r="J307" s="61"/>
      <c r="K307" s="61"/>
      <c r="L307" s="61"/>
      <c r="M307" s="61"/>
      <c r="N307" s="56" t="str">
        <f aca="false">IF(J307="","",IF($H307=$I307,IF(OR(AND($G307="Higher is better",J307&gt;=$H307),AND($G307="Lower is better",J307&lt;=$H307)),A_Scoring_Model!$C$14,0),IF($G307="Higher is better",IF(J307&gt;=$H307,A_Scoring_Model!$C$14,IF(J307&lt;$I307,0,A_Scoring_Model!$C$15+(A_Scoring_Model!$C$14-A_Scoring_Model!$C$15)*(J307-$I307)/($H307-$I307))),IF(J307&lt;=$H307,A_Scoring_Model!$C$14,IF(J307&gt;$I307,0,A_Scoring_Model!$C$15+(A_Scoring_Model!$C$14-A_Scoring_Model!$C$15)*($I307-J307)/($I307-$H307))))))</f>
        <v/>
      </c>
      <c r="O307" s="56" t="str">
        <f aca="false">IF(K307="","",IF($H307=$I307,IF(OR(AND($G307="Higher is better",K307&gt;=$H307),AND($G307="Lower is better",K307&lt;=$H307)),A_Scoring_Model!$C$14,0),IF($G307="Higher is better",IF(K307&gt;=$H307,A_Scoring_Model!$C$14,IF(K307&lt;$I307,0,A_Scoring_Model!$C$15+(A_Scoring_Model!$C$14-A_Scoring_Model!$C$15)*(K307-$I307)/($H307-$I307))),IF(K307&lt;=$H307,A_Scoring_Model!$C$14,IF(K307&gt;$I307,0,A_Scoring_Model!$C$15+(A_Scoring_Model!$C$14-A_Scoring_Model!$C$15)*($I307-K307)/($I307-$H307))))))</f>
        <v/>
      </c>
      <c r="P307" s="56" t="str">
        <f aca="false">IF(L307="","",IF($H307=$I307,IF(OR(AND($G307="Higher is better",L307&gt;=$H307),AND($G307="Lower is better",L307&lt;=$H307)),A_Scoring_Model!$C$14,0),IF($G307="Higher is better",IF(L307&gt;=$H307,A_Scoring_Model!$C$14,IF(L307&lt;$I307,0,A_Scoring_Model!$C$15+(A_Scoring_Model!$C$14-A_Scoring_Model!$C$15)*(L307-$I307)/($H307-$I307))),IF(L307&lt;=$H307,A_Scoring_Model!$C$14,IF(L307&gt;$I307,0,A_Scoring_Model!$C$15+(A_Scoring_Model!$C$14-A_Scoring_Model!$C$15)*($I307-L307)/($I307-$H307))))))</f>
        <v/>
      </c>
      <c r="Q307" s="56" t="str">
        <f aca="false">IF(M307="","",IF($H307=$I307,IF(OR(AND($G307="Higher is better",M307&gt;=$H307),AND($G307="Lower is better",M307&lt;=$H307)),A_Scoring_Model!$C$14,0),IF($G307="Higher is better",IF(M307&gt;=$H307,A_Scoring_Model!$C$14,IF(M307&lt;$I307,0,A_Scoring_Model!$C$15+(A_Scoring_Model!$C$14-A_Scoring_Model!$C$15)*(M307-$I307)/($H307-$I307))),IF(M307&lt;=$H307,A_Scoring_Model!$C$14,IF(M307&gt;$I307,0,A_Scoring_Model!$C$15+(A_Scoring_Model!$C$14-A_Scoring_Model!$C$15)*($I307-M307)/($I307-$H307))))))</f>
        <v/>
      </c>
    </row>
    <row r="308" customFormat="false" ht="15" hidden="false" customHeight="false" outlineLevel="0" collapsed="false">
      <c r="A308" s="51" t="str">
        <f aca="false">C_KPI_Benchmark!A308</f>
        <v>6.a-D3-08</v>
      </c>
      <c r="B308" s="52" t="str">
        <f aca="false">C_KPI_Benchmark!D308</f>
        <v>6.a</v>
      </c>
      <c r="C308" s="51" t="str">
        <f aca="false">C_KPI_Benchmark!E308</f>
        <v>Defect Classifier &amp; Severity AI</v>
      </c>
      <c r="D308" s="52" t="str">
        <f aca="false">C_KPI_Benchmark!F308</f>
        <v>D3</v>
      </c>
      <c r="E308" s="51" t="str">
        <f aca="false">C_KPI_Benchmark!J308</f>
        <v>Latency per defect</v>
      </c>
      <c r="F308" s="52" t="str">
        <f aca="false">C_KPI_Benchmark!K308</f>
        <v>s</v>
      </c>
      <c r="G308" s="51" t="str">
        <f aca="false">C_KPI_Benchmark!L308</f>
        <v>Lower is better</v>
      </c>
      <c r="H308" s="62" t="n">
        <f aca="false">C_KPI_Benchmark!N308</f>
        <v>5</v>
      </c>
      <c r="I308" s="63" t="n">
        <f aca="false">IF(C_KPI_Benchmark!O308&lt;&gt;"",C_KPI_Benchmark!O308,IF(G308="Higher is better",H308*(1-A_Scoring_Model!$C$16),H308*(1+A_Scoring_Model!$C$16)))</f>
        <v>6</v>
      </c>
      <c r="J308" s="64"/>
      <c r="K308" s="64"/>
      <c r="L308" s="64"/>
      <c r="M308" s="64"/>
      <c r="N308" s="56" t="str">
        <f aca="false">IF(J308="","",IF($H308=$I308,IF(OR(AND($G308="Higher is better",J308&gt;=$H308),AND($G308="Lower is better",J308&lt;=$H308)),A_Scoring_Model!$C$14,0),IF($G308="Higher is better",IF(J308&gt;=$H308,A_Scoring_Model!$C$14,IF(J308&lt;$I308,0,A_Scoring_Model!$C$15+(A_Scoring_Model!$C$14-A_Scoring_Model!$C$15)*(J308-$I308)/($H308-$I308))),IF(J308&lt;=$H308,A_Scoring_Model!$C$14,IF(J308&gt;$I308,0,A_Scoring_Model!$C$15+(A_Scoring_Model!$C$14-A_Scoring_Model!$C$15)*($I308-J308)/($I308-$H308))))))</f>
        <v/>
      </c>
      <c r="O308" s="56" t="str">
        <f aca="false">IF(K308="","",IF($H308=$I308,IF(OR(AND($G308="Higher is better",K308&gt;=$H308),AND($G308="Lower is better",K308&lt;=$H308)),A_Scoring_Model!$C$14,0),IF($G308="Higher is better",IF(K308&gt;=$H308,A_Scoring_Model!$C$14,IF(K308&lt;$I308,0,A_Scoring_Model!$C$15+(A_Scoring_Model!$C$14-A_Scoring_Model!$C$15)*(K308-$I308)/($H308-$I308))),IF(K308&lt;=$H308,A_Scoring_Model!$C$14,IF(K308&gt;$I308,0,A_Scoring_Model!$C$15+(A_Scoring_Model!$C$14-A_Scoring_Model!$C$15)*($I308-K308)/($I308-$H308))))))</f>
        <v/>
      </c>
      <c r="P308" s="56" t="str">
        <f aca="false">IF(L308="","",IF($H308=$I308,IF(OR(AND($G308="Higher is better",L308&gt;=$H308),AND($G308="Lower is better",L308&lt;=$H308)),A_Scoring_Model!$C$14,0),IF($G308="Higher is better",IF(L308&gt;=$H308,A_Scoring_Model!$C$14,IF(L308&lt;$I308,0,A_Scoring_Model!$C$15+(A_Scoring_Model!$C$14-A_Scoring_Model!$C$15)*(L308-$I308)/($H308-$I308))),IF(L308&lt;=$H308,A_Scoring_Model!$C$14,IF(L308&gt;$I308,0,A_Scoring_Model!$C$15+(A_Scoring_Model!$C$14-A_Scoring_Model!$C$15)*($I308-L308)/($I308-$H308))))))</f>
        <v/>
      </c>
      <c r="Q308" s="56" t="str">
        <f aca="false">IF(M308="","",IF($H308=$I308,IF(OR(AND($G308="Higher is better",M308&gt;=$H308),AND($G308="Lower is better",M308&lt;=$H308)),A_Scoring_Model!$C$14,0),IF($G308="Higher is better",IF(M308&gt;=$H308,A_Scoring_Model!$C$14,IF(M308&lt;$I308,0,A_Scoring_Model!$C$15+(A_Scoring_Model!$C$14-A_Scoring_Model!$C$15)*(M308-$I308)/($H308-$I308))),IF(M308&lt;=$H308,A_Scoring_Model!$C$14,IF(M308&gt;$I308,0,A_Scoring_Model!$C$15+(A_Scoring_Model!$C$14-A_Scoring_Model!$C$15)*($I308-M308)/($I308-$H308))))))</f>
        <v/>
      </c>
    </row>
    <row r="309" customFormat="false" ht="15" hidden="false" customHeight="false" outlineLevel="0" collapsed="false">
      <c r="A309" s="51" t="str">
        <f aca="false">C_KPI_Benchmark!A309</f>
        <v>6.a-D3-09</v>
      </c>
      <c r="B309" s="52" t="str">
        <f aca="false">C_KPI_Benchmark!D309</f>
        <v>6.a</v>
      </c>
      <c r="C309" s="51" t="str">
        <f aca="false">C_KPI_Benchmark!E309</f>
        <v>Defect Classifier &amp; Severity AI</v>
      </c>
      <c r="D309" s="52" t="str">
        <f aca="false">C_KPI_Benchmark!F309</f>
        <v>D3</v>
      </c>
      <c r="E309" s="51" t="str">
        <f aca="false">C_KPI_Benchmark!J309</f>
        <v>Defects per day</v>
      </c>
      <c r="F309" s="52" t="str">
        <f aca="false">C_KPI_Benchmark!K309</f>
        <v>defects/day</v>
      </c>
      <c r="G309" s="51" t="str">
        <f aca="false">C_KPI_Benchmark!L309</f>
        <v>Higher is better</v>
      </c>
      <c r="H309" s="62" t="n">
        <f aca="false">C_KPI_Benchmark!N309</f>
        <v>5000</v>
      </c>
      <c r="I309" s="63" t="n">
        <f aca="false">IF(C_KPI_Benchmark!O309&lt;&gt;"",C_KPI_Benchmark!O309,IF(G309="Higher is better",H309*(1-A_Scoring_Model!$C$16),H309*(1+A_Scoring_Model!$C$16)))</f>
        <v>4000</v>
      </c>
      <c r="J309" s="64"/>
      <c r="K309" s="64"/>
      <c r="L309" s="64"/>
      <c r="M309" s="64"/>
      <c r="N309" s="56" t="str">
        <f aca="false">IF(J309="","",IF($H309=$I309,IF(OR(AND($G309="Higher is better",J309&gt;=$H309),AND($G309="Lower is better",J309&lt;=$H309)),A_Scoring_Model!$C$14,0),IF($G309="Higher is better",IF(J309&gt;=$H309,A_Scoring_Model!$C$14,IF(J309&lt;$I309,0,A_Scoring_Model!$C$15+(A_Scoring_Model!$C$14-A_Scoring_Model!$C$15)*(J309-$I309)/($H309-$I309))),IF(J309&lt;=$H309,A_Scoring_Model!$C$14,IF(J309&gt;$I309,0,A_Scoring_Model!$C$15+(A_Scoring_Model!$C$14-A_Scoring_Model!$C$15)*($I309-J309)/($I309-$H309))))))</f>
        <v/>
      </c>
      <c r="O309" s="56" t="str">
        <f aca="false">IF(K309="","",IF($H309=$I309,IF(OR(AND($G309="Higher is better",K309&gt;=$H309),AND($G309="Lower is better",K309&lt;=$H309)),A_Scoring_Model!$C$14,0),IF($G309="Higher is better",IF(K309&gt;=$H309,A_Scoring_Model!$C$14,IF(K309&lt;$I309,0,A_Scoring_Model!$C$15+(A_Scoring_Model!$C$14-A_Scoring_Model!$C$15)*(K309-$I309)/($H309-$I309))),IF(K309&lt;=$H309,A_Scoring_Model!$C$14,IF(K309&gt;$I309,0,A_Scoring_Model!$C$15+(A_Scoring_Model!$C$14-A_Scoring_Model!$C$15)*($I309-K309)/($I309-$H309))))))</f>
        <v/>
      </c>
      <c r="P309" s="56" t="str">
        <f aca="false">IF(L309="","",IF($H309=$I309,IF(OR(AND($G309="Higher is better",L309&gt;=$H309),AND($G309="Lower is better",L309&lt;=$H309)),A_Scoring_Model!$C$14,0),IF($G309="Higher is better",IF(L309&gt;=$H309,A_Scoring_Model!$C$14,IF(L309&lt;$I309,0,A_Scoring_Model!$C$15+(A_Scoring_Model!$C$14-A_Scoring_Model!$C$15)*(L309-$I309)/($H309-$I309))),IF(L309&lt;=$H309,A_Scoring_Model!$C$14,IF(L309&gt;$I309,0,A_Scoring_Model!$C$15+(A_Scoring_Model!$C$14-A_Scoring_Model!$C$15)*($I309-L309)/($I309-$H309))))))</f>
        <v/>
      </c>
      <c r="Q309" s="56" t="str">
        <f aca="false">IF(M309="","",IF($H309=$I309,IF(OR(AND($G309="Higher is better",M309&gt;=$H309),AND($G309="Lower is better",M309&lt;=$H309)),A_Scoring_Model!$C$14,0),IF($G309="Higher is better",IF(M309&gt;=$H309,A_Scoring_Model!$C$14,IF(M309&lt;$I309,0,A_Scoring_Model!$C$15+(A_Scoring_Model!$C$14-A_Scoring_Model!$C$15)*(M309-$I309)/($H309-$I309))),IF(M309&lt;=$H309,A_Scoring_Model!$C$14,IF(M309&gt;$I309,0,A_Scoring_Model!$C$15+(A_Scoring_Model!$C$14-A_Scoring_Model!$C$15)*($I309-M309)/($I309-$H309))))))</f>
        <v/>
      </c>
    </row>
    <row r="310" customFormat="false" ht="15" hidden="false" customHeight="false" outlineLevel="0" collapsed="false">
      <c r="A310" s="51" t="str">
        <f aca="false">C_KPI_Benchmark!A310</f>
        <v>6.a-D3-10</v>
      </c>
      <c r="B310" s="52" t="str">
        <f aca="false">C_KPI_Benchmark!D310</f>
        <v>6.a</v>
      </c>
      <c r="C310" s="51" t="str">
        <f aca="false">C_KPI_Benchmark!E310</f>
        <v>Defect Classifier &amp; Severity AI</v>
      </c>
      <c r="D310" s="52" t="str">
        <f aca="false">C_KPI_Benchmark!F310</f>
        <v>D3</v>
      </c>
      <c r="E310" s="51" t="str">
        <f aca="false">C_KPI_Benchmark!J310</f>
        <v>Latency degradation at 10× load</v>
      </c>
      <c r="F310" s="52" t="str">
        <f aca="false">C_KPI_Benchmark!K310</f>
        <v>%</v>
      </c>
      <c r="G310" s="51" t="str">
        <f aca="false">C_KPI_Benchmark!L310</f>
        <v>Lower is better</v>
      </c>
      <c r="H310" s="53" t="n">
        <f aca="false">C_KPI_Benchmark!N310</f>
        <v>0.2</v>
      </c>
      <c r="I310" s="54" t="n">
        <f aca="false">IF(C_KPI_Benchmark!O310&lt;&gt;"",C_KPI_Benchmark!O310,IF(G310="Higher is better",H310*(1-A_Scoring_Model!$C$16),H310*(1+A_Scoring_Model!$C$16)))</f>
        <v>0.4</v>
      </c>
      <c r="J310" s="55"/>
      <c r="K310" s="55"/>
      <c r="L310" s="55"/>
      <c r="M310" s="55"/>
      <c r="N310" s="56" t="str">
        <f aca="false">IF(J310="","",IF($H310=$I310,IF(OR(AND($G310="Higher is better",J310&gt;=$H310),AND($G310="Lower is better",J310&lt;=$H310)),A_Scoring_Model!$C$14,0),IF($G310="Higher is better",IF(J310&gt;=$H310,A_Scoring_Model!$C$14,IF(J310&lt;$I310,0,A_Scoring_Model!$C$15+(A_Scoring_Model!$C$14-A_Scoring_Model!$C$15)*(J310-$I310)/($H310-$I310))),IF(J310&lt;=$H310,A_Scoring_Model!$C$14,IF(J310&gt;$I310,0,A_Scoring_Model!$C$15+(A_Scoring_Model!$C$14-A_Scoring_Model!$C$15)*($I310-J310)/($I310-$H310))))))</f>
        <v/>
      </c>
      <c r="O310" s="56" t="str">
        <f aca="false">IF(K310="","",IF($H310=$I310,IF(OR(AND($G310="Higher is better",K310&gt;=$H310),AND($G310="Lower is better",K310&lt;=$H310)),A_Scoring_Model!$C$14,0),IF($G310="Higher is better",IF(K310&gt;=$H310,A_Scoring_Model!$C$14,IF(K310&lt;$I310,0,A_Scoring_Model!$C$15+(A_Scoring_Model!$C$14-A_Scoring_Model!$C$15)*(K310-$I310)/($H310-$I310))),IF(K310&lt;=$H310,A_Scoring_Model!$C$14,IF(K310&gt;$I310,0,A_Scoring_Model!$C$15+(A_Scoring_Model!$C$14-A_Scoring_Model!$C$15)*($I310-K310)/($I310-$H310))))))</f>
        <v/>
      </c>
      <c r="P310" s="56" t="str">
        <f aca="false">IF(L310="","",IF($H310=$I310,IF(OR(AND($G310="Higher is better",L310&gt;=$H310),AND($G310="Lower is better",L310&lt;=$H310)),A_Scoring_Model!$C$14,0),IF($G310="Higher is better",IF(L310&gt;=$H310,A_Scoring_Model!$C$14,IF(L310&lt;$I310,0,A_Scoring_Model!$C$15+(A_Scoring_Model!$C$14-A_Scoring_Model!$C$15)*(L310-$I310)/($H310-$I310))),IF(L310&lt;=$H310,A_Scoring_Model!$C$14,IF(L310&gt;$I310,0,A_Scoring_Model!$C$15+(A_Scoring_Model!$C$14-A_Scoring_Model!$C$15)*($I310-L310)/($I310-$H310))))))</f>
        <v/>
      </c>
      <c r="Q310" s="56" t="str">
        <f aca="false">IF(M310="","",IF($H310=$I310,IF(OR(AND($G310="Higher is better",M310&gt;=$H310),AND($G310="Lower is better",M310&lt;=$H310)),A_Scoring_Model!$C$14,0),IF($G310="Higher is better",IF(M310&gt;=$H310,A_Scoring_Model!$C$14,IF(M310&lt;$I310,0,A_Scoring_Model!$C$15+(A_Scoring_Model!$C$14-A_Scoring_Model!$C$15)*(M310-$I310)/($H310-$I310))),IF(M310&lt;=$H310,A_Scoring_Model!$C$14,IF(M310&gt;$I310,0,A_Scoring_Model!$C$15+(A_Scoring_Model!$C$14-A_Scoring_Model!$C$15)*($I310-M310)/($I310-$H310))))))</f>
        <v/>
      </c>
    </row>
    <row r="311" customFormat="false" ht="15" hidden="false" customHeight="false" outlineLevel="0" collapsed="false">
      <c r="A311" s="51" t="str">
        <f aca="false">C_KPI_Benchmark!A311</f>
        <v>6.a-D4-11</v>
      </c>
      <c r="B311" s="52" t="str">
        <f aca="false">C_KPI_Benchmark!D311</f>
        <v>6.a</v>
      </c>
      <c r="C311" s="51" t="str">
        <f aca="false">C_KPI_Benchmark!E311</f>
        <v>Defect Classifier &amp; Severity AI</v>
      </c>
      <c r="D311" s="52" t="str">
        <f aca="false">C_KPI_Benchmark!F311</f>
        <v>D4</v>
      </c>
      <c r="E311" s="51" t="str">
        <f aca="false">C_KPI_Benchmark!J311</f>
        <v>Severity downgrades requiring human approval</v>
      </c>
      <c r="F311" s="52" t="str">
        <f aca="false">C_KPI_Benchmark!K311</f>
        <v>%</v>
      </c>
      <c r="G311" s="51" t="str">
        <f aca="false">C_KPI_Benchmark!L311</f>
        <v>Higher is better</v>
      </c>
      <c r="H311" s="53" t="n">
        <f aca="false">C_KPI_Benchmark!N311</f>
        <v>1</v>
      </c>
      <c r="I311" s="54" t="n">
        <f aca="false">IF(C_KPI_Benchmark!O311&lt;&gt;"",C_KPI_Benchmark!O311,IF(G311="Higher is better",H311*(1-A_Scoring_Model!$C$16),H311*(1+A_Scoring_Model!$C$16)))</f>
        <v>0.8</v>
      </c>
      <c r="J311" s="55"/>
      <c r="K311" s="55"/>
      <c r="L311" s="55"/>
      <c r="M311" s="55"/>
      <c r="N311" s="56" t="str">
        <f aca="false">IF(J311="","",IF($H311=$I311,IF(OR(AND($G311="Higher is better",J311&gt;=$H311),AND($G311="Lower is better",J311&lt;=$H311)),A_Scoring_Model!$C$14,0),IF($G311="Higher is better",IF(J311&gt;=$H311,A_Scoring_Model!$C$14,IF(J311&lt;$I311,0,A_Scoring_Model!$C$15+(A_Scoring_Model!$C$14-A_Scoring_Model!$C$15)*(J311-$I311)/($H311-$I311))),IF(J311&lt;=$H311,A_Scoring_Model!$C$14,IF(J311&gt;$I311,0,A_Scoring_Model!$C$15+(A_Scoring_Model!$C$14-A_Scoring_Model!$C$15)*($I311-J311)/($I311-$H311))))))</f>
        <v/>
      </c>
      <c r="O311" s="56" t="str">
        <f aca="false">IF(K311="","",IF($H311=$I311,IF(OR(AND($G311="Higher is better",K311&gt;=$H311),AND($G311="Lower is better",K311&lt;=$H311)),A_Scoring_Model!$C$14,0),IF($G311="Higher is better",IF(K311&gt;=$H311,A_Scoring_Model!$C$14,IF(K311&lt;$I311,0,A_Scoring_Model!$C$15+(A_Scoring_Model!$C$14-A_Scoring_Model!$C$15)*(K311-$I311)/($H311-$I311))),IF(K311&lt;=$H311,A_Scoring_Model!$C$14,IF(K311&gt;$I311,0,A_Scoring_Model!$C$15+(A_Scoring_Model!$C$14-A_Scoring_Model!$C$15)*($I311-K311)/($I311-$H311))))))</f>
        <v/>
      </c>
      <c r="P311" s="56" t="str">
        <f aca="false">IF(L311="","",IF($H311=$I311,IF(OR(AND($G311="Higher is better",L311&gt;=$H311),AND($G311="Lower is better",L311&lt;=$H311)),A_Scoring_Model!$C$14,0),IF($G311="Higher is better",IF(L311&gt;=$H311,A_Scoring_Model!$C$14,IF(L311&lt;$I311,0,A_Scoring_Model!$C$15+(A_Scoring_Model!$C$14-A_Scoring_Model!$C$15)*(L311-$I311)/($H311-$I311))),IF(L311&lt;=$H311,A_Scoring_Model!$C$14,IF(L311&gt;$I311,0,A_Scoring_Model!$C$15+(A_Scoring_Model!$C$14-A_Scoring_Model!$C$15)*($I311-L311)/($I311-$H311))))))</f>
        <v/>
      </c>
      <c r="Q311" s="56" t="str">
        <f aca="false">IF(M311="","",IF($H311=$I311,IF(OR(AND($G311="Higher is better",M311&gt;=$H311),AND($G311="Lower is better",M311&lt;=$H311)),A_Scoring_Model!$C$14,0),IF($G311="Higher is better",IF(M311&gt;=$H311,A_Scoring_Model!$C$14,IF(M311&lt;$I311,0,A_Scoring_Model!$C$15+(A_Scoring_Model!$C$14-A_Scoring_Model!$C$15)*(M311-$I311)/($H311-$I311))),IF(M311&lt;=$H311,A_Scoring_Model!$C$14,IF(M311&gt;$I311,0,A_Scoring_Model!$C$15+(A_Scoring_Model!$C$14-A_Scoring_Model!$C$15)*($I311-M311)/($I311-$H311))))))</f>
        <v/>
      </c>
    </row>
    <row r="312" customFormat="false" ht="15" hidden="false" customHeight="false" outlineLevel="0" collapsed="false">
      <c r="A312" s="51" t="str">
        <f aca="false">C_KPI_Benchmark!A312</f>
        <v>6.a-D4-12</v>
      </c>
      <c r="B312" s="52" t="str">
        <f aca="false">C_KPI_Benchmark!D312</f>
        <v>6.a</v>
      </c>
      <c r="C312" s="51" t="str">
        <f aca="false">C_KPI_Benchmark!E312</f>
        <v>Defect Classifier &amp; Severity AI</v>
      </c>
      <c r="D312" s="52" t="str">
        <f aca="false">C_KPI_Benchmark!F312</f>
        <v>D4</v>
      </c>
      <c r="E312" s="51" t="str">
        <f aca="false">C_KPI_Benchmark!J312</f>
        <v>Service availability</v>
      </c>
      <c r="F312" s="52" t="str">
        <f aca="false">C_KPI_Benchmark!K312</f>
        <v>%</v>
      </c>
      <c r="G312" s="51" t="str">
        <f aca="false">C_KPI_Benchmark!L312</f>
        <v>Higher is better</v>
      </c>
      <c r="H312" s="53" t="n">
        <f aca="false">C_KPI_Benchmark!N312</f>
        <v>0.995</v>
      </c>
      <c r="I312" s="54" t="n">
        <f aca="false">IF(C_KPI_Benchmark!O312&lt;&gt;"",C_KPI_Benchmark!O312,IF(G312="Higher is better",H312*(1-A_Scoring_Model!$C$16),H312*(1+A_Scoring_Model!$C$16)))</f>
        <v>0.99</v>
      </c>
      <c r="J312" s="55"/>
      <c r="K312" s="55"/>
      <c r="L312" s="55"/>
      <c r="M312" s="55"/>
      <c r="N312" s="56" t="str">
        <f aca="false">IF(J312="","",IF($H312=$I312,IF(OR(AND($G312="Higher is better",J312&gt;=$H312),AND($G312="Lower is better",J312&lt;=$H312)),A_Scoring_Model!$C$14,0),IF($G312="Higher is better",IF(J312&gt;=$H312,A_Scoring_Model!$C$14,IF(J312&lt;$I312,0,A_Scoring_Model!$C$15+(A_Scoring_Model!$C$14-A_Scoring_Model!$C$15)*(J312-$I312)/($H312-$I312))),IF(J312&lt;=$H312,A_Scoring_Model!$C$14,IF(J312&gt;$I312,0,A_Scoring_Model!$C$15+(A_Scoring_Model!$C$14-A_Scoring_Model!$C$15)*($I312-J312)/($I312-$H312))))))</f>
        <v/>
      </c>
      <c r="O312" s="56" t="str">
        <f aca="false">IF(K312="","",IF($H312=$I312,IF(OR(AND($G312="Higher is better",K312&gt;=$H312),AND($G312="Lower is better",K312&lt;=$H312)),A_Scoring_Model!$C$14,0),IF($G312="Higher is better",IF(K312&gt;=$H312,A_Scoring_Model!$C$14,IF(K312&lt;$I312,0,A_Scoring_Model!$C$15+(A_Scoring_Model!$C$14-A_Scoring_Model!$C$15)*(K312-$I312)/($H312-$I312))),IF(K312&lt;=$H312,A_Scoring_Model!$C$14,IF(K312&gt;$I312,0,A_Scoring_Model!$C$15+(A_Scoring_Model!$C$14-A_Scoring_Model!$C$15)*($I312-K312)/($I312-$H312))))))</f>
        <v/>
      </c>
      <c r="P312" s="56" t="str">
        <f aca="false">IF(L312="","",IF($H312=$I312,IF(OR(AND($G312="Higher is better",L312&gt;=$H312),AND($G312="Lower is better",L312&lt;=$H312)),A_Scoring_Model!$C$14,0),IF($G312="Higher is better",IF(L312&gt;=$H312,A_Scoring_Model!$C$14,IF(L312&lt;$I312,0,A_Scoring_Model!$C$15+(A_Scoring_Model!$C$14-A_Scoring_Model!$C$15)*(L312-$I312)/($H312-$I312))),IF(L312&lt;=$H312,A_Scoring_Model!$C$14,IF(L312&gt;$I312,0,A_Scoring_Model!$C$15+(A_Scoring_Model!$C$14-A_Scoring_Model!$C$15)*($I312-L312)/($I312-$H312))))))</f>
        <v/>
      </c>
      <c r="Q312" s="56" t="str">
        <f aca="false">IF(M312="","",IF($H312=$I312,IF(OR(AND($G312="Higher is better",M312&gt;=$H312),AND($G312="Lower is better",M312&lt;=$H312)),A_Scoring_Model!$C$14,0),IF($G312="Higher is better",IF(M312&gt;=$H312,A_Scoring_Model!$C$14,IF(M312&lt;$I312,0,A_Scoring_Model!$C$15+(A_Scoring_Model!$C$14-A_Scoring_Model!$C$15)*(M312-$I312)/($H312-$I312))),IF(M312&lt;=$H312,A_Scoring_Model!$C$14,IF(M312&gt;$I312,0,A_Scoring_Model!$C$15+(A_Scoring_Model!$C$14-A_Scoring_Model!$C$15)*($I312-M312)/($I312-$H312))))))</f>
        <v/>
      </c>
    </row>
    <row r="313" customFormat="false" ht="15" hidden="false" customHeight="false" outlineLevel="0" collapsed="false">
      <c r="A313" s="51" t="str">
        <f aca="false">C_KPI_Benchmark!A313</f>
        <v>6.a-D5-13</v>
      </c>
      <c r="B313" s="52" t="str">
        <f aca="false">C_KPI_Benchmark!D313</f>
        <v>6.a</v>
      </c>
      <c r="C313" s="51" t="str">
        <f aca="false">C_KPI_Benchmark!E313</f>
        <v>Defect Classifier &amp; Severity AI</v>
      </c>
      <c r="D313" s="52" t="str">
        <f aca="false">C_KPI_Benchmark!F313</f>
        <v>D5</v>
      </c>
      <c r="E313" s="51" t="str">
        <f aca="false">C_KPI_Benchmark!J313</f>
        <v>Triage time reduction</v>
      </c>
      <c r="F313" s="52" t="str">
        <f aca="false">C_KPI_Benchmark!K313</f>
        <v>%</v>
      </c>
      <c r="G313" s="51" t="str">
        <f aca="false">C_KPI_Benchmark!L313</f>
        <v>Higher is better</v>
      </c>
      <c r="H313" s="53" t="n">
        <f aca="false">C_KPI_Benchmark!N313</f>
        <v>0.6</v>
      </c>
      <c r="I313" s="54" t="n">
        <f aca="false">IF(C_KPI_Benchmark!O313&lt;&gt;"",C_KPI_Benchmark!O313,IF(G313="Higher is better",H313*(1-A_Scoring_Model!$C$16),H313*(1+A_Scoring_Model!$C$16)))</f>
        <v>0.48</v>
      </c>
      <c r="J313" s="55"/>
      <c r="K313" s="55"/>
      <c r="L313" s="55"/>
      <c r="M313" s="55"/>
      <c r="N313" s="56" t="str">
        <f aca="false">IF(J313="","",IF($H313=$I313,IF(OR(AND($G313="Higher is better",J313&gt;=$H313),AND($G313="Lower is better",J313&lt;=$H313)),A_Scoring_Model!$C$14,0),IF($G313="Higher is better",IF(J313&gt;=$H313,A_Scoring_Model!$C$14,IF(J313&lt;$I313,0,A_Scoring_Model!$C$15+(A_Scoring_Model!$C$14-A_Scoring_Model!$C$15)*(J313-$I313)/($H313-$I313))),IF(J313&lt;=$H313,A_Scoring_Model!$C$14,IF(J313&gt;$I313,0,A_Scoring_Model!$C$15+(A_Scoring_Model!$C$14-A_Scoring_Model!$C$15)*($I313-J313)/($I313-$H313))))))</f>
        <v/>
      </c>
      <c r="O313" s="56" t="str">
        <f aca="false">IF(K313="","",IF($H313=$I313,IF(OR(AND($G313="Higher is better",K313&gt;=$H313),AND($G313="Lower is better",K313&lt;=$H313)),A_Scoring_Model!$C$14,0),IF($G313="Higher is better",IF(K313&gt;=$H313,A_Scoring_Model!$C$14,IF(K313&lt;$I313,0,A_Scoring_Model!$C$15+(A_Scoring_Model!$C$14-A_Scoring_Model!$C$15)*(K313-$I313)/($H313-$I313))),IF(K313&lt;=$H313,A_Scoring_Model!$C$14,IF(K313&gt;$I313,0,A_Scoring_Model!$C$15+(A_Scoring_Model!$C$14-A_Scoring_Model!$C$15)*($I313-K313)/($I313-$H313))))))</f>
        <v/>
      </c>
      <c r="P313" s="56" t="str">
        <f aca="false">IF(L313="","",IF($H313=$I313,IF(OR(AND($G313="Higher is better",L313&gt;=$H313),AND($G313="Lower is better",L313&lt;=$H313)),A_Scoring_Model!$C$14,0),IF($G313="Higher is better",IF(L313&gt;=$H313,A_Scoring_Model!$C$14,IF(L313&lt;$I313,0,A_Scoring_Model!$C$15+(A_Scoring_Model!$C$14-A_Scoring_Model!$C$15)*(L313-$I313)/($H313-$I313))),IF(L313&lt;=$H313,A_Scoring_Model!$C$14,IF(L313&gt;$I313,0,A_Scoring_Model!$C$15+(A_Scoring_Model!$C$14-A_Scoring_Model!$C$15)*($I313-L313)/($I313-$H313))))))</f>
        <v/>
      </c>
      <c r="Q313" s="56" t="str">
        <f aca="false">IF(M313="","",IF($H313=$I313,IF(OR(AND($G313="Higher is better",M313&gt;=$H313),AND($G313="Lower is better",M313&lt;=$H313)),A_Scoring_Model!$C$14,0),IF($G313="Higher is better",IF(M313&gt;=$H313,A_Scoring_Model!$C$14,IF(M313&lt;$I313,0,A_Scoring_Model!$C$15+(A_Scoring_Model!$C$14-A_Scoring_Model!$C$15)*(M313-$I313)/($H313-$I313))),IF(M313&lt;=$H313,A_Scoring_Model!$C$14,IF(M313&gt;$I313,0,A_Scoring_Model!$C$15+(A_Scoring_Model!$C$14-A_Scoring_Model!$C$15)*($I313-M313)/($I313-$H313))))))</f>
        <v/>
      </c>
    </row>
    <row r="314" customFormat="false" ht="15" hidden="false" customHeight="false" outlineLevel="0" collapsed="false">
      <c r="A314" s="51" t="str">
        <f aca="false">C_KPI_Benchmark!A314</f>
        <v>6.a-D5-14</v>
      </c>
      <c r="B314" s="52" t="str">
        <f aca="false">C_KPI_Benchmark!D314</f>
        <v>6.a</v>
      </c>
      <c r="C314" s="51" t="str">
        <f aca="false">C_KPI_Benchmark!E314</f>
        <v>Defect Classifier &amp; Severity AI</v>
      </c>
      <c r="D314" s="52" t="str">
        <f aca="false">C_KPI_Benchmark!F314</f>
        <v>D5</v>
      </c>
      <c r="E314" s="51" t="str">
        <f aca="false">C_KPI_Benchmark!J314</f>
        <v>Reassignment bounce reduction</v>
      </c>
      <c r="F314" s="52" t="str">
        <f aca="false">C_KPI_Benchmark!K314</f>
        <v>%</v>
      </c>
      <c r="G314" s="51" t="str">
        <f aca="false">C_KPI_Benchmark!L314</f>
        <v>Higher is better</v>
      </c>
      <c r="H314" s="53" t="n">
        <f aca="false">C_KPI_Benchmark!N314</f>
        <v>0.5</v>
      </c>
      <c r="I314" s="54" t="n">
        <f aca="false">IF(C_KPI_Benchmark!O314&lt;&gt;"",C_KPI_Benchmark!O314,IF(G314="Higher is better",H314*(1-A_Scoring_Model!$C$16),H314*(1+A_Scoring_Model!$C$16)))</f>
        <v>0.4</v>
      </c>
      <c r="J314" s="55"/>
      <c r="K314" s="55"/>
      <c r="L314" s="55"/>
      <c r="M314" s="55"/>
      <c r="N314" s="56" t="str">
        <f aca="false">IF(J314="","",IF($H314=$I314,IF(OR(AND($G314="Higher is better",J314&gt;=$H314),AND($G314="Lower is better",J314&lt;=$H314)),A_Scoring_Model!$C$14,0),IF($G314="Higher is better",IF(J314&gt;=$H314,A_Scoring_Model!$C$14,IF(J314&lt;$I314,0,A_Scoring_Model!$C$15+(A_Scoring_Model!$C$14-A_Scoring_Model!$C$15)*(J314-$I314)/($H314-$I314))),IF(J314&lt;=$H314,A_Scoring_Model!$C$14,IF(J314&gt;$I314,0,A_Scoring_Model!$C$15+(A_Scoring_Model!$C$14-A_Scoring_Model!$C$15)*($I314-J314)/($I314-$H314))))))</f>
        <v/>
      </c>
      <c r="O314" s="56" t="str">
        <f aca="false">IF(K314="","",IF($H314=$I314,IF(OR(AND($G314="Higher is better",K314&gt;=$H314),AND($G314="Lower is better",K314&lt;=$H314)),A_Scoring_Model!$C$14,0),IF($G314="Higher is better",IF(K314&gt;=$H314,A_Scoring_Model!$C$14,IF(K314&lt;$I314,0,A_Scoring_Model!$C$15+(A_Scoring_Model!$C$14-A_Scoring_Model!$C$15)*(K314-$I314)/($H314-$I314))),IF(K314&lt;=$H314,A_Scoring_Model!$C$14,IF(K314&gt;$I314,0,A_Scoring_Model!$C$15+(A_Scoring_Model!$C$14-A_Scoring_Model!$C$15)*($I314-K314)/($I314-$H314))))))</f>
        <v/>
      </c>
      <c r="P314" s="56" t="str">
        <f aca="false">IF(L314="","",IF($H314=$I314,IF(OR(AND($G314="Higher is better",L314&gt;=$H314),AND($G314="Lower is better",L314&lt;=$H314)),A_Scoring_Model!$C$14,0),IF($G314="Higher is better",IF(L314&gt;=$H314,A_Scoring_Model!$C$14,IF(L314&lt;$I314,0,A_Scoring_Model!$C$15+(A_Scoring_Model!$C$14-A_Scoring_Model!$C$15)*(L314-$I314)/($H314-$I314))),IF(L314&lt;=$H314,A_Scoring_Model!$C$14,IF(L314&gt;$I314,0,A_Scoring_Model!$C$15+(A_Scoring_Model!$C$14-A_Scoring_Model!$C$15)*($I314-L314)/($I314-$H314))))))</f>
        <v/>
      </c>
      <c r="Q314" s="56" t="str">
        <f aca="false">IF(M314="","",IF($H314=$I314,IF(OR(AND($G314="Higher is better",M314&gt;=$H314),AND($G314="Lower is better",M314&lt;=$H314)),A_Scoring_Model!$C$14,0),IF($G314="Higher is better",IF(M314&gt;=$H314,A_Scoring_Model!$C$14,IF(M314&lt;$I314,0,A_Scoring_Model!$C$15+(A_Scoring_Model!$C$14-A_Scoring_Model!$C$15)*(M314-$I314)/($H314-$I314))),IF(M314&lt;=$H314,A_Scoring_Model!$C$14,IF(M314&gt;$I314,0,A_Scoring_Model!$C$15+(A_Scoring_Model!$C$14-A_Scoring_Model!$C$15)*($I314-M314)/($I314-$H314))))))</f>
        <v/>
      </c>
    </row>
    <row r="315" customFormat="false" ht="15" hidden="false" customHeight="false" outlineLevel="0" collapsed="false">
      <c r="A315" s="51" t="str">
        <f aca="false">C_KPI_Benchmark!A315</f>
        <v>6.a-D6-15</v>
      </c>
      <c r="B315" s="52" t="str">
        <f aca="false">C_KPI_Benchmark!D315</f>
        <v>6.a</v>
      </c>
      <c r="C315" s="51" t="str">
        <f aca="false">C_KPI_Benchmark!E315</f>
        <v>Defect Classifier &amp; Severity AI</v>
      </c>
      <c r="D315" s="52" t="str">
        <f aca="false">C_KPI_Benchmark!F315</f>
        <v>D6</v>
      </c>
      <c r="E315" s="51" t="str">
        <f aca="false">C_KPI_Benchmark!J315</f>
        <v>Solution code test coverage</v>
      </c>
      <c r="F315" s="52" t="str">
        <f aca="false">C_KPI_Benchmark!K315</f>
        <v>%</v>
      </c>
      <c r="G315" s="51" t="str">
        <f aca="false">C_KPI_Benchmark!L315</f>
        <v>Higher is better</v>
      </c>
      <c r="H315" s="53" t="n">
        <f aca="false">C_KPI_Benchmark!N315</f>
        <v>0.8</v>
      </c>
      <c r="I315" s="54" t="n">
        <f aca="false">IF(C_KPI_Benchmark!O315&lt;&gt;"",C_KPI_Benchmark!O315,IF(G315="Higher is better",H315*(1-A_Scoring_Model!$C$16),H315*(1+A_Scoring_Model!$C$16)))</f>
        <v>0.6</v>
      </c>
      <c r="J315" s="55"/>
      <c r="K315" s="55"/>
      <c r="L315" s="55"/>
      <c r="M315" s="55"/>
      <c r="N315" s="56" t="str">
        <f aca="false">IF(J315="","",IF($H315=$I315,IF(OR(AND($G315="Higher is better",J315&gt;=$H315),AND($G315="Lower is better",J315&lt;=$H315)),A_Scoring_Model!$C$14,0),IF($G315="Higher is better",IF(J315&gt;=$H315,A_Scoring_Model!$C$14,IF(J315&lt;$I315,0,A_Scoring_Model!$C$15+(A_Scoring_Model!$C$14-A_Scoring_Model!$C$15)*(J315-$I315)/($H315-$I315))),IF(J315&lt;=$H315,A_Scoring_Model!$C$14,IF(J315&gt;$I315,0,A_Scoring_Model!$C$15+(A_Scoring_Model!$C$14-A_Scoring_Model!$C$15)*($I315-J315)/($I315-$H315))))))</f>
        <v/>
      </c>
      <c r="O315" s="56" t="str">
        <f aca="false">IF(K315="","",IF($H315=$I315,IF(OR(AND($G315="Higher is better",K315&gt;=$H315),AND($G315="Lower is better",K315&lt;=$H315)),A_Scoring_Model!$C$14,0),IF($G315="Higher is better",IF(K315&gt;=$H315,A_Scoring_Model!$C$14,IF(K315&lt;$I315,0,A_Scoring_Model!$C$15+(A_Scoring_Model!$C$14-A_Scoring_Model!$C$15)*(K315-$I315)/($H315-$I315))),IF(K315&lt;=$H315,A_Scoring_Model!$C$14,IF(K315&gt;$I315,0,A_Scoring_Model!$C$15+(A_Scoring_Model!$C$14-A_Scoring_Model!$C$15)*($I315-K315)/($I315-$H315))))))</f>
        <v/>
      </c>
      <c r="P315" s="56" t="str">
        <f aca="false">IF(L315="","",IF($H315=$I315,IF(OR(AND($G315="Higher is better",L315&gt;=$H315),AND($G315="Lower is better",L315&lt;=$H315)),A_Scoring_Model!$C$14,0),IF($G315="Higher is better",IF(L315&gt;=$H315,A_Scoring_Model!$C$14,IF(L315&lt;$I315,0,A_Scoring_Model!$C$15+(A_Scoring_Model!$C$14-A_Scoring_Model!$C$15)*(L315-$I315)/($H315-$I315))),IF(L315&lt;=$H315,A_Scoring_Model!$C$14,IF(L315&gt;$I315,0,A_Scoring_Model!$C$15+(A_Scoring_Model!$C$14-A_Scoring_Model!$C$15)*($I315-L315)/($I315-$H315))))))</f>
        <v/>
      </c>
      <c r="Q315" s="56" t="str">
        <f aca="false">IF(M315="","",IF($H315=$I315,IF(OR(AND($G315="Higher is better",M315&gt;=$H315),AND($G315="Lower is better",M315&lt;=$H315)),A_Scoring_Model!$C$14,0),IF($G315="Higher is better",IF(M315&gt;=$H315,A_Scoring_Model!$C$14,IF(M315&lt;$I315,0,A_Scoring_Model!$C$15+(A_Scoring_Model!$C$14-A_Scoring_Model!$C$15)*(M315-$I315)/($H315-$I315))),IF(M315&lt;=$H315,A_Scoring_Model!$C$14,IF(M315&gt;$I315,0,A_Scoring_Model!$C$15+(A_Scoring_Model!$C$14-A_Scoring_Model!$C$15)*($I315-M315)/($I315-$H315))))))</f>
        <v/>
      </c>
    </row>
    <row r="316" customFormat="false" ht="15" hidden="false" customHeight="false" outlineLevel="0" collapsed="false">
      <c r="A316" s="51" t="str">
        <f aca="false">C_KPI_Benchmark!A316</f>
        <v>6.a-D6-16</v>
      </c>
      <c r="B316" s="52" t="str">
        <f aca="false">C_KPI_Benchmark!D316</f>
        <v>6.a</v>
      </c>
      <c r="C316" s="51" t="str">
        <f aca="false">C_KPI_Benchmark!E316</f>
        <v>Defect Classifier &amp; Severity AI</v>
      </c>
      <c r="D316" s="52" t="str">
        <f aca="false">C_KPI_Benchmark!F316</f>
        <v>D6</v>
      </c>
      <c r="E316" s="51" t="str">
        <f aca="false">C_KPI_Benchmark!J316</f>
        <v>Review Shield critical findings</v>
      </c>
      <c r="F316" s="52" t="str">
        <f aca="false">C_KPI_Benchmark!K316</f>
        <v>count</v>
      </c>
      <c r="G316" s="51" t="str">
        <f aca="false">C_KPI_Benchmark!L316</f>
        <v>Lower is better</v>
      </c>
      <c r="H316" s="62" t="n">
        <f aca="false">C_KPI_Benchmark!N316</f>
        <v>0</v>
      </c>
      <c r="I316" s="63" t="n">
        <f aca="false">IF(C_KPI_Benchmark!O316&lt;&gt;"",C_KPI_Benchmark!O316,IF(G316="Higher is better",H316*(1-A_Scoring_Model!$C$16),H316*(1+A_Scoring_Model!$C$16)))</f>
        <v>0</v>
      </c>
      <c r="J316" s="64"/>
      <c r="K316" s="64"/>
      <c r="L316" s="64"/>
      <c r="M316" s="64"/>
      <c r="N316" s="56" t="str">
        <f aca="false">IF(J316="","",IF($H316=$I316,IF(OR(AND($G316="Higher is better",J316&gt;=$H316),AND($G316="Lower is better",J316&lt;=$H316)),A_Scoring_Model!$C$14,0),IF($G316="Higher is better",IF(J316&gt;=$H316,A_Scoring_Model!$C$14,IF(J316&lt;$I316,0,A_Scoring_Model!$C$15+(A_Scoring_Model!$C$14-A_Scoring_Model!$C$15)*(J316-$I316)/($H316-$I316))),IF(J316&lt;=$H316,A_Scoring_Model!$C$14,IF(J316&gt;$I316,0,A_Scoring_Model!$C$15+(A_Scoring_Model!$C$14-A_Scoring_Model!$C$15)*($I316-J316)/($I316-$H316))))))</f>
        <v/>
      </c>
      <c r="O316" s="56" t="str">
        <f aca="false">IF(K316="","",IF($H316=$I316,IF(OR(AND($G316="Higher is better",K316&gt;=$H316),AND($G316="Lower is better",K316&lt;=$H316)),A_Scoring_Model!$C$14,0),IF($G316="Higher is better",IF(K316&gt;=$H316,A_Scoring_Model!$C$14,IF(K316&lt;$I316,0,A_Scoring_Model!$C$15+(A_Scoring_Model!$C$14-A_Scoring_Model!$C$15)*(K316-$I316)/($H316-$I316))),IF(K316&lt;=$H316,A_Scoring_Model!$C$14,IF(K316&gt;$I316,0,A_Scoring_Model!$C$15+(A_Scoring_Model!$C$14-A_Scoring_Model!$C$15)*($I316-K316)/($I316-$H316))))))</f>
        <v/>
      </c>
      <c r="P316" s="56" t="str">
        <f aca="false">IF(L316="","",IF($H316=$I316,IF(OR(AND($G316="Higher is better",L316&gt;=$H316),AND($G316="Lower is better",L316&lt;=$H316)),A_Scoring_Model!$C$14,0),IF($G316="Higher is better",IF(L316&gt;=$H316,A_Scoring_Model!$C$14,IF(L316&lt;$I316,0,A_Scoring_Model!$C$15+(A_Scoring_Model!$C$14-A_Scoring_Model!$C$15)*(L316-$I316)/($H316-$I316))),IF(L316&lt;=$H316,A_Scoring_Model!$C$14,IF(L316&gt;$I316,0,A_Scoring_Model!$C$15+(A_Scoring_Model!$C$14-A_Scoring_Model!$C$15)*($I316-L316)/($I316-$H316))))))</f>
        <v/>
      </c>
      <c r="Q316" s="56" t="str">
        <f aca="false">IF(M316="","",IF($H316=$I316,IF(OR(AND($G316="Higher is better",M316&gt;=$H316),AND($G316="Lower is better",M316&lt;=$H316)),A_Scoring_Model!$C$14,0),IF($G316="Higher is better",IF(M316&gt;=$H316,A_Scoring_Model!$C$14,IF(M316&lt;$I316,0,A_Scoring_Model!$C$15+(A_Scoring_Model!$C$14-A_Scoring_Model!$C$15)*(M316-$I316)/($H316-$I316))),IF(M316&lt;=$H316,A_Scoring_Model!$C$14,IF(M316&gt;$I316,0,A_Scoring_Model!$C$15+(A_Scoring_Model!$C$14-A_Scoring_Model!$C$15)*($I316-M316)/($I316-$H316))))))</f>
        <v/>
      </c>
    </row>
    <row r="317" customFormat="false" ht="15" hidden="false" customHeight="false" outlineLevel="0" collapsed="false">
      <c r="A317" s="51" t="str">
        <f aca="false">C_KPI_Benchmark!A317</f>
        <v>6.a-D6-17</v>
      </c>
      <c r="B317" s="52" t="str">
        <f aca="false">C_KPI_Benchmark!D317</f>
        <v>6.a</v>
      </c>
      <c r="C317" s="51" t="str">
        <f aca="false">C_KPI_Benchmark!E317</f>
        <v>Defect Classifier &amp; Severity AI</v>
      </c>
      <c r="D317" s="52" t="str">
        <f aca="false">C_KPI_Benchmark!F317</f>
        <v>D6</v>
      </c>
      <c r="E317" s="51" t="str">
        <f aca="false">C_KPI_Benchmark!J317</f>
        <v>SAST high findings and exposed secrets</v>
      </c>
      <c r="F317" s="52" t="str">
        <f aca="false">C_KPI_Benchmark!K317</f>
        <v>count</v>
      </c>
      <c r="G317" s="51" t="str">
        <f aca="false">C_KPI_Benchmark!L317</f>
        <v>Lower is better</v>
      </c>
      <c r="H317" s="62" t="n">
        <f aca="false">C_KPI_Benchmark!N317</f>
        <v>0</v>
      </c>
      <c r="I317" s="63" t="n">
        <f aca="false">IF(C_KPI_Benchmark!O317&lt;&gt;"",C_KPI_Benchmark!O317,IF(G317="Higher is better",H317*(1-A_Scoring_Model!$C$16),H317*(1+A_Scoring_Model!$C$16)))</f>
        <v>0</v>
      </c>
      <c r="J317" s="64"/>
      <c r="K317" s="64"/>
      <c r="L317" s="64"/>
      <c r="M317" s="64"/>
      <c r="N317" s="56" t="str">
        <f aca="false">IF(J317="","",IF($H317=$I317,IF(OR(AND($G317="Higher is better",J317&gt;=$H317),AND($G317="Lower is better",J317&lt;=$H317)),A_Scoring_Model!$C$14,0),IF($G317="Higher is better",IF(J317&gt;=$H317,A_Scoring_Model!$C$14,IF(J317&lt;$I317,0,A_Scoring_Model!$C$15+(A_Scoring_Model!$C$14-A_Scoring_Model!$C$15)*(J317-$I317)/($H317-$I317))),IF(J317&lt;=$H317,A_Scoring_Model!$C$14,IF(J317&gt;$I317,0,A_Scoring_Model!$C$15+(A_Scoring_Model!$C$14-A_Scoring_Model!$C$15)*($I317-J317)/($I317-$H317))))))</f>
        <v/>
      </c>
      <c r="O317" s="56" t="str">
        <f aca="false">IF(K317="","",IF($H317=$I317,IF(OR(AND($G317="Higher is better",K317&gt;=$H317),AND($G317="Lower is better",K317&lt;=$H317)),A_Scoring_Model!$C$14,0),IF($G317="Higher is better",IF(K317&gt;=$H317,A_Scoring_Model!$C$14,IF(K317&lt;$I317,0,A_Scoring_Model!$C$15+(A_Scoring_Model!$C$14-A_Scoring_Model!$C$15)*(K317-$I317)/($H317-$I317))),IF(K317&lt;=$H317,A_Scoring_Model!$C$14,IF(K317&gt;$I317,0,A_Scoring_Model!$C$15+(A_Scoring_Model!$C$14-A_Scoring_Model!$C$15)*($I317-K317)/($I317-$H317))))))</f>
        <v/>
      </c>
      <c r="P317" s="56" t="str">
        <f aca="false">IF(L317="","",IF($H317=$I317,IF(OR(AND($G317="Higher is better",L317&gt;=$H317),AND($G317="Lower is better",L317&lt;=$H317)),A_Scoring_Model!$C$14,0),IF($G317="Higher is better",IF(L317&gt;=$H317,A_Scoring_Model!$C$14,IF(L317&lt;$I317,0,A_Scoring_Model!$C$15+(A_Scoring_Model!$C$14-A_Scoring_Model!$C$15)*(L317-$I317)/($H317-$I317))),IF(L317&lt;=$H317,A_Scoring_Model!$C$14,IF(L317&gt;$I317,0,A_Scoring_Model!$C$15+(A_Scoring_Model!$C$14-A_Scoring_Model!$C$15)*($I317-L317)/($I317-$H317))))))</f>
        <v/>
      </c>
      <c r="Q317" s="56" t="str">
        <f aca="false">IF(M317="","",IF($H317=$I317,IF(OR(AND($G317="Higher is better",M317&gt;=$H317),AND($G317="Lower is better",M317&lt;=$H317)),A_Scoring_Model!$C$14,0),IF($G317="Higher is better",IF(M317&gt;=$H317,A_Scoring_Model!$C$14,IF(M317&lt;$I317,0,A_Scoring_Model!$C$15+(A_Scoring_Model!$C$14-A_Scoring_Model!$C$15)*(M317-$I317)/($H317-$I317))),IF(M317&lt;=$H317,A_Scoring_Model!$C$14,IF(M317&gt;$I317,0,A_Scoring_Model!$C$15+(A_Scoring_Model!$C$14-A_Scoring_Model!$C$15)*($I317-M317)/($I317-$H317))))))</f>
        <v/>
      </c>
    </row>
    <row r="318" customFormat="false" ht="23.85" hidden="false" customHeight="false" outlineLevel="0" collapsed="false">
      <c r="A318" s="51" t="str">
        <f aca="false">C_KPI_Benchmark!A318</f>
        <v>6.a-D6-18</v>
      </c>
      <c r="B318" s="52" t="str">
        <f aca="false">C_KPI_Benchmark!D318</f>
        <v>6.a</v>
      </c>
      <c r="C318" s="51" t="str">
        <f aca="false">C_KPI_Benchmark!E318</f>
        <v>Defect Classifier &amp; Severity AI</v>
      </c>
      <c r="D318" s="52" t="str">
        <f aca="false">C_KPI_Benchmark!F318</f>
        <v>D6</v>
      </c>
      <c r="E318" s="51" t="str">
        <f aca="false">C_KPI_Benchmark!J318</f>
        <v>Documentation pack complete (README, I/O contract, model card, runbook)</v>
      </c>
      <c r="F318" s="52" t="str">
        <f aca="false">C_KPI_Benchmark!K318</f>
        <v>Yes/No</v>
      </c>
      <c r="G318" s="51" t="str">
        <f aca="false">C_KPI_Benchmark!L318</f>
        <v>Higher is better</v>
      </c>
      <c r="H318" s="60" t="n">
        <f aca="false">C_KPI_Benchmark!N318</f>
        <v>1</v>
      </c>
      <c r="I318" s="56" t="n">
        <f aca="false">IF(C_KPI_Benchmark!O318&lt;&gt;"",C_KPI_Benchmark!O318,IF(G318="Higher is better",H318*(1-A_Scoring_Model!$C$16),H318*(1+A_Scoring_Model!$C$16)))</f>
        <v>0.8</v>
      </c>
      <c r="J318" s="61"/>
      <c r="K318" s="61"/>
      <c r="L318" s="61"/>
      <c r="M318" s="61"/>
      <c r="N318" s="56" t="str">
        <f aca="false">IF(J318="","",IF($H318=$I318,IF(OR(AND($G318="Higher is better",J318&gt;=$H318),AND($G318="Lower is better",J318&lt;=$H318)),A_Scoring_Model!$C$14,0),IF($G318="Higher is better",IF(J318&gt;=$H318,A_Scoring_Model!$C$14,IF(J318&lt;$I318,0,A_Scoring_Model!$C$15+(A_Scoring_Model!$C$14-A_Scoring_Model!$C$15)*(J318-$I318)/($H318-$I318))),IF(J318&lt;=$H318,A_Scoring_Model!$C$14,IF(J318&gt;$I318,0,A_Scoring_Model!$C$15+(A_Scoring_Model!$C$14-A_Scoring_Model!$C$15)*($I318-J318)/($I318-$H318))))))</f>
        <v/>
      </c>
      <c r="O318" s="56" t="str">
        <f aca="false">IF(K318="","",IF($H318=$I318,IF(OR(AND($G318="Higher is better",K318&gt;=$H318),AND($G318="Lower is better",K318&lt;=$H318)),A_Scoring_Model!$C$14,0),IF($G318="Higher is better",IF(K318&gt;=$H318,A_Scoring_Model!$C$14,IF(K318&lt;$I318,0,A_Scoring_Model!$C$15+(A_Scoring_Model!$C$14-A_Scoring_Model!$C$15)*(K318-$I318)/($H318-$I318))),IF(K318&lt;=$H318,A_Scoring_Model!$C$14,IF(K318&gt;$I318,0,A_Scoring_Model!$C$15+(A_Scoring_Model!$C$14-A_Scoring_Model!$C$15)*($I318-K318)/($I318-$H318))))))</f>
        <v/>
      </c>
      <c r="P318" s="56" t="str">
        <f aca="false">IF(L318="","",IF($H318=$I318,IF(OR(AND($G318="Higher is better",L318&gt;=$H318),AND($G318="Lower is better",L318&lt;=$H318)),A_Scoring_Model!$C$14,0),IF($G318="Higher is better",IF(L318&gt;=$H318,A_Scoring_Model!$C$14,IF(L318&lt;$I318,0,A_Scoring_Model!$C$15+(A_Scoring_Model!$C$14-A_Scoring_Model!$C$15)*(L318-$I318)/($H318-$I318))),IF(L318&lt;=$H318,A_Scoring_Model!$C$14,IF(L318&gt;$I318,0,A_Scoring_Model!$C$15+(A_Scoring_Model!$C$14-A_Scoring_Model!$C$15)*($I318-L318)/($I318-$H318))))))</f>
        <v/>
      </c>
      <c r="Q318" s="56" t="str">
        <f aca="false">IF(M318="","",IF($H318=$I318,IF(OR(AND($G318="Higher is better",M318&gt;=$H318),AND($G318="Lower is better",M318&lt;=$H318)),A_Scoring_Model!$C$14,0),IF($G318="Higher is better",IF(M318&gt;=$H318,A_Scoring_Model!$C$14,IF(M318&lt;$I318,0,A_Scoring_Model!$C$15+(A_Scoring_Model!$C$14-A_Scoring_Model!$C$15)*(M318-$I318)/($H318-$I318))),IF(M318&lt;=$H318,A_Scoring_Model!$C$14,IF(M318&gt;$I318,0,A_Scoring_Model!$C$15+(A_Scoring_Model!$C$14-A_Scoring_Model!$C$15)*($I318-M318)/($I318-$H318))))))</f>
        <v/>
      </c>
    </row>
    <row r="319" customFormat="false" ht="15" hidden="false" customHeight="false" outlineLevel="0" collapsed="false">
      <c r="A319" s="51" t="str">
        <f aca="false">C_KPI_Benchmark!A319</f>
        <v>6.a-D6-19</v>
      </c>
      <c r="B319" s="52" t="str">
        <f aca="false">C_KPI_Benchmark!D319</f>
        <v>6.a</v>
      </c>
      <c r="C319" s="51" t="str">
        <f aca="false">C_KPI_Benchmark!E319</f>
        <v>Defect Classifier &amp; Severity AI</v>
      </c>
      <c r="D319" s="52" t="str">
        <f aca="false">C_KPI_Benchmark!F319</f>
        <v>D6</v>
      </c>
      <c r="E319" s="51" t="str">
        <f aca="false">C_KPI_Benchmark!J319</f>
        <v>Named owner and support SLA</v>
      </c>
      <c r="F319" s="52" t="str">
        <f aca="false">C_KPI_Benchmark!K319</f>
        <v>Yes/No</v>
      </c>
      <c r="G319" s="51" t="str">
        <f aca="false">C_KPI_Benchmark!L319</f>
        <v>Higher is better</v>
      </c>
      <c r="H319" s="60" t="n">
        <f aca="false">C_KPI_Benchmark!N319</f>
        <v>1</v>
      </c>
      <c r="I319" s="56" t="n">
        <f aca="false">IF(C_KPI_Benchmark!O319&lt;&gt;"",C_KPI_Benchmark!O319,IF(G319="Higher is better",H319*(1-A_Scoring_Model!$C$16),H319*(1+A_Scoring_Model!$C$16)))</f>
        <v>0.8</v>
      </c>
      <c r="J319" s="61"/>
      <c r="K319" s="61"/>
      <c r="L319" s="61"/>
      <c r="M319" s="61"/>
      <c r="N319" s="56" t="str">
        <f aca="false">IF(J319="","",IF($H319=$I319,IF(OR(AND($G319="Higher is better",J319&gt;=$H319),AND($G319="Lower is better",J319&lt;=$H319)),A_Scoring_Model!$C$14,0),IF($G319="Higher is better",IF(J319&gt;=$H319,A_Scoring_Model!$C$14,IF(J319&lt;$I319,0,A_Scoring_Model!$C$15+(A_Scoring_Model!$C$14-A_Scoring_Model!$C$15)*(J319-$I319)/($H319-$I319))),IF(J319&lt;=$H319,A_Scoring_Model!$C$14,IF(J319&gt;$I319,0,A_Scoring_Model!$C$15+(A_Scoring_Model!$C$14-A_Scoring_Model!$C$15)*($I319-J319)/($I319-$H319))))))</f>
        <v/>
      </c>
      <c r="O319" s="56" t="str">
        <f aca="false">IF(K319="","",IF($H319=$I319,IF(OR(AND($G319="Higher is better",K319&gt;=$H319),AND($G319="Lower is better",K319&lt;=$H319)),A_Scoring_Model!$C$14,0),IF($G319="Higher is better",IF(K319&gt;=$H319,A_Scoring_Model!$C$14,IF(K319&lt;$I319,0,A_Scoring_Model!$C$15+(A_Scoring_Model!$C$14-A_Scoring_Model!$C$15)*(K319-$I319)/($H319-$I319))),IF(K319&lt;=$H319,A_Scoring_Model!$C$14,IF(K319&gt;$I319,0,A_Scoring_Model!$C$15+(A_Scoring_Model!$C$14-A_Scoring_Model!$C$15)*($I319-K319)/($I319-$H319))))))</f>
        <v/>
      </c>
      <c r="P319" s="56" t="str">
        <f aca="false">IF(L319="","",IF($H319=$I319,IF(OR(AND($G319="Higher is better",L319&gt;=$H319),AND($G319="Lower is better",L319&lt;=$H319)),A_Scoring_Model!$C$14,0),IF($G319="Higher is better",IF(L319&gt;=$H319,A_Scoring_Model!$C$14,IF(L319&lt;$I319,0,A_Scoring_Model!$C$15+(A_Scoring_Model!$C$14-A_Scoring_Model!$C$15)*(L319-$I319)/($H319-$I319))),IF(L319&lt;=$H319,A_Scoring_Model!$C$14,IF(L319&gt;$I319,0,A_Scoring_Model!$C$15+(A_Scoring_Model!$C$14-A_Scoring_Model!$C$15)*($I319-L319)/($I319-$H319))))))</f>
        <v/>
      </c>
      <c r="Q319" s="56" t="str">
        <f aca="false">IF(M319="","",IF($H319=$I319,IF(OR(AND($G319="Higher is better",M319&gt;=$H319),AND($G319="Lower is better",M319&lt;=$H319)),A_Scoring_Model!$C$14,0),IF($G319="Higher is better",IF(M319&gt;=$H319,A_Scoring_Model!$C$14,IF(M319&lt;$I319,0,A_Scoring_Model!$C$15+(A_Scoring_Model!$C$14-A_Scoring_Model!$C$15)*(M319-$I319)/($H319-$I319))),IF(M319&lt;=$H319,A_Scoring_Model!$C$14,IF(M319&gt;$I319,0,A_Scoring_Model!$C$15+(A_Scoring_Model!$C$14-A_Scoring_Model!$C$15)*($I319-M319)/($I319-$H319))))))</f>
        <v/>
      </c>
    </row>
    <row r="320" customFormat="false" ht="15" hidden="false" customHeight="false" outlineLevel="0" collapsed="false">
      <c r="A320" s="51" t="str">
        <f aca="false">C_KPI_Benchmark!A320</f>
        <v>6.b-D1-01</v>
      </c>
      <c r="B320" s="52" t="str">
        <f aca="false">C_KPI_Benchmark!D320</f>
        <v>6.b</v>
      </c>
      <c r="C320" s="51" t="str">
        <f aca="false">C_KPI_Benchmark!E320</f>
        <v>Duplicate Detector Agent</v>
      </c>
      <c r="D320" s="52" t="str">
        <f aca="false">C_KPI_Benchmark!F320</f>
        <v>D1</v>
      </c>
      <c r="E320" s="51" t="str">
        <f aca="false">C_KPI_Benchmark!J320</f>
        <v>Top-5 recall</v>
      </c>
      <c r="F320" s="52" t="str">
        <f aca="false">C_KPI_Benchmark!K320</f>
        <v>%</v>
      </c>
      <c r="G320" s="51" t="str">
        <f aca="false">C_KPI_Benchmark!L320</f>
        <v>Higher is better</v>
      </c>
      <c r="H320" s="53" t="n">
        <f aca="false">C_KPI_Benchmark!N320</f>
        <v>0.9</v>
      </c>
      <c r="I320" s="54" t="n">
        <f aca="false">IF(C_KPI_Benchmark!O320&lt;&gt;"",C_KPI_Benchmark!O320,IF(G320="Higher is better",H320*(1-A_Scoring_Model!$C$16),H320*(1+A_Scoring_Model!$C$16)))</f>
        <v>0.8</v>
      </c>
      <c r="J320" s="55"/>
      <c r="K320" s="55"/>
      <c r="L320" s="55"/>
      <c r="M320" s="55"/>
      <c r="N320" s="56" t="str">
        <f aca="false">IF(J320="","",IF($H320=$I320,IF(OR(AND($G320="Higher is better",J320&gt;=$H320),AND($G320="Lower is better",J320&lt;=$H320)),A_Scoring_Model!$C$14,0),IF($G320="Higher is better",IF(J320&gt;=$H320,A_Scoring_Model!$C$14,IF(J320&lt;$I320,0,A_Scoring_Model!$C$15+(A_Scoring_Model!$C$14-A_Scoring_Model!$C$15)*(J320-$I320)/($H320-$I320))),IF(J320&lt;=$H320,A_Scoring_Model!$C$14,IF(J320&gt;$I320,0,A_Scoring_Model!$C$15+(A_Scoring_Model!$C$14-A_Scoring_Model!$C$15)*($I320-J320)/($I320-$H320))))))</f>
        <v/>
      </c>
      <c r="O320" s="56" t="str">
        <f aca="false">IF(K320="","",IF($H320=$I320,IF(OR(AND($G320="Higher is better",K320&gt;=$H320),AND($G320="Lower is better",K320&lt;=$H320)),A_Scoring_Model!$C$14,0),IF($G320="Higher is better",IF(K320&gt;=$H320,A_Scoring_Model!$C$14,IF(K320&lt;$I320,0,A_Scoring_Model!$C$15+(A_Scoring_Model!$C$14-A_Scoring_Model!$C$15)*(K320-$I320)/($H320-$I320))),IF(K320&lt;=$H320,A_Scoring_Model!$C$14,IF(K320&gt;$I320,0,A_Scoring_Model!$C$15+(A_Scoring_Model!$C$14-A_Scoring_Model!$C$15)*($I320-K320)/($I320-$H320))))))</f>
        <v/>
      </c>
      <c r="P320" s="56" t="str">
        <f aca="false">IF(L320="","",IF($H320=$I320,IF(OR(AND($G320="Higher is better",L320&gt;=$H320),AND($G320="Lower is better",L320&lt;=$H320)),A_Scoring_Model!$C$14,0),IF($G320="Higher is better",IF(L320&gt;=$H320,A_Scoring_Model!$C$14,IF(L320&lt;$I320,0,A_Scoring_Model!$C$15+(A_Scoring_Model!$C$14-A_Scoring_Model!$C$15)*(L320-$I320)/($H320-$I320))),IF(L320&lt;=$H320,A_Scoring_Model!$C$14,IF(L320&gt;$I320,0,A_Scoring_Model!$C$15+(A_Scoring_Model!$C$14-A_Scoring_Model!$C$15)*($I320-L320)/($I320-$H320))))))</f>
        <v/>
      </c>
      <c r="Q320" s="56" t="str">
        <f aca="false">IF(M320="","",IF($H320=$I320,IF(OR(AND($G320="Higher is better",M320&gt;=$H320),AND($G320="Lower is better",M320&lt;=$H320)),A_Scoring_Model!$C$14,0),IF($G320="Higher is better",IF(M320&gt;=$H320,A_Scoring_Model!$C$14,IF(M320&lt;$I320,0,A_Scoring_Model!$C$15+(A_Scoring_Model!$C$14-A_Scoring_Model!$C$15)*(M320-$I320)/($H320-$I320))),IF(M320&lt;=$H320,A_Scoring_Model!$C$14,IF(M320&gt;$I320,0,A_Scoring_Model!$C$15+(A_Scoring_Model!$C$14-A_Scoring_Model!$C$15)*($I320-M320)/($I320-$H320))))))</f>
        <v/>
      </c>
    </row>
    <row r="321" customFormat="false" ht="15" hidden="false" customHeight="false" outlineLevel="0" collapsed="false">
      <c r="A321" s="51" t="str">
        <f aca="false">C_KPI_Benchmark!A321</f>
        <v>6.b-D1-02</v>
      </c>
      <c r="B321" s="52" t="str">
        <f aca="false">C_KPI_Benchmark!D321</f>
        <v>6.b</v>
      </c>
      <c r="C321" s="51" t="str">
        <f aca="false">C_KPI_Benchmark!E321</f>
        <v>Duplicate Detector Agent</v>
      </c>
      <c r="D321" s="52" t="str">
        <f aca="false">C_KPI_Benchmark!F321</f>
        <v>D1</v>
      </c>
      <c r="E321" s="51" t="str">
        <f aca="false">C_KPI_Benchmark!J321</f>
        <v>Precision@1</v>
      </c>
      <c r="F321" s="52" t="str">
        <f aca="false">C_KPI_Benchmark!K321</f>
        <v>%</v>
      </c>
      <c r="G321" s="51" t="str">
        <f aca="false">C_KPI_Benchmark!L321</f>
        <v>Higher is better</v>
      </c>
      <c r="H321" s="53" t="n">
        <f aca="false">C_KPI_Benchmark!N321</f>
        <v>0.85</v>
      </c>
      <c r="I321" s="54" t="n">
        <f aca="false">IF(C_KPI_Benchmark!O321&lt;&gt;"",C_KPI_Benchmark!O321,IF(G321="Higher is better",H321*(1-A_Scoring_Model!$C$16),H321*(1+A_Scoring_Model!$C$16)))</f>
        <v>0.72</v>
      </c>
      <c r="J321" s="55"/>
      <c r="K321" s="55"/>
      <c r="L321" s="55"/>
      <c r="M321" s="55"/>
      <c r="N321" s="56" t="str">
        <f aca="false">IF(J321="","",IF($H321=$I321,IF(OR(AND($G321="Higher is better",J321&gt;=$H321),AND($G321="Lower is better",J321&lt;=$H321)),A_Scoring_Model!$C$14,0),IF($G321="Higher is better",IF(J321&gt;=$H321,A_Scoring_Model!$C$14,IF(J321&lt;$I321,0,A_Scoring_Model!$C$15+(A_Scoring_Model!$C$14-A_Scoring_Model!$C$15)*(J321-$I321)/($H321-$I321))),IF(J321&lt;=$H321,A_Scoring_Model!$C$14,IF(J321&gt;$I321,0,A_Scoring_Model!$C$15+(A_Scoring_Model!$C$14-A_Scoring_Model!$C$15)*($I321-J321)/($I321-$H321))))))</f>
        <v/>
      </c>
      <c r="O321" s="56" t="str">
        <f aca="false">IF(K321="","",IF($H321=$I321,IF(OR(AND($G321="Higher is better",K321&gt;=$H321),AND($G321="Lower is better",K321&lt;=$H321)),A_Scoring_Model!$C$14,0),IF($G321="Higher is better",IF(K321&gt;=$H321,A_Scoring_Model!$C$14,IF(K321&lt;$I321,0,A_Scoring_Model!$C$15+(A_Scoring_Model!$C$14-A_Scoring_Model!$C$15)*(K321-$I321)/($H321-$I321))),IF(K321&lt;=$H321,A_Scoring_Model!$C$14,IF(K321&gt;$I321,0,A_Scoring_Model!$C$15+(A_Scoring_Model!$C$14-A_Scoring_Model!$C$15)*($I321-K321)/($I321-$H321))))))</f>
        <v/>
      </c>
      <c r="P321" s="56" t="str">
        <f aca="false">IF(L321="","",IF($H321=$I321,IF(OR(AND($G321="Higher is better",L321&gt;=$H321),AND($G321="Lower is better",L321&lt;=$H321)),A_Scoring_Model!$C$14,0),IF($G321="Higher is better",IF(L321&gt;=$H321,A_Scoring_Model!$C$14,IF(L321&lt;$I321,0,A_Scoring_Model!$C$15+(A_Scoring_Model!$C$14-A_Scoring_Model!$C$15)*(L321-$I321)/($H321-$I321))),IF(L321&lt;=$H321,A_Scoring_Model!$C$14,IF(L321&gt;$I321,0,A_Scoring_Model!$C$15+(A_Scoring_Model!$C$14-A_Scoring_Model!$C$15)*($I321-L321)/($I321-$H321))))))</f>
        <v/>
      </c>
      <c r="Q321" s="56" t="str">
        <f aca="false">IF(M321="","",IF($H321=$I321,IF(OR(AND($G321="Higher is better",M321&gt;=$H321),AND($G321="Lower is better",M321&lt;=$H321)),A_Scoring_Model!$C$14,0),IF($G321="Higher is better",IF(M321&gt;=$H321,A_Scoring_Model!$C$14,IF(M321&lt;$I321,0,A_Scoring_Model!$C$15+(A_Scoring_Model!$C$14-A_Scoring_Model!$C$15)*(M321-$I321)/($H321-$I321))),IF(M321&lt;=$H321,A_Scoring_Model!$C$14,IF(M321&gt;$I321,0,A_Scoring_Model!$C$15+(A_Scoring_Model!$C$14-A_Scoring_Model!$C$15)*($I321-M321)/($I321-$H321))))))</f>
        <v/>
      </c>
    </row>
    <row r="322" customFormat="false" ht="15" hidden="false" customHeight="false" outlineLevel="0" collapsed="false">
      <c r="A322" s="51" t="str">
        <f aca="false">C_KPI_Benchmark!A322</f>
        <v>6.b-D1-03</v>
      </c>
      <c r="B322" s="52" t="str">
        <f aca="false">C_KPI_Benchmark!D322</f>
        <v>6.b</v>
      </c>
      <c r="C322" s="51" t="str">
        <f aca="false">C_KPI_Benchmark!E322</f>
        <v>Duplicate Detector Agent</v>
      </c>
      <c r="D322" s="52" t="str">
        <f aca="false">C_KPI_Benchmark!F322</f>
        <v>D1</v>
      </c>
      <c r="E322" s="51" t="str">
        <f aca="false">C_KPI_Benchmark!J322</f>
        <v>False merge</v>
      </c>
      <c r="F322" s="52" t="str">
        <f aca="false">C_KPI_Benchmark!K322</f>
        <v>%</v>
      </c>
      <c r="G322" s="51" t="str">
        <f aca="false">C_KPI_Benchmark!L322</f>
        <v>Lower is better</v>
      </c>
      <c r="H322" s="53" t="n">
        <f aca="false">C_KPI_Benchmark!N322</f>
        <v>0.02</v>
      </c>
      <c r="I322" s="54" t="n">
        <f aca="false">IF(C_KPI_Benchmark!O322&lt;&gt;"",C_KPI_Benchmark!O322,IF(G322="Higher is better",H322*(1-A_Scoring_Model!$C$16),H322*(1+A_Scoring_Model!$C$16)))</f>
        <v>0.05</v>
      </c>
      <c r="J322" s="55"/>
      <c r="K322" s="55"/>
      <c r="L322" s="55"/>
      <c r="M322" s="55"/>
      <c r="N322" s="56" t="str">
        <f aca="false">IF(J322="","",IF($H322=$I322,IF(OR(AND($G322="Higher is better",J322&gt;=$H322),AND($G322="Lower is better",J322&lt;=$H322)),A_Scoring_Model!$C$14,0),IF($G322="Higher is better",IF(J322&gt;=$H322,A_Scoring_Model!$C$14,IF(J322&lt;$I322,0,A_Scoring_Model!$C$15+(A_Scoring_Model!$C$14-A_Scoring_Model!$C$15)*(J322-$I322)/($H322-$I322))),IF(J322&lt;=$H322,A_Scoring_Model!$C$14,IF(J322&gt;$I322,0,A_Scoring_Model!$C$15+(A_Scoring_Model!$C$14-A_Scoring_Model!$C$15)*($I322-J322)/($I322-$H322))))))</f>
        <v/>
      </c>
      <c r="O322" s="56" t="str">
        <f aca="false">IF(K322="","",IF($H322=$I322,IF(OR(AND($G322="Higher is better",K322&gt;=$H322),AND($G322="Lower is better",K322&lt;=$H322)),A_Scoring_Model!$C$14,0),IF($G322="Higher is better",IF(K322&gt;=$H322,A_Scoring_Model!$C$14,IF(K322&lt;$I322,0,A_Scoring_Model!$C$15+(A_Scoring_Model!$C$14-A_Scoring_Model!$C$15)*(K322-$I322)/($H322-$I322))),IF(K322&lt;=$H322,A_Scoring_Model!$C$14,IF(K322&gt;$I322,0,A_Scoring_Model!$C$15+(A_Scoring_Model!$C$14-A_Scoring_Model!$C$15)*($I322-K322)/($I322-$H322))))))</f>
        <v/>
      </c>
      <c r="P322" s="56" t="str">
        <f aca="false">IF(L322="","",IF($H322=$I322,IF(OR(AND($G322="Higher is better",L322&gt;=$H322),AND($G322="Lower is better",L322&lt;=$H322)),A_Scoring_Model!$C$14,0),IF($G322="Higher is better",IF(L322&gt;=$H322,A_Scoring_Model!$C$14,IF(L322&lt;$I322,0,A_Scoring_Model!$C$15+(A_Scoring_Model!$C$14-A_Scoring_Model!$C$15)*(L322-$I322)/($H322-$I322))),IF(L322&lt;=$H322,A_Scoring_Model!$C$14,IF(L322&gt;$I322,0,A_Scoring_Model!$C$15+(A_Scoring_Model!$C$14-A_Scoring_Model!$C$15)*($I322-L322)/($I322-$H322))))))</f>
        <v/>
      </c>
      <c r="Q322" s="56" t="str">
        <f aca="false">IF(M322="","",IF($H322=$I322,IF(OR(AND($G322="Higher is better",M322&gt;=$H322),AND($G322="Lower is better",M322&lt;=$H322)),A_Scoring_Model!$C$14,0),IF($G322="Higher is better",IF(M322&gt;=$H322,A_Scoring_Model!$C$14,IF(M322&lt;$I322,0,A_Scoring_Model!$C$15+(A_Scoring_Model!$C$14-A_Scoring_Model!$C$15)*(M322-$I322)/($H322-$I322))),IF(M322&lt;=$H322,A_Scoring_Model!$C$14,IF(M322&gt;$I322,0,A_Scoring_Model!$C$15+(A_Scoring_Model!$C$14-A_Scoring_Model!$C$15)*($I322-M322)/($I322-$H322))))))</f>
        <v/>
      </c>
    </row>
    <row r="323" customFormat="false" ht="15" hidden="false" customHeight="false" outlineLevel="0" collapsed="false">
      <c r="A323" s="51" t="str">
        <f aca="false">C_KPI_Benchmark!A323</f>
        <v>6.b-D2-04</v>
      </c>
      <c r="B323" s="52" t="str">
        <f aca="false">C_KPI_Benchmark!D323</f>
        <v>6.b</v>
      </c>
      <c r="C323" s="51" t="str">
        <f aca="false">C_KPI_Benchmark!E323</f>
        <v>Duplicate Detector Agent</v>
      </c>
      <c r="D323" s="52" t="str">
        <f aca="false">C_KPI_Benchmark!F323</f>
        <v>D2</v>
      </c>
      <c r="E323" s="51" t="str">
        <f aca="false">C_KPI_Benchmark!J323</f>
        <v>Uses shared embedding service; cross-project search</v>
      </c>
      <c r="F323" s="52" t="str">
        <f aca="false">C_KPI_Benchmark!K323</f>
        <v>Yes/No</v>
      </c>
      <c r="G323" s="51" t="str">
        <f aca="false">C_KPI_Benchmark!L323</f>
        <v>Higher is better</v>
      </c>
      <c r="H323" s="60" t="n">
        <f aca="false">C_KPI_Benchmark!N323</f>
        <v>1</v>
      </c>
      <c r="I323" s="56" t="n">
        <f aca="false">IF(C_KPI_Benchmark!O323&lt;&gt;"",C_KPI_Benchmark!O323,IF(G323="Higher is better",H323*(1-A_Scoring_Model!$C$16),H323*(1+A_Scoring_Model!$C$16)))</f>
        <v>0.8</v>
      </c>
      <c r="J323" s="61"/>
      <c r="K323" s="61"/>
      <c r="L323" s="61"/>
      <c r="M323" s="61"/>
      <c r="N323" s="56" t="str">
        <f aca="false">IF(J323="","",IF($H323=$I323,IF(OR(AND($G323="Higher is better",J323&gt;=$H323),AND($G323="Lower is better",J323&lt;=$H323)),A_Scoring_Model!$C$14,0),IF($G323="Higher is better",IF(J323&gt;=$H323,A_Scoring_Model!$C$14,IF(J323&lt;$I323,0,A_Scoring_Model!$C$15+(A_Scoring_Model!$C$14-A_Scoring_Model!$C$15)*(J323-$I323)/($H323-$I323))),IF(J323&lt;=$H323,A_Scoring_Model!$C$14,IF(J323&gt;$I323,0,A_Scoring_Model!$C$15+(A_Scoring_Model!$C$14-A_Scoring_Model!$C$15)*($I323-J323)/($I323-$H323))))))</f>
        <v/>
      </c>
      <c r="O323" s="56" t="str">
        <f aca="false">IF(K323="","",IF($H323=$I323,IF(OR(AND($G323="Higher is better",K323&gt;=$H323),AND($G323="Lower is better",K323&lt;=$H323)),A_Scoring_Model!$C$14,0),IF($G323="Higher is better",IF(K323&gt;=$H323,A_Scoring_Model!$C$14,IF(K323&lt;$I323,0,A_Scoring_Model!$C$15+(A_Scoring_Model!$C$14-A_Scoring_Model!$C$15)*(K323-$I323)/($H323-$I323))),IF(K323&lt;=$H323,A_Scoring_Model!$C$14,IF(K323&gt;$I323,0,A_Scoring_Model!$C$15+(A_Scoring_Model!$C$14-A_Scoring_Model!$C$15)*($I323-K323)/($I323-$H323))))))</f>
        <v/>
      </c>
      <c r="P323" s="56" t="str">
        <f aca="false">IF(L323="","",IF($H323=$I323,IF(OR(AND($G323="Higher is better",L323&gt;=$H323),AND($G323="Lower is better",L323&lt;=$H323)),A_Scoring_Model!$C$14,0),IF($G323="Higher is better",IF(L323&gt;=$H323,A_Scoring_Model!$C$14,IF(L323&lt;$I323,0,A_Scoring_Model!$C$15+(A_Scoring_Model!$C$14-A_Scoring_Model!$C$15)*(L323-$I323)/($H323-$I323))),IF(L323&lt;=$H323,A_Scoring_Model!$C$14,IF(L323&gt;$I323,0,A_Scoring_Model!$C$15+(A_Scoring_Model!$C$14-A_Scoring_Model!$C$15)*($I323-L323)/($I323-$H323))))))</f>
        <v/>
      </c>
      <c r="Q323" s="56" t="str">
        <f aca="false">IF(M323="","",IF($H323=$I323,IF(OR(AND($G323="Higher is better",M323&gt;=$H323),AND($G323="Lower is better",M323&lt;=$H323)),A_Scoring_Model!$C$14,0),IF($G323="Higher is better",IF(M323&gt;=$H323,A_Scoring_Model!$C$14,IF(M323&lt;$I323,0,A_Scoring_Model!$C$15+(A_Scoring_Model!$C$14-A_Scoring_Model!$C$15)*(M323-$I323)/($H323-$I323))),IF(M323&lt;=$H323,A_Scoring_Model!$C$14,IF(M323&gt;$I323,0,A_Scoring_Model!$C$15+(A_Scoring_Model!$C$14-A_Scoring_Model!$C$15)*($I323-M323)/($I323-$H323))))))</f>
        <v/>
      </c>
    </row>
    <row r="324" customFormat="false" ht="23.85" hidden="false" customHeight="false" outlineLevel="0" collapsed="false">
      <c r="A324" s="51" t="str">
        <f aca="false">C_KPI_Benchmark!A324</f>
        <v>6.b-D2-05</v>
      </c>
      <c r="B324" s="52" t="str">
        <f aca="false">C_KPI_Benchmark!D324</f>
        <v>6.b</v>
      </c>
      <c r="C324" s="51" t="str">
        <f aca="false">C_KPI_Benchmark!E324</f>
        <v>Duplicate Detector Agent</v>
      </c>
      <c r="D324" s="52" t="str">
        <f aca="false">C_KPI_Benchmark!F324</f>
        <v>D2</v>
      </c>
      <c r="E324" s="51" t="str">
        <f aca="false">C_KPI_Benchmark!J324</f>
        <v>Product lines supported with ≤10% efficacy drop (NVMe SSD, UFS, eMMC/uSD, PSSD)</v>
      </c>
      <c r="F324" s="52" t="str">
        <f aca="false">C_KPI_Benchmark!K324</f>
        <v>count</v>
      </c>
      <c r="G324" s="51" t="str">
        <f aca="false">C_KPI_Benchmark!L324</f>
        <v>Higher is better</v>
      </c>
      <c r="H324" s="62" t="n">
        <f aca="false">C_KPI_Benchmark!N324</f>
        <v>3</v>
      </c>
      <c r="I324" s="63" t="n">
        <f aca="false">IF(C_KPI_Benchmark!O324&lt;&gt;"",C_KPI_Benchmark!O324,IF(G324="Higher is better",H324*(1-A_Scoring_Model!$C$16),H324*(1+A_Scoring_Model!$C$16)))</f>
        <v>2</v>
      </c>
      <c r="J324" s="64"/>
      <c r="K324" s="64"/>
      <c r="L324" s="64"/>
      <c r="M324" s="64"/>
      <c r="N324" s="56" t="str">
        <f aca="false">IF(J324="","",IF($H324=$I324,IF(OR(AND($G324="Higher is better",J324&gt;=$H324),AND($G324="Lower is better",J324&lt;=$H324)),A_Scoring_Model!$C$14,0),IF($G324="Higher is better",IF(J324&gt;=$H324,A_Scoring_Model!$C$14,IF(J324&lt;$I324,0,A_Scoring_Model!$C$15+(A_Scoring_Model!$C$14-A_Scoring_Model!$C$15)*(J324-$I324)/($H324-$I324))),IF(J324&lt;=$H324,A_Scoring_Model!$C$14,IF(J324&gt;$I324,0,A_Scoring_Model!$C$15+(A_Scoring_Model!$C$14-A_Scoring_Model!$C$15)*($I324-J324)/($I324-$H324))))))</f>
        <v/>
      </c>
      <c r="O324" s="56" t="str">
        <f aca="false">IF(K324="","",IF($H324=$I324,IF(OR(AND($G324="Higher is better",K324&gt;=$H324),AND($G324="Lower is better",K324&lt;=$H324)),A_Scoring_Model!$C$14,0),IF($G324="Higher is better",IF(K324&gt;=$H324,A_Scoring_Model!$C$14,IF(K324&lt;$I324,0,A_Scoring_Model!$C$15+(A_Scoring_Model!$C$14-A_Scoring_Model!$C$15)*(K324-$I324)/($H324-$I324))),IF(K324&lt;=$H324,A_Scoring_Model!$C$14,IF(K324&gt;$I324,0,A_Scoring_Model!$C$15+(A_Scoring_Model!$C$14-A_Scoring_Model!$C$15)*($I324-K324)/($I324-$H324))))))</f>
        <v/>
      </c>
      <c r="P324" s="56" t="str">
        <f aca="false">IF(L324="","",IF($H324=$I324,IF(OR(AND($G324="Higher is better",L324&gt;=$H324),AND($G324="Lower is better",L324&lt;=$H324)),A_Scoring_Model!$C$14,0),IF($G324="Higher is better",IF(L324&gt;=$H324,A_Scoring_Model!$C$14,IF(L324&lt;$I324,0,A_Scoring_Model!$C$15+(A_Scoring_Model!$C$14-A_Scoring_Model!$C$15)*(L324-$I324)/($H324-$I324))),IF(L324&lt;=$H324,A_Scoring_Model!$C$14,IF(L324&gt;$I324,0,A_Scoring_Model!$C$15+(A_Scoring_Model!$C$14-A_Scoring_Model!$C$15)*($I324-L324)/($I324-$H324))))))</f>
        <v/>
      </c>
      <c r="Q324" s="56" t="str">
        <f aca="false">IF(M324="","",IF($H324=$I324,IF(OR(AND($G324="Higher is better",M324&gt;=$H324),AND($G324="Lower is better",M324&lt;=$H324)),A_Scoring_Model!$C$14,0),IF($G324="Higher is better",IF(M324&gt;=$H324,A_Scoring_Model!$C$14,IF(M324&lt;$I324,0,A_Scoring_Model!$C$15+(A_Scoring_Model!$C$14-A_Scoring_Model!$C$15)*(M324-$I324)/($H324-$I324))),IF(M324&lt;=$H324,A_Scoring_Model!$C$14,IF(M324&gt;$I324,0,A_Scoring_Model!$C$15+(A_Scoring_Model!$C$14-A_Scoring_Model!$C$15)*($I324-M324)/($I324-$H324))))))</f>
        <v/>
      </c>
    </row>
    <row r="325" customFormat="false" ht="15" hidden="false" customHeight="false" outlineLevel="0" collapsed="false">
      <c r="A325" s="51" t="str">
        <f aca="false">C_KPI_Benchmark!A325</f>
        <v>6.b-D2-06</v>
      </c>
      <c r="B325" s="52" t="str">
        <f aca="false">C_KPI_Benchmark!D325</f>
        <v>6.b</v>
      </c>
      <c r="C325" s="51" t="str">
        <f aca="false">C_KPI_Benchmark!E325</f>
        <v>Duplicate Detector Agent</v>
      </c>
      <c r="D325" s="52" t="str">
        <f aca="false">C_KPI_Benchmark!F325</f>
        <v>D2</v>
      </c>
      <c r="E325" s="51" t="str">
        <f aca="false">C_KPI_Benchmark!J325</f>
        <v>Uses Zion shared services instead of re-implementing them</v>
      </c>
      <c r="F325" s="52" t="str">
        <f aca="false">C_KPI_Benchmark!K325</f>
        <v>Yes/No</v>
      </c>
      <c r="G325" s="51" t="str">
        <f aca="false">C_KPI_Benchmark!L325</f>
        <v>Higher is better</v>
      </c>
      <c r="H325" s="60" t="n">
        <f aca="false">C_KPI_Benchmark!N325</f>
        <v>1</v>
      </c>
      <c r="I325" s="56" t="n">
        <f aca="false">IF(C_KPI_Benchmark!O325&lt;&gt;"",C_KPI_Benchmark!O325,IF(G325="Higher is better",H325*(1-A_Scoring_Model!$C$16),H325*(1+A_Scoring_Model!$C$16)))</f>
        <v>0.8</v>
      </c>
      <c r="J325" s="61"/>
      <c r="K325" s="61"/>
      <c r="L325" s="61"/>
      <c r="M325" s="61"/>
      <c r="N325" s="56" t="str">
        <f aca="false">IF(J325="","",IF($H325=$I325,IF(OR(AND($G325="Higher is better",J325&gt;=$H325),AND($G325="Lower is better",J325&lt;=$H325)),A_Scoring_Model!$C$14,0),IF($G325="Higher is better",IF(J325&gt;=$H325,A_Scoring_Model!$C$14,IF(J325&lt;$I325,0,A_Scoring_Model!$C$15+(A_Scoring_Model!$C$14-A_Scoring_Model!$C$15)*(J325-$I325)/($H325-$I325))),IF(J325&lt;=$H325,A_Scoring_Model!$C$14,IF(J325&gt;$I325,0,A_Scoring_Model!$C$15+(A_Scoring_Model!$C$14-A_Scoring_Model!$C$15)*($I325-J325)/($I325-$H325))))))</f>
        <v/>
      </c>
      <c r="O325" s="56" t="str">
        <f aca="false">IF(K325="","",IF($H325=$I325,IF(OR(AND($G325="Higher is better",K325&gt;=$H325),AND($G325="Lower is better",K325&lt;=$H325)),A_Scoring_Model!$C$14,0),IF($G325="Higher is better",IF(K325&gt;=$H325,A_Scoring_Model!$C$14,IF(K325&lt;$I325,0,A_Scoring_Model!$C$15+(A_Scoring_Model!$C$14-A_Scoring_Model!$C$15)*(K325-$I325)/($H325-$I325))),IF(K325&lt;=$H325,A_Scoring_Model!$C$14,IF(K325&gt;$I325,0,A_Scoring_Model!$C$15+(A_Scoring_Model!$C$14-A_Scoring_Model!$C$15)*($I325-K325)/($I325-$H325))))))</f>
        <v/>
      </c>
      <c r="P325" s="56" t="str">
        <f aca="false">IF(L325="","",IF($H325=$I325,IF(OR(AND($G325="Higher is better",L325&gt;=$H325),AND($G325="Lower is better",L325&lt;=$H325)),A_Scoring_Model!$C$14,0),IF($G325="Higher is better",IF(L325&gt;=$H325,A_Scoring_Model!$C$14,IF(L325&lt;$I325,0,A_Scoring_Model!$C$15+(A_Scoring_Model!$C$14-A_Scoring_Model!$C$15)*(L325-$I325)/($H325-$I325))),IF(L325&lt;=$H325,A_Scoring_Model!$C$14,IF(L325&gt;$I325,0,A_Scoring_Model!$C$15+(A_Scoring_Model!$C$14-A_Scoring_Model!$C$15)*($I325-L325)/($I325-$H325))))))</f>
        <v/>
      </c>
      <c r="Q325" s="56" t="str">
        <f aca="false">IF(M325="","",IF($H325=$I325,IF(OR(AND($G325="Higher is better",M325&gt;=$H325),AND($G325="Lower is better",M325&lt;=$H325)),A_Scoring_Model!$C$14,0),IF($G325="Higher is better",IF(M325&gt;=$H325,A_Scoring_Model!$C$14,IF(M325&lt;$I325,0,A_Scoring_Model!$C$15+(A_Scoring_Model!$C$14-A_Scoring_Model!$C$15)*(M325-$I325)/($H325-$I325))),IF(M325&lt;=$H325,A_Scoring_Model!$C$14,IF(M325&gt;$I325,0,A_Scoring_Model!$C$15+(A_Scoring_Model!$C$14-A_Scoring_Model!$C$15)*($I325-M325)/($I325-$H325))))))</f>
        <v/>
      </c>
    </row>
    <row r="326" customFormat="false" ht="15" hidden="false" customHeight="false" outlineLevel="0" collapsed="false">
      <c r="A326" s="51" t="str">
        <f aca="false">C_KPI_Benchmark!A326</f>
        <v>6.b-D3-07</v>
      </c>
      <c r="B326" s="52" t="str">
        <f aca="false">C_KPI_Benchmark!D326</f>
        <v>6.b</v>
      </c>
      <c r="C326" s="51" t="str">
        <f aca="false">C_KPI_Benchmark!E326</f>
        <v>Duplicate Detector Agent</v>
      </c>
      <c r="D326" s="52" t="str">
        <f aca="false">C_KPI_Benchmark!F326</f>
        <v>D3</v>
      </c>
      <c r="E326" s="51" t="str">
        <f aca="false">C_KPI_Benchmark!J326</f>
        <v>p95 search latency over 1M defects</v>
      </c>
      <c r="F326" s="52" t="str">
        <f aca="false">C_KPI_Benchmark!K326</f>
        <v>ms</v>
      </c>
      <c r="G326" s="51" t="str">
        <f aca="false">C_KPI_Benchmark!L326</f>
        <v>Lower is better</v>
      </c>
      <c r="H326" s="62" t="n">
        <f aca="false">C_KPI_Benchmark!N326</f>
        <v>500</v>
      </c>
      <c r="I326" s="63" t="n">
        <f aca="false">IF(C_KPI_Benchmark!O326&lt;&gt;"",C_KPI_Benchmark!O326,IF(G326="Higher is better",H326*(1-A_Scoring_Model!$C$16),H326*(1+A_Scoring_Model!$C$16)))</f>
        <v>600</v>
      </c>
      <c r="J326" s="64"/>
      <c r="K326" s="64"/>
      <c r="L326" s="64"/>
      <c r="M326" s="64"/>
      <c r="N326" s="56" t="str">
        <f aca="false">IF(J326="","",IF($H326=$I326,IF(OR(AND($G326="Higher is better",J326&gt;=$H326),AND($G326="Lower is better",J326&lt;=$H326)),A_Scoring_Model!$C$14,0),IF($G326="Higher is better",IF(J326&gt;=$H326,A_Scoring_Model!$C$14,IF(J326&lt;$I326,0,A_Scoring_Model!$C$15+(A_Scoring_Model!$C$14-A_Scoring_Model!$C$15)*(J326-$I326)/($H326-$I326))),IF(J326&lt;=$H326,A_Scoring_Model!$C$14,IF(J326&gt;$I326,0,A_Scoring_Model!$C$15+(A_Scoring_Model!$C$14-A_Scoring_Model!$C$15)*($I326-J326)/($I326-$H326))))))</f>
        <v/>
      </c>
      <c r="O326" s="56" t="str">
        <f aca="false">IF(K326="","",IF($H326=$I326,IF(OR(AND($G326="Higher is better",K326&gt;=$H326),AND($G326="Lower is better",K326&lt;=$H326)),A_Scoring_Model!$C$14,0),IF($G326="Higher is better",IF(K326&gt;=$H326,A_Scoring_Model!$C$14,IF(K326&lt;$I326,0,A_Scoring_Model!$C$15+(A_Scoring_Model!$C$14-A_Scoring_Model!$C$15)*(K326-$I326)/($H326-$I326))),IF(K326&lt;=$H326,A_Scoring_Model!$C$14,IF(K326&gt;$I326,0,A_Scoring_Model!$C$15+(A_Scoring_Model!$C$14-A_Scoring_Model!$C$15)*($I326-K326)/($I326-$H326))))))</f>
        <v/>
      </c>
      <c r="P326" s="56" t="str">
        <f aca="false">IF(L326="","",IF($H326=$I326,IF(OR(AND($G326="Higher is better",L326&gt;=$H326),AND($G326="Lower is better",L326&lt;=$H326)),A_Scoring_Model!$C$14,0),IF($G326="Higher is better",IF(L326&gt;=$H326,A_Scoring_Model!$C$14,IF(L326&lt;$I326,0,A_Scoring_Model!$C$15+(A_Scoring_Model!$C$14-A_Scoring_Model!$C$15)*(L326-$I326)/($H326-$I326))),IF(L326&lt;=$H326,A_Scoring_Model!$C$14,IF(L326&gt;$I326,0,A_Scoring_Model!$C$15+(A_Scoring_Model!$C$14-A_Scoring_Model!$C$15)*($I326-L326)/($I326-$H326))))))</f>
        <v/>
      </c>
      <c r="Q326" s="56" t="str">
        <f aca="false">IF(M326="","",IF($H326=$I326,IF(OR(AND($G326="Higher is better",M326&gt;=$H326),AND($G326="Lower is better",M326&lt;=$H326)),A_Scoring_Model!$C$14,0),IF($G326="Higher is better",IF(M326&gt;=$H326,A_Scoring_Model!$C$14,IF(M326&lt;$I326,0,A_Scoring_Model!$C$15+(A_Scoring_Model!$C$14-A_Scoring_Model!$C$15)*(M326-$I326)/($H326-$I326))),IF(M326&lt;=$H326,A_Scoring_Model!$C$14,IF(M326&gt;$I326,0,A_Scoring_Model!$C$15+(A_Scoring_Model!$C$14-A_Scoring_Model!$C$15)*($I326-M326)/($I326-$H326))))))</f>
        <v/>
      </c>
    </row>
    <row r="327" customFormat="false" ht="15" hidden="false" customHeight="false" outlineLevel="0" collapsed="false">
      <c r="A327" s="51" t="str">
        <f aca="false">C_KPI_Benchmark!A327</f>
        <v>6.b-D3-08</v>
      </c>
      <c r="B327" s="52" t="str">
        <f aca="false">C_KPI_Benchmark!D327</f>
        <v>6.b</v>
      </c>
      <c r="C327" s="51" t="str">
        <f aca="false">C_KPI_Benchmark!E327</f>
        <v>Duplicate Detector Agent</v>
      </c>
      <c r="D327" s="52" t="str">
        <f aca="false">C_KPI_Benchmark!F327</f>
        <v>D3</v>
      </c>
      <c r="E327" s="51" t="str">
        <f aca="false">C_KPI_Benchmark!J327</f>
        <v>Latency degradation at 10× load</v>
      </c>
      <c r="F327" s="52" t="str">
        <f aca="false">C_KPI_Benchmark!K327</f>
        <v>%</v>
      </c>
      <c r="G327" s="51" t="str">
        <f aca="false">C_KPI_Benchmark!L327</f>
        <v>Lower is better</v>
      </c>
      <c r="H327" s="53" t="n">
        <f aca="false">C_KPI_Benchmark!N327</f>
        <v>0.2</v>
      </c>
      <c r="I327" s="54" t="n">
        <f aca="false">IF(C_KPI_Benchmark!O327&lt;&gt;"",C_KPI_Benchmark!O327,IF(G327="Higher is better",H327*(1-A_Scoring_Model!$C$16),H327*(1+A_Scoring_Model!$C$16)))</f>
        <v>0.4</v>
      </c>
      <c r="J327" s="55"/>
      <c r="K327" s="55"/>
      <c r="L327" s="55"/>
      <c r="M327" s="55"/>
      <c r="N327" s="56" t="str">
        <f aca="false">IF(J327="","",IF($H327=$I327,IF(OR(AND($G327="Higher is better",J327&gt;=$H327),AND($G327="Lower is better",J327&lt;=$H327)),A_Scoring_Model!$C$14,0),IF($G327="Higher is better",IF(J327&gt;=$H327,A_Scoring_Model!$C$14,IF(J327&lt;$I327,0,A_Scoring_Model!$C$15+(A_Scoring_Model!$C$14-A_Scoring_Model!$C$15)*(J327-$I327)/($H327-$I327))),IF(J327&lt;=$H327,A_Scoring_Model!$C$14,IF(J327&gt;$I327,0,A_Scoring_Model!$C$15+(A_Scoring_Model!$C$14-A_Scoring_Model!$C$15)*($I327-J327)/($I327-$H327))))))</f>
        <v/>
      </c>
      <c r="O327" s="56" t="str">
        <f aca="false">IF(K327="","",IF($H327=$I327,IF(OR(AND($G327="Higher is better",K327&gt;=$H327),AND($G327="Lower is better",K327&lt;=$H327)),A_Scoring_Model!$C$14,0),IF($G327="Higher is better",IF(K327&gt;=$H327,A_Scoring_Model!$C$14,IF(K327&lt;$I327,0,A_Scoring_Model!$C$15+(A_Scoring_Model!$C$14-A_Scoring_Model!$C$15)*(K327-$I327)/($H327-$I327))),IF(K327&lt;=$H327,A_Scoring_Model!$C$14,IF(K327&gt;$I327,0,A_Scoring_Model!$C$15+(A_Scoring_Model!$C$14-A_Scoring_Model!$C$15)*($I327-K327)/($I327-$H327))))))</f>
        <v/>
      </c>
      <c r="P327" s="56" t="str">
        <f aca="false">IF(L327="","",IF($H327=$I327,IF(OR(AND($G327="Higher is better",L327&gt;=$H327),AND($G327="Lower is better",L327&lt;=$H327)),A_Scoring_Model!$C$14,0),IF($G327="Higher is better",IF(L327&gt;=$H327,A_Scoring_Model!$C$14,IF(L327&lt;$I327,0,A_Scoring_Model!$C$15+(A_Scoring_Model!$C$14-A_Scoring_Model!$C$15)*(L327-$I327)/($H327-$I327))),IF(L327&lt;=$H327,A_Scoring_Model!$C$14,IF(L327&gt;$I327,0,A_Scoring_Model!$C$15+(A_Scoring_Model!$C$14-A_Scoring_Model!$C$15)*($I327-L327)/($I327-$H327))))))</f>
        <v/>
      </c>
      <c r="Q327" s="56" t="str">
        <f aca="false">IF(M327="","",IF($H327=$I327,IF(OR(AND($G327="Higher is better",M327&gt;=$H327),AND($G327="Lower is better",M327&lt;=$H327)),A_Scoring_Model!$C$14,0),IF($G327="Higher is better",IF(M327&gt;=$H327,A_Scoring_Model!$C$14,IF(M327&lt;$I327,0,A_Scoring_Model!$C$15+(A_Scoring_Model!$C$14-A_Scoring_Model!$C$15)*(M327-$I327)/($H327-$I327))),IF(M327&lt;=$H327,A_Scoring_Model!$C$14,IF(M327&gt;$I327,0,A_Scoring_Model!$C$15+(A_Scoring_Model!$C$14-A_Scoring_Model!$C$15)*($I327-M327)/($I327-$H327))))))</f>
        <v/>
      </c>
    </row>
    <row r="328" customFormat="false" ht="15" hidden="false" customHeight="false" outlineLevel="0" collapsed="false">
      <c r="A328" s="51" t="str">
        <f aca="false">C_KPI_Benchmark!A328</f>
        <v>6.b-D4-09</v>
      </c>
      <c r="B328" s="52" t="str">
        <f aca="false">C_KPI_Benchmark!D328</f>
        <v>6.b</v>
      </c>
      <c r="C328" s="51" t="str">
        <f aca="false">C_KPI_Benchmark!E328</f>
        <v>Duplicate Detector Agent</v>
      </c>
      <c r="D328" s="52" t="str">
        <f aca="false">C_KPI_Benchmark!F328</f>
        <v>D4</v>
      </c>
      <c r="E328" s="51" t="str">
        <f aca="false">C_KPI_Benchmark!J328</f>
        <v>Auto-closed defects (suggest only)</v>
      </c>
      <c r="F328" s="52" t="str">
        <f aca="false">C_KPI_Benchmark!K328</f>
        <v>count</v>
      </c>
      <c r="G328" s="51" t="str">
        <f aca="false">C_KPI_Benchmark!L328</f>
        <v>Lower is better</v>
      </c>
      <c r="H328" s="62" t="n">
        <f aca="false">C_KPI_Benchmark!N328</f>
        <v>0</v>
      </c>
      <c r="I328" s="63" t="n">
        <f aca="false">IF(C_KPI_Benchmark!O328&lt;&gt;"",C_KPI_Benchmark!O328,IF(G328="Higher is better",H328*(1-A_Scoring_Model!$C$16),H328*(1+A_Scoring_Model!$C$16)))</f>
        <v>0</v>
      </c>
      <c r="J328" s="64"/>
      <c r="K328" s="64"/>
      <c r="L328" s="64"/>
      <c r="M328" s="64"/>
      <c r="N328" s="56" t="str">
        <f aca="false">IF(J328="","",IF($H328=$I328,IF(OR(AND($G328="Higher is better",J328&gt;=$H328),AND($G328="Lower is better",J328&lt;=$H328)),A_Scoring_Model!$C$14,0),IF($G328="Higher is better",IF(J328&gt;=$H328,A_Scoring_Model!$C$14,IF(J328&lt;$I328,0,A_Scoring_Model!$C$15+(A_Scoring_Model!$C$14-A_Scoring_Model!$C$15)*(J328-$I328)/($H328-$I328))),IF(J328&lt;=$H328,A_Scoring_Model!$C$14,IF(J328&gt;$I328,0,A_Scoring_Model!$C$15+(A_Scoring_Model!$C$14-A_Scoring_Model!$C$15)*($I328-J328)/($I328-$H328))))))</f>
        <v/>
      </c>
      <c r="O328" s="56" t="str">
        <f aca="false">IF(K328="","",IF($H328=$I328,IF(OR(AND($G328="Higher is better",K328&gt;=$H328),AND($G328="Lower is better",K328&lt;=$H328)),A_Scoring_Model!$C$14,0),IF($G328="Higher is better",IF(K328&gt;=$H328,A_Scoring_Model!$C$14,IF(K328&lt;$I328,0,A_Scoring_Model!$C$15+(A_Scoring_Model!$C$14-A_Scoring_Model!$C$15)*(K328-$I328)/($H328-$I328))),IF(K328&lt;=$H328,A_Scoring_Model!$C$14,IF(K328&gt;$I328,0,A_Scoring_Model!$C$15+(A_Scoring_Model!$C$14-A_Scoring_Model!$C$15)*($I328-K328)/($I328-$H328))))))</f>
        <v/>
      </c>
      <c r="P328" s="56" t="str">
        <f aca="false">IF(L328="","",IF($H328=$I328,IF(OR(AND($G328="Higher is better",L328&gt;=$H328),AND($G328="Lower is better",L328&lt;=$H328)),A_Scoring_Model!$C$14,0),IF($G328="Higher is better",IF(L328&gt;=$H328,A_Scoring_Model!$C$14,IF(L328&lt;$I328,0,A_Scoring_Model!$C$15+(A_Scoring_Model!$C$14-A_Scoring_Model!$C$15)*(L328-$I328)/($H328-$I328))),IF(L328&lt;=$H328,A_Scoring_Model!$C$14,IF(L328&gt;$I328,0,A_Scoring_Model!$C$15+(A_Scoring_Model!$C$14-A_Scoring_Model!$C$15)*($I328-L328)/($I328-$H328))))))</f>
        <v/>
      </c>
      <c r="Q328" s="56" t="str">
        <f aca="false">IF(M328="","",IF($H328=$I328,IF(OR(AND($G328="Higher is better",M328&gt;=$H328),AND($G328="Lower is better",M328&lt;=$H328)),A_Scoring_Model!$C$14,0),IF($G328="Higher is better",IF(M328&gt;=$H328,A_Scoring_Model!$C$14,IF(M328&lt;$I328,0,A_Scoring_Model!$C$15+(A_Scoring_Model!$C$14-A_Scoring_Model!$C$15)*(M328-$I328)/($H328-$I328))),IF(M328&lt;=$H328,A_Scoring_Model!$C$14,IF(M328&gt;$I328,0,A_Scoring_Model!$C$15+(A_Scoring_Model!$C$14-A_Scoring_Model!$C$15)*($I328-M328)/($I328-$H328))))))</f>
        <v/>
      </c>
    </row>
    <row r="329" customFormat="false" ht="15" hidden="false" customHeight="false" outlineLevel="0" collapsed="false">
      <c r="A329" s="51" t="str">
        <f aca="false">C_KPI_Benchmark!A329</f>
        <v>6.b-D4-10</v>
      </c>
      <c r="B329" s="52" t="str">
        <f aca="false">C_KPI_Benchmark!D329</f>
        <v>6.b</v>
      </c>
      <c r="C329" s="51" t="str">
        <f aca="false">C_KPI_Benchmark!E329</f>
        <v>Duplicate Detector Agent</v>
      </c>
      <c r="D329" s="52" t="str">
        <f aca="false">C_KPI_Benchmark!F329</f>
        <v>D4</v>
      </c>
      <c r="E329" s="51" t="str">
        <f aca="false">C_KPI_Benchmark!J329</f>
        <v>Service availability</v>
      </c>
      <c r="F329" s="52" t="str">
        <f aca="false">C_KPI_Benchmark!K329</f>
        <v>%</v>
      </c>
      <c r="G329" s="51" t="str">
        <f aca="false">C_KPI_Benchmark!L329</f>
        <v>Higher is better</v>
      </c>
      <c r="H329" s="53" t="n">
        <f aca="false">C_KPI_Benchmark!N329</f>
        <v>0.995</v>
      </c>
      <c r="I329" s="54" t="n">
        <f aca="false">IF(C_KPI_Benchmark!O329&lt;&gt;"",C_KPI_Benchmark!O329,IF(G329="Higher is better",H329*(1-A_Scoring_Model!$C$16),H329*(1+A_Scoring_Model!$C$16)))</f>
        <v>0.99</v>
      </c>
      <c r="J329" s="55"/>
      <c r="K329" s="55"/>
      <c r="L329" s="55"/>
      <c r="M329" s="55"/>
      <c r="N329" s="56" t="str">
        <f aca="false">IF(J329="","",IF($H329=$I329,IF(OR(AND($G329="Higher is better",J329&gt;=$H329),AND($G329="Lower is better",J329&lt;=$H329)),A_Scoring_Model!$C$14,0),IF($G329="Higher is better",IF(J329&gt;=$H329,A_Scoring_Model!$C$14,IF(J329&lt;$I329,0,A_Scoring_Model!$C$15+(A_Scoring_Model!$C$14-A_Scoring_Model!$C$15)*(J329-$I329)/($H329-$I329))),IF(J329&lt;=$H329,A_Scoring_Model!$C$14,IF(J329&gt;$I329,0,A_Scoring_Model!$C$15+(A_Scoring_Model!$C$14-A_Scoring_Model!$C$15)*($I329-J329)/($I329-$H329))))))</f>
        <v/>
      </c>
      <c r="O329" s="56" t="str">
        <f aca="false">IF(K329="","",IF($H329=$I329,IF(OR(AND($G329="Higher is better",K329&gt;=$H329),AND($G329="Lower is better",K329&lt;=$H329)),A_Scoring_Model!$C$14,0),IF($G329="Higher is better",IF(K329&gt;=$H329,A_Scoring_Model!$C$14,IF(K329&lt;$I329,0,A_Scoring_Model!$C$15+(A_Scoring_Model!$C$14-A_Scoring_Model!$C$15)*(K329-$I329)/($H329-$I329))),IF(K329&lt;=$H329,A_Scoring_Model!$C$14,IF(K329&gt;$I329,0,A_Scoring_Model!$C$15+(A_Scoring_Model!$C$14-A_Scoring_Model!$C$15)*($I329-K329)/($I329-$H329))))))</f>
        <v/>
      </c>
      <c r="P329" s="56" t="str">
        <f aca="false">IF(L329="","",IF($H329=$I329,IF(OR(AND($G329="Higher is better",L329&gt;=$H329),AND($G329="Lower is better",L329&lt;=$H329)),A_Scoring_Model!$C$14,0),IF($G329="Higher is better",IF(L329&gt;=$H329,A_Scoring_Model!$C$14,IF(L329&lt;$I329,0,A_Scoring_Model!$C$15+(A_Scoring_Model!$C$14-A_Scoring_Model!$C$15)*(L329-$I329)/($H329-$I329))),IF(L329&lt;=$H329,A_Scoring_Model!$C$14,IF(L329&gt;$I329,0,A_Scoring_Model!$C$15+(A_Scoring_Model!$C$14-A_Scoring_Model!$C$15)*($I329-L329)/($I329-$H329))))))</f>
        <v/>
      </c>
      <c r="Q329" s="56" t="str">
        <f aca="false">IF(M329="","",IF($H329=$I329,IF(OR(AND($G329="Higher is better",M329&gt;=$H329),AND($G329="Lower is better",M329&lt;=$H329)),A_Scoring_Model!$C$14,0),IF($G329="Higher is better",IF(M329&gt;=$H329,A_Scoring_Model!$C$14,IF(M329&lt;$I329,0,A_Scoring_Model!$C$15+(A_Scoring_Model!$C$14-A_Scoring_Model!$C$15)*(M329-$I329)/($H329-$I329))),IF(M329&lt;=$H329,A_Scoring_Model!$C$14,IF(M329&gt;$I329,0,A_Scoring_Model!$C$15+(A_Scoring_Model!$C$14-A_Scoring_Model!$C$15)*($I329-M329)/($I329-$H329))))))</f>
        <v/>
      </c>
    </row>
    <row r="330" customFormat="false" ht="15" hidden="false" customHeight="false" outlineLevel="0" collapsed="false">
      <c r="A330" s="51" t="str">
        <f aca="false">C_KPI_Benchmark!A330</f>
        <v>6.b-D5-11</v>
      </c>
      <c r="B330" s="52" t="str">
        <f aca="false">C_KPI_Benchmark!D330</f>
        <v>6.b</v>
      </c>
      <c r="C330" s="51" t="str">
        <f aca="false">C_KPI_Benchmark!E330</f>
        <v>Duplicate Detector Agent</v>
      </c>
      <c r="D330" s="52" t="str">
        <f aca="false">C_KPI_Benchmark!F330</f>
        <v>D5</v>
      </c>
      <c r="E330" s="51" t="str">
        <f aca="false">C_KPI_Benchmark!J330</f>
        <v>Duplicate defects filed reduction</v>
      </c>
      <c r="F330" s="52" t="str">
        <f aca="false">C_KPI_Benchmark!K330</f>
        <v>%</v>
      </c>
      <c r="G330" s="51" t="str">
        <f aca="false">C_KPI_Benchmark!L330</f>
        <v>Higher is better</v>
      </c>
      <c r="H330" s="53" t="n">
        <f aca="false">C_KPI_Benchmark!N330</f>
        <v>0.5</v>
      </c>
      <c r="I330" s="54" t="n">
        <f aca="false">IF(C_KPI_Benchmark!O330&lt;&gt;"",C_KPI_Benchmark!O330,IF(G330="Higher is better",H330*(1-A_Scoring_Model!$C$16),H330*(1+A_Scoring_Model!$C$16)))</f>
        <v>0.4</v>
      </c>
      <c r="J330" s="55"/>
      <c r="K330" s="55"/>
      <c r="L330" s="55"/>
      <c r="M330" s="55"/>
      <c r="N330" s="56" t="str">
        <f aca="false">IF(J330="","",IF($H330=$I330,IF(OR(AND($G330="Higher is better",J330&gt;=$H330),AND($G330="Lower is better",J330&lt;=$H330)),A_Scoring_Model!$C$14,0),IF($G330="Higher is better",IF(J330&gt;=$H330,A_Scoring_Model!$C$14,IF(J330&lt;$I330,0,A_Scoring_Model!$C$15+(A_Scoring_Model!$C$14-A_Scoring_Model!$C$15)*(J330-$I330)/($H330-$I330))),IF(J330&lt;=$H330,A_Scoring_Model!$C$14,IF(J330&gt;$I330,0,A_Scoring_Model!$C$15+(A_Scoring_Model!$C$14-A_Scoring_Model!$C$15)*($I330-J330)/($I330-$H330))))))</f>
        <v/>
      </c>
      <c r="O330" s="56" t="str">
        <f aca="false">IF(K330="","",IF($H330=$I330,IF(OR(AND($G330="Higher is better",K330&gt;=$H330),AND($G330="Lower is better",K330&lt;=$H330)),A_Scoring_Model!$C$14,0),IF($G330="Higher is better",IF(K330&gt;=$H330,A_Scoring_Model!$C$14,IF(K330&lt;$I330,0,A_Scoring_Model!$C$15+(A_Scoring_Model!$C$14-A_Scoring_Model!$C$15)*(K330-$I330)/($H330-$I330))),IF(K330&lt;=$H330,A_Scoring_Model!$C$14,IF(K330&gt;$I330,0,A_Scoring_Model!$C$15+(A_Scoring_Model!$C$14-A_Scoring_Model!$C$15)*($I330-K330)/($I330-$H330))))))</f>
        <v/>
      </c>
      <c r="P330" s="56" t="str">
        <f aca="false">IF(L330="","",IF($H330=$I330,IF(OR(AND($G330="Higher is better",L330&gt;=$H330),AND($G330="Lower is better",L330&lt;=$H330)),A_Scoring_Model!$C$14,0),IF($G330="Higher is better",IF(L330&gt;=$H330,A_Scoring_Model!$C$14,IF(L330&lt;$I330,0,A_Scoring_Model!$C$15+(A_Scoring_Model!$C$14-A_Scoring_Model!$C$15)*(L330-$I330)/($H330-$I330))),IF(L330&lt;=$H330,A_Scoring_Model!$C$14,IF(L330&gt;$I330,0,A_Scoring_Model!$C$15+(A_Scoring_Model!$C$14-A_Scoring_Model!$C$15)*($I330-L330)/($I330-$H330))))))</f>
        <v/>
      </c>
      <c r="Q330" s="56" t="str">
        <f aca="false">IF(M330="","",IF($H330=$I330,IF(OR(AND($G330="Higher is better",M330&gt;=$H330),AND($G330="Lower is better",M330&lt;=$H330)),A_Scoring_Model!$C$14,0),IF($G330="Higher is better",IF(M330&gt;=$H330,A_Scoring_Model!$C$14,IF(M330&lt;$I330,0,A_Scoring_Model!$C$15+(A_Scoring_Model!$C$14-A_Scoring_Model!$C$15)*(M330-$I330)/($H330-$I330))),IF(M330&lt;=$H330,A_Scoring_Model!$C$14,IF(M330&gt;$I330,0,A_Scoring_Model!$C$15+(A_Scoring_Model!$C$14-A_Scoring_Model!$C$15)*($I330-M330)/($I330-$H330))))))</f>
        <v/>
      </c>
    </row>
    <row r="331" customFormat="false" ht="15" hidden="false" customHeight="false" outlineLevel="0" collapsed="false">
      <c r="A331" s="51" t="str">
        <f aca="false">C_KPI_Benchmark!A331</f>
        <v>6.b-D6-12</v>
      </c>
      <c r="B331" s="52" t="str">
        <f aca="false">C_KPI_Benchmark!D331</f>
        <v>6.b</v>
      </c>
      <c r="C331" s="51" t="str">
        <f aca="false">C_KPI_Benchmark!E331</f>
        <v>Duplicate Detector Agent</v>
      </c>
      <c r="D331" s="52" t="str">
        <f aca="false">C_KPI_Benchmark!F331</f>
        <v>D6</v>
      </c>
      <c r="E331" s="51" t="str">
        <f aca="false">C_KPI_Benchmark!J331</f>
        <v>Solution code test coverage</v>
      </c>
      <c r="F331" s="52" t="str">
        <f aca="false">C_KPI_Benchmark!K331</f>
        <v>%</v>
      </c>
      <c r="G331" s="51" t="str">
        <f aca="false">C_KPI_Benchmark!L331</f>
        <v>Higher is better</v>
      </c>
      <c r="H331" s="53" t="n">
        <f aca="false">C_KPI_Benchmark!N331</f>
        <v>0.8</v>
      </c>
      <c r="I331" s="54" t="n">
        <f aca="false">IF(C_KPI_Benchmark!O331&lt;&gt;"",C_KPI_Benchmark!O331,IF(G331="Higher is better",H331*(1-A_Scoring_Model!$C$16),H331*(1+A_Scoring_Model!$C$16)))</f>
        <v>0.6</v>
      </c>
      <c r="J331" s="55"/>
      <c r="K331" s="55"/>
      <c r="L331" s="55"/>
      <c r="M331" s="55"/>
      <c r="N331" s="56" t="str">
        <f aca="false">IF(J331="","",IF($H331=$I331,IF(OR(AND($G331="Higher is better",J331&gt;=$H331),AND($G331="Lower is better",J331&lt;=$H331)),A_Scoring_Model!$C$14,0),IF($G331="Higher is better",IF(J331&gt;=$H331,A_Scoring_Model!$C$14,IF(J331&lt;$I331,0,A_Scoring_Model!$C$15+(A_Scoring_Model!$C$14-A_Scoring_Model!$C$15)*(J331-$I331)/($H331-$I331))),IF(J331&lt;=$H331,A_Scoring_Model!$C$14,IF(J331&gt;$I331,0,A_Scoring_Model!$C$15+(A_Scoring_Model!$C$14-A_Scoring_Model!$C$15)*($I331-J331)/($I331-$H331))))))</f>
        <v/>
      </c>
      <c r="O331" s="56" t="str">
        <f aca="false">IF(K331="","",IF($H331=$I331,IF(OR(AND($G331="Higher is better",K331&gt;=$H331),AND($G331="Lower is better",K331&lt;=$H331)),A_Scoring_Model!$C$14,0),IF($G331="Higher is better",IF(K331&gt;=$H331,A_Scoring_Model!$C$14,IF(K331&lt;$I331,0,A_Scoring_Model!$C$15+(A_Scoring_Model!$C$14-A_Scoring_Model!$C$15)*(K331-$I331)/($H331-$I331))),IF(K331&lt;=$H331,A_Scoring_Model!$C$14,IF(K331&gt;$I331,0,A_Scoring_Model!$C$15+(A_Scoring_Model!$C$14-A_Scoring_Model!$C$15)*($I331-K331)/($I331-$H331))))))</f>
        <v/>
      </c>
      <c r="P331" s="56" t="str">
        <f aca="false">IF(L331="","",IF($H331=$I331,IF(OR(AND($G331="Higher is better",L331&gt;=$H331),AND($G331="Lower is better",L331&lt;=$H331)),A_Scoring_Model!$C$14,0),IF($G331="Higher is better",IF(L331&gt;=$H331,A_Scoring_Model!$C$14,IF(L331&lt;$I331,0,A_Scoring_Model!$C$15+(A_Scoring_Model!$C$14-A_Scoring_Model!$C$15)*(L331-$I331)/($H331-$I331))),IF(L331&lt;=$H331,A_Scoring_Model!$C$14,IF(L331&gt;$I331,0,A_Scoring_Model!$C$15+(A_Scoring_Model!$C$14-A_Scoring_Model!$C$15)*($I331-L331)/($I331-$H331))))))</f>
        <v/>
      </c>
      <c r="Q331" s="56" t="str">
        <f aca="false">IF(M331="","",IF($H331=$I331,IF(OR(AND($G331="Higher is better",M331&gt;=$H331),AND($G331="Lower is better",M331&lt;=$H331)),A_Scoring_Model!$C$14,0),IF($G331="Higher is better",IF(M331&gt;=$H331,A_Scoring_Model!$C$14,IF(M331&lt;$I331,0,A_Scoring_Model!$C$15+(A_Scoring_Model!$C$14-A_Scoring_Model!$C$15)*(M331-$I331)/($H331-$I331))),IF(M331&lt;=$H331,A_Scoring_Model!$C$14,IF(M331&gt;$I331,0,A_Scoring_Model!$C$15+(A_Scoring_Model!$C$14-A_Scoring_Model!$C$15)*($I331-M331)/($I331-$H331))))))</f>
        <v/>
      </c>
    </row>
    <row r="332" customFormat="false" ht="15" hidden="false" customHeight="false" outlineLevel="0" collapsed="false">
      <c r="A332" s="51" t="str">
        <f aca="false">C_KPI_Benchmark!A332</f>
        <v>6.b-D6-13</v>
      </c>
      <c r="B332" s="52" t="str">
        <f aca="false">C_KPI_Benchmark!D332</f>
        <v>6.b</v>
      </c>
      <c r="C332" s="51" t="str">
        <f aca="false">C_KPI_Benchmark!E332</f>
        <v>Duplicate Detector Agent</v>
      </c>
      <c r="D332" s="52" t="str">
        <f aca="false">C_KPI_Benchmark!F332</f>
        <v>D6</v>
      </c>
      <c r="E332" s="51" t="str">
        <f aca="false">C_KPI_Benchmark!J332</f>
        <v>Review Shield critical findings</v>
      </c>
      <c r="F332" s="52" t="str">
        <f aca="false">C_KPI_Benchmark!K332</f>
        <v>count</v>
      </c>
      <c r="G332" s="51" t="str">
        <f aca="false">C_KPI_Benchmark!L332</f>
        <v>Lower is better</v>
      </c>
      <c r="H332" s="62" t="n">
        <f aca="false">C_KPI_Benchmark!N332</f>
        <v>0</v>
      </c>
      <c r="I332" s="63" t="n">
        <f aca="false">IF(C_KPI_Benchmark!O332&lt;&gt;"",C_KPI_Benchmark!O332,IF(G332="Higher is better",H332*(1-A_Scoring_Model!$C$16),H332*(1+A_Scoring_Model!$C$16)))</f>
        <v>0</v>
      </c>
      <c r="J332" s="64"/>
      <c r="K332" s="64"/>
      <c r="L332" s="64"/>
      <c r="M332" s="64"/>
      <c r="N332" s="56" t="str">
        <f aca="false">IF(J332="","",IF($H332=$I332,IF(OR(AND($G332="Higher is better",J332&gt;=$H332),AND($G332="Lower is better",J332&lt;=$H332)),A_Scoring_Model!$C$14,0),IF($G332="Higher is better",IF(J332&gt;=$H332,A_Scoring_Model!$C$14,IF(J332&lt;$I332,0,A_Scoring_Model!$C$15+(A_Scoring_Model!$C$14-A_Scoring_Model!$C$15)*(J332-$I332)/($H332-$I332))),IF(J332&lt;=$H332,A_Scoring_Model!$C$14,IF(J332&gt;$I332,0,A_Scoring_Model!$C$15+(A_Scoring_Model!$C$14-A_Scoring_Model!$C$15)*($I332-J332)/($I332-$H332))))))</f>
        <v/>
      </c>
      <c r="O332" s="56" t="str">
        <f aca="false">IF(K332="","",IF($H332=$I332,IF(OR(AND($G332="Higher is better",K332&gt;=$H332),AND($G332="Lower is better",K332&lt;=$H332)),A_Scoring_Model!$C$14,0),IF($G332="Higher is better",IF(K332&gt;=$H332,A_Scoring_Model!$C$14,IF(K332&lt;$I332,0,A_Scoring_Model!$C$15+(A_Scoring_Model!$C$14-A_Scoring_Model!$C$15)*(K332-$I332)/($H332-$I332))),IF(K332&lt;=$H332,A_Scoring_Model!$C$14,IF(K332&gt;$I332,0,A_Scoring_Model!$C$15+(A_Scoring_Model!$C$14-A_Scoring_Model!$C$15)*($I332-K332)/($I332-$H332))))))</f>
        <v/>
      </c>
      <c r="P332" s="56" t="str">
        <f aca="false">IF(L332="","",IF($H332=$I332,IF(OR(AND($G332="Higher is better",L332&gt;=$H332),AND($G332="Lower is better",L332&lt;=$H332)),A_Scoring_Model!$C$14,0),IF($G332="Higher is better",IF(L332&gt;=$H332,A_Scoring_Model!$C$14,IF(L332&lt;$I332,0,A_Scoring_Model!$C$15+(A_Scoring_Model!$C$14-A_Scoring_Model!$C$15)*(L332-$I332)/($H332-$I332))),IF(L332&lt;=$H332,A_Scoring_Model!$C$14,IF(L332&gt;$I332,0,A_Scoring_Model!$C$15+(A_Scoring_Model!$C$14-A_Scoring_Model!$C$15)*($I332-L332)/($I332-$H332))))))</f>
        <v/>
      </c>
      <c r="Q332" s="56" t="str">
        <f aca="false">IF(M332="","",IF($H332=$I332,IF(OR(AND($G332="Higher is better",M332&gt;=$H332),AND($G332="Lower is better",M332&lt;=$H332)),A_Scoring_Model!$C$14,0),IF($G332="Higher is better",IF(M332&gt;=$H332,A_Scoring_Model!$C$14,IF(M332&lt;$I332,0,A_Scoring_Model!$C$15+(A_Scoring_Model!$C$14-A_Scoring_Model!$C$15)*(M332-$I332)/($H332-$I332))),IF(M332&lt;=$H332,A_Scoring_Model!$C$14,IF(M332&gt;$I332,0,A_Scoring_Model!$C$15+(A_Scoring_Model!$C$14-A_Scoring_Model!$C$15)*($I332-M332)/($I332-$H332))))))</f>
        <v/>
      </c>
    </row>
    <row r="333" customFormat="false" ht="15" hidden="false" customHeight="false" outlineLevel="0" collapsed="false">
      <c r="A333" s="51" t="str">
        <f aca="false">C_KPI_Benchmark!A333</f>
        <v>6.b-D6-14</v>
      </c>
      <c r="B333" s="52" t="str">
        <f aca="false">C_KPI_Benchmark!D333</f>
        <v>6.b</v>
      </c>
      <c r="C333" s="51" t="str">
        <f aca="false">C_KPI_Benchmark!E333</f>
        <v>Duplicate Detector Agent</v>
      </c>
      <c r="D333" s="52" t="str">
        <f aca="false">C_KPI_Benchmark!F333</f>
        <v>D6</v>
      </c>
      <c r="E333" s="51" t="str">
        <f aca="false">C_KPI_Benchmark!J333</f>
        <v>SAST high findings and exposed secrets</v>
      </c>
      <c r="F333" s="52" t="str">
        <f aca="false">C_KPI_Benchmark!K333</f>
        <v>count</v>
      </c>
      <c r="G333" s="51" t="str">
        <f aca="false">C_KPI_Benchmark!L333</f>
        <v>Lower is better</v>
      </c>
      <c r="H333" s="62" t="n">
        <f aca="false">C_KPI_Benchmark!N333</f>
        <v>0</v>
      </c>
      <c r="I333" s="63" t="n">
        <f aca="false">IF(C_KPI_Benchmark!O333&lt;&gt;"",C_KPI_Benchmark!O333,IF(G333="Higher is better",H333*(1-A_Scoring_Model!$C$16),H333*(1+A_Scoring_Model!$C$16)))</f>
        <v>0</v>
      </c>
      <c r="J333" s="64"/>
      <c r="K333" s="64"/>
      <c r="L333" s="64"/>
      <c r="M333" s="64"/>
      <c r="N333" s="56" t="str">
        <f aca="false">IF(J333="","",IF($H333=$I333,IF(OR(AND($G333="Higher is better",J333&gt;=$H333),AND($G333="Lower is better",J333&lt;=$H333)),A_Scoring_Model!$C$14,0),IF($G333="Higher is better",IF(J333&gt;=$H333,A_Scoring_Model!$C$14,IF(J333&lt;$I333,0,A_Scoring_Model!$C$15+(A_Scoring_Model!$C$14-A_Scoring_Model!$C$15)*(J333-$I333)/($H333-$I333))),IF(J333&lt;=$H333,A_Scoring_Model!$C$14,IF(J333&gt;$I333,0,A_Scoring_Model!$C$15+(A_Scoring_Model!$C$14-A_Scoring_Model!$C$15)*($I333-J333)/($I333-$H333))))))</f>
        <v/>
      </c>
      <c r="O333" s="56" t="str">
        <f aca="false">IF(K333="","",IF($H333=$I333,IF(OR(AND($G333="Higher is better",K333&gt;=$H333),AND($G333="Lower is better",K333&lt;=$H333)),A_Scoring_Model!$C$14,0),IF($G333="Higher is better",IF(K333&gt;=$H333,A_Scoring_Model!$C$14,IF(K333&lt;$I333,0,A_Scoring_Model!$C$15+(A_Scoring_Model!$C$14-A_Scoring_Model!$C$15)*(K333-$I333)/($H333-$I333))),IF(K333&lt;=$H333,A_Scoring_Model!$C$14,IF(K333&gt;$I333,0,A_Scoring_Model!$C$15+(A_Scoring_Model!$C$14-A_Scoring_Model!$C$15)*($I333-K333)/($I333-$H333))))))</f>
        <v/>
      </c>
      <c r="P333" s="56" t="str">
        <f aca="false">IF(L333="","",IF($H333=$I333,IF(OR(AND($G333="Higher is better",L333&gt;=$H333),AND($G333="Lower is better",L333&lt;=$H333)),A_Scoring_Model!$C$14,0),IF($G333="Higher is better",IF(L333&gt;=$H333,A_Scoring_Model!$C$14,IF(L333&lt;$I333,0,A_Scoring_Model!$C$15+(A_Scoring_Model!$C$14-A_Scoring_Model!$C$15)*(L333-$I333)/($H333-$I333))),IF(L333&lt;=$H333,A_Scoring_Model!$C$14,IF(L333&gt;$I333,0,A_Scoring_Model!$C$15+(A_Scoring_Model!$C$14-A_Scoring_Model!$C$15)*($I333-L333)/($I333-$H333))))))</f>
        <v/>
      </c>
      <c r="Q333" s="56" t="str">
        <f aca="false">IF(M333="","",IF($H333=$I333,IF(OR(AND($G333="Higher is better",M333&gt;=$H333),AND($G333="Lower is better",M333&lt;=$H333)),A_Scoring_Model!$C$14,0),IF($G333="Higher is better",IF(M333&gt;=$H333,A_Scoring_Model!$C$14,IF(M333&lt;$I333,0,A_Scoring_Model!$C$15+(A_Scoring_Model!$C$14-A_Scoring_Model!$C$15)*(M333-$I333)/($H333-$I333))),IF(M333&lt;=$H333,A_Scoring_Model!$C$14,IF(M333&gt;$I333,0,A_Scoring_Model!$C$15+(A_Scoring_Model!$C$14-A_Scoring_Model!$C$15)*($I333-M333)/($I333-$H333))))))</f>
        <v/>
      </c>
    </row>
    <row r="334" customFormat="false" ht="23.85" hidden="false" customHeight="false" outlineLevel="0" collapsed="false">
      <c r="A334" s="51" t="str">
        <f aca="false">C_KPI_Benchmark!A334</f>
        <v>6.b-D6-15</v>
      </c>
      <c r="B334" s="52" t="str">
        <f aca="false">C_KPI_Benchmark!D334</f>
        <v>6.b</v>
      </c>
      <c r="C334" s="51" t="str">
        <f aca="false">C_KPI_Benchmark!E334</f>
        <v>Duplicate Detector Agent</v>
      </c>
      <c r="D334" s="52" t="str">
        <f aca="false">C_KPI_Benchmark!F334</f>
        <v>D6</v>
      </c>
      <c r="E334" s="51" t="str">
        <f aca="false">C_KPI_Benchmark!J334</f>
        <v>Documentation pack complete (README, I/O contract, model card, runbook)</v>
      </c>
      <c r="F334" s="52" t="str">
        <f aca="false">C_KPI_Benchmark!K334</f>
        <v>Yes/No</v>
      </c>
      <c r="G334" s="51" t="str">
        <f aca="false">C_KPI_Benchmark!L334</f>
        <v>Higher is better</v>
      </c>
      <c r="H334" s="60" t="n">
        <f aca="false">C_KPI_Benchmark!N334</f>
        <v>1</v>
      </c>
      <c r="I334" s="56" t="n">
        <f aca="false">IF(C_KPI_Benchmark!O334&lt;&gt;"",C_KPI_Benchmark!O334,IF(G334="Higher is better",H334*(1-A_Scoring_Model!$C$16),H334*(1+A_Scoring_Model!$C$16)))</f>
        <v>0.8</v>
      </c>
      <c r="J334" s="61"/>
      <c r="K334" s="61"/>
      <c r="L334" s="61"/>
      <c r="M334" s="61"/>
      <c r="N334" s="56" t="str">
        <f aca="false">IF(J334="","",IF($H334=$I334,IF(OR(AND($G334="Higher is better",J334&gt;=$H334),AND($G334="Lower is better",J334&lt;=$H334)),A_Scoring_Model!$C$14,0),IF($G334="Higher is better",IF(J334&gt;=$H334,A_Scoring_Model!$C$14,IF(J334&lt;$I334,0,A_Scoring_Model!$C$15+(A_Scoring_Model!$C$14-A_Scoring_Model!$C$15)*(J334-$I334)/($H334-$I334))),IF(J334&lt;=$H334,A_Scoring_Model!$C$14,IF(J334&gt;$I334,0,A_Scoring_Model!$C$15+(A_Scoring_Model!$C$14-A_Scoring_Model!$C$15)*($I334-J334)/($I334-$H334))))))</f>
        <v/>
      </c>
      <c r="O334" s="56" t="str">
        <f aca="false">IF(K334="","",IF($H334=$I334,IF(OR(AND($G334="Higher is better",K334&gt;=$H334),AND($G334="Lower is better",K334&lt;=$H334)),A_Scoring_Model!$C$14,0),IF($G334="Higher is better",IF(K334&gt;=$H334,A_Scoring_Model!$C$14,IF(K334&lt;$I334,0,A_Scoring_Model!$C$15+(A_Scoring_Model!$C$14-A_Scoring_Model!$C$15)*(K334-$I334)/($H334-$I334))),IF(K334&lt;=$H334,A_Scoring_Model!$C$14,IF(K334&gt;$I334,0,A_Scoring_Model!$C$15+(A_Scoring_Model!$C$14-A_Scoring_Model!$C$15)*($I334-K334)/($I334-$H334))))))</f>
        <v/>
      </c>
      <c r="P334" s="56" t="str">
        <f aca="false">IF(L334="","",IF($H334=$I334,IF(OR(AND($G334="Higher is better",L334&gt;=$H334),AND($G334="Lower is better",L334&lt;=$H334)),A_Scoring_Model!$C$14,0),IF($G334="Higher is better",IF(L334&gt;=$H334,A_Scoring_Model!$C$14,IF(L334&lt;$I334,0,A_Scoring_Model!$C$15+(A_Scoring_Model!$C$14-A_Scoring_Model!$C$15)*(L334-$I334)/($H334-$I334))),IF(L334&lt;=$H334,A_Scoring_Model!$C$14,IF(L334&gt;$I334,0,A_Scoring_Model!$C$15+(A_Scoring_Model!$C$14-A_Scoring_Model!$C$15)*($I334-L334)/($I334-$H334))))))</f>
        <v/>
      </c>
      <c r="Q334" s="56" t="str">
        <f aca="false">IF(M334="","",IF($H334=$I334,IF(OR(AND($G334="Higher is better",M334&gt;=$H334),AND($G334="Lower is better",M334&lt;=$H334)),A_Scoring_Model!$C$14,0),IF($G334="Higher is better",IF(M334&gt;=$H334,A_Scoring_Model!$C$14,IF(M334&lt;$I334,0,A_Scoring_Model!$C$15+(A_Scoring_Model!$C$14-A_Scoring_Model!$C$15)*(M334-$I334)/($H334-$I334))),IF(M334&lt;=$H334,A_Scoring_Model!$C$14,IF(M334&gt;$I334,0,A_Scoring_Model!$C$15+(A_Scoring_Model!$C$14-A_Scoring_Model!$C$15)*($I334-M334)/($I334-$H334))))))</f>
        <v/>
      </c>
    </row>
    <row r="335" customFormat="false" ht="15" hidden="false" customHeight="false" outlineLevel="0" collapsed="false">
      <c r="A335" s="51" t="str">
        <f aca="false">C_KPI_Benchmark!A335</f>
        <v>6.b-D6-16</v>
      </c>
      <c r="B335" s="52" t="str">
        <f aca="false">C_KPI_Benchmark!D335</f>
        <v>6.b</v>
      </c>
      <c r="C335" s="51" t="str">
        <f aca="false">C_KPI_Benchmark!E335</f>
        <v>Duplicate Detector Agent</v>
      </c>
      <c r="D335" s="52" t="str">
        <f aca="false">C_KPI_Benchmark!F335</f>
        <v>D6</v>
      </c>
      <c r="E335" s="51" t="str">
        <f aca="false">C_KPI_Benchmark!J335</f>
        <v>Named owner and support SLA</v>
      </c>
      <c r="F335" s="52" t="str">
        <f aca="false">C_KPI_Benchmark!K335</f>
        <v>Yes/No</v>
      </c>
      <c r="G335" s="51" t="str">
        <f aca="false">C_KPI_Benchmark!L335</f>
        <v>Higher is better</v>
      </c>
      <c r="H335" s="60" t="n">
        <f aca="false">C_KPI_Benchmark!N335</f>
        <v>1</v>
      </c>
      <c r="I335" s="56" t="n">
        <f aca="false">IF(C_KPI_Benchmark!O335&lt;&gt;"",C_KPI_Benchmark!O335,IF(G335="Higher is better",H335*(1-A_Scoring_Model!$C$16),H335*(1+A_Scoring_Model!$C$16)))</f>
        <v>0.8</v>
      </c>
      <c r="J335" s="61"/>
      <c r="K335" s="61"/>
      <c r="L335" s="61"/>
      <c r="M335" s="61"/>
      <c r="N335" s="56" t="str">
        <f aca="false">IF(J335="","",IF($H335=$I335,IF(OR(AND($G335="Higher is better",J335&gt;=$H335),AND($G335="Lower is better",J335&lt;=$H335)),A_Scoring_Model!$C$14,0),IF($G335="Higher is better",IF(J335&gt;=$H335,A_Scoring_Model!$C$14,IF(J335&lt;$I335,0,A_Scoring_Model!$C$15+(A_Scoring_Model!$C$14-A_Scoring_Model!$C$15)*(J335-$I335)/($H335-$I335))),IF(J335&lt;=$H335,A_Scoring_Model!$C$14,IF(J335&gt;$I335,0,A_Scoring_Model!$C$15+(A_Scoring_Model!$C$14-A_Scoring_Model!$C$15)*($I335-J335)/($I335-$H335))))))</f>
        <v/>
      </c>
      <c r="O335" s="56" t="str">
        <f aca="false">IF(K335="","",IF($H335=$I335,IF(OR(AND($G335="Higher is better",K335&gt;=$H335),AND($G335="Lower is better",K335&lt;=$H335)),A_Scoring_Model!$C$14,0),IF($G335="Higher is better",IF(K335&gt;=$H335,A_Scoring_Model!$C$14,IF(K335&lt;$I335,0,A_Scoring_Model!$C$15+(A_Scoring_Model!$C$14-A_Scoring_Model!$C$15)*(K335-$I335)/($H335-$I335))),IF(K335&lt;=$H335,A_Scoring_Model!$C$14,IF(K335&gt;$I335,0,A_Scoring_Model!$C$15+(A_Scoring_Model!$C$14-A_Scoring_Model!$C$15)*($I335-K335)/($I335-$H335))))))</f>
        <v/>
      </c>
      <c r="P335" s="56" t="str">
        <f aca="false">IF(L335="","",IF($H335=$I335,IF(OR(AND($G335="Higher is better",L335&gt;=$H335),AND($G335="Lower is better",L335&lt;=$H335)),A_Scoring_Model!$C$14,0),IF($G335="Higher is better",IF(L335&gt;=$H335,A_Scoring_Model!$C$14,IF(L335&lt;$I335,0,A_Scoring_Model!$C$15+(A_Scoring_Model!$C$14-A_Scoring_Model!$C$15)*(L335-$I335)/($H335-$I335))),IF(L335&lt;=$H335,A_Scoring_Model!$C$14,IF(L335&gt;$I335,0,A_Scoring_Model!$C$15+(A_Scoring_Model!$C$14-A_Scoring_Model!$C$15)*($I335-L335)/($I335-$H335))))))</f>
        <v/>
      </c>
      <c r="Q335" s="56" t="str">
        <f aca="false">IF(M335="","",IF($H335=$I335,IF(OR(AND($G335="Higher is better",M335&gt;=$H335),AND($G335="Lower is better",M335&lt;=$H335)),A_Scoring_Model!$C$14,0),IF($G335="Higher is better",IF(M335&gt;=$H335,A_Scoring_Model!$C$14,IF(M335&lt;$I335,0,A_Scoring_Model!$C$15+(A_Scoring_Model!$C$14-A_Scoring_Model!$C$15)*(M335-$I335)/($H335-$I335))),IF(M335&lt;=$H335,A_Scoring_Model!$C$14,IF(M335&gt;$I335,0,A_Scoring_Model!$C$15+(A_Scoring_Model!$C$14-A_Scoring_Model!$C$15)*($I335-M335)/($I335-$H335))))))</f>
        <v/>
      </c>
    </row>
    <row r="336" customFormat="false" ht="15" hidden="false" customHeight="false" outlineLevel="0" collapsed="false">
      <c r="A336" s="51" t="str">
        <f aca="false">C_KPI_Benchmark!A336</f>
        <v>6.c-D1-01</v>
      </c>
      <c r="B336" s="52" t="str">
        <f aca="false">C_KPI_Benchmark!D336</f>
        <v>6.c</v>
      </c>
      <c r="C336" s="51" t="str">
        <f aca="false">C_KPI_Benchmark!E336</f>
        <v>RCA Analyzer + Pattern Detector</v>
      </c>
      <c r="D336" s="52" t="str">
        <f aca="false">C_KPI_Benchmark!F336</f>
        <v>D1</v>
      </c>
      <c r="E336" s="51" t="str">
        <f aca="false">C_KPI_Benchmark!J336</f>
        <v>Correct root cause in top-3</v>
      </c>
      <c r="F336" s="52" t="str">
        <f aca="false">C_KPI_Benchmark!K336</f>
        <v>%</v>
      </c>
      <c r="G336" s="51" t="str">
        <f aca="false">C_KPI_Benchmark!L336</f>
        <v>Higher is better</v>
      </c>
      <c r="H336" s="53" t="n">
        <f aca="false">C_KPI_Benchmark!N336</f>
        <v>0.7</v>
      </c>
      <c r="I336" s="54" t="n">
        <f aca="false">IF(C_KPI_Benchmark!O336&lt;&gt;"",C_KPI_Benchmark!O336,IF(G336="Higher is better",H336*(1-A_Scoring_Model!$C$16),H336*(1+A_Scoring_Model!$C$16)))</f>
        <v>0.55</v>
      </c>
      <c r="J336" s="55"/>
      <c r="K336" s="55"/>
      <c r="L336" s="55"/>
      <c r="M336" s="55"/>
      <c r="N336" s="56" t="str">
        <f aca="false">IF(J336="","",IF($H336=$I336,IF(OR(AND($G336="Higher is better",J336&gt;=$H336),AND($G336="Lower is better",J336&lt;=$H336)),A_Scoring_Model!$C$14,0),IF($G336="Higher is better",IF(J336&gt;=$H336,A_Scoring_Model!$C$14,IF(J336&lt;$I336,0,A_Scoring_Model!$C$15+(A_Scoring_Model!$C$14-A_Scoring_Model!$C$15)*(J336-$I336)/($H336-$I336))),IF(J336&lt;=$H336,A_Scoring_Model!$C$14,IF(J336&gt;$I336,0,A_Scoring_Model!$C$15+(A_Scoring_Model!$C$14-A_Scoring_Model!$C$15)*($I336-J336)/($I336-$H336))))))</f>
        <v/>
      </c>
      <c r="O336" s="56" t="str">
        <f aca="false">IF(K336="","",IF($H336=$I336,IF(OR(AND($G336="Higher is better",K336&gt;=$H336),AND($G336="Lower is better",K336&lt;=$H336)),A_Scoring_Model!$C$14,0),IF($G336="Higher is better",IF(K336&gt;=$H336,A_Scoring_Model!$C$14,IF(K336&lt;$I336,0,A_Scoring_Model!$C$15+(A_Scoring_Model!$C$14-A_Scoring_Model!$C$15)*(K336-$I336)/($H336-$I336))),IF(K336&lt;=$H336,A_Scoring_Model!$C$14,IF(K336&gt;$I336,0,A_Scoring_Model!$C$15+(A_Scoring_Model!$C$14-A_Scoring_Model!$C$15)*($I336-K336)/($I336-$H336))))))</f>
        <v/>
      </c>
      <c r="P336" s="56" t="str">
        <f aca="false">IF(L336="","",IF($H336=$I336,IF(OR(AND($G336="Higher is better",L336&gt;=$H336),AND($G336="Lower is better",L336&lt;=$H336)),A_Scoring_Model!$C$14,0),IF($G336="Higher is better",IF(L336&gt;=$H336,A_Scoring_Model!$C$14,IF(L336&lt;$I336,0,A_Scoring_Model!$C$15+(A_Scoring_Model!$C$14-A_Scoring_Model!$C$15)*(L336-$I336)/($H336-$I336))),IF(L336&lt;=$H336,A_Scoring_Model!$C$14,IF(L336&gt;$I336,0,A_Scoring_Model!$C$15+(A_Scoring_Model!$C$14-A_Scoring_Model!$C$15)*($I336-L336)/($I336-$H336))))))</f>
        <v/>
      </c>
      <c r="Q336" s="56" t="str">
        <f aca="false">IF(M336="","",IF($H336=$I336,IF(OR(AND($G336="Higher is better",M336&gt;=$H336),AND($G336="Lower is better",M336&lt;=$H336)),A_Scoring_Model!$C$14,0),IF($G336="Higher is better",IF(M336&gt;=$H336,A_Scoring_Model!$C$14,IF(M336&lt;$I336,0,A_Scoring_Model!$C$15+(A_Scoring_Model!$C$14-A_Scoring_Model!$C$15)*(M336-$I336)/($H336-$I336))),IF(M336&lt;=$H336,A_Scoring_Model!$C$14,IF(M336&gt;$I336,0,A_Scoring_Model!$C$15+(A_Scoring_Model!$C$14-A_Scoring_Model!$C$15)*($I336-M336)/($I336-$H336))))))</f>
        <v/>
      </c>
    </row>
    <row r="337" customFormat="false" ht="15" hidden="false" customHeight="false" outlineLevel="0" collapsed="false">
      <c r="A337" s="51" t="str">
        <f aca="false">C_KPI_Benchmark!A337</f>
        <v>6.c-D1-02</v>
      </c>
      <c r="B337" s="52" t="str">
        <f aca="false">C_KPI_Benchmark!D337</f>
        <v>6.c</v>
      </c>
      <c r="C337" s="51" t="str">
        <f aca="false">C_KPI_Benchmark!E337</f>
        <v>RCA Analyzer + Pattern Detector</v>
      </c>
      <c r="D337" s="52" t="str">
        <f aca="false">C_KPI_Benchmark!F337</f>
        <v>D1</v>
      </c>
      <c r="E337" s="51" t="str">
        <f aca="false">C_KPI_Benchmark!J337</f>
        <v>RCA category accuracy</v>
      </c>
      <c r="F337" s="52" t="str">
        <f aca="false">C_KPI_Benchmark!K337</f>
        <v>%</v>
      </c>
      <c r="G337" s="51" t="str">
        <f aca="false">C_KPI_Benchmark!L337</f>
        <v>Higher is better</v>
      </c>
      <c r="H337" s="53" t="n">
        <f aca="false">C_KPI_Benchmark!N337</f>
        <v>0.85</v>
      </c>
      <c r="I337" s="54" t="n">
        <f aca="false">IF(C_KPI_Benchmark!O337&lt;&gt;"",C_KPI_Benchmark!O337,IF(G337="Higher is better",H337*(1-A_Scoring_Model!$C$16),H337*(1+A_Scoring_Model!$C$16)))</f>
        <v>0.75</v>
      </c>
      <c r="J337" s="55"/>
      <c r="K337" s="55"/>
      <c r="L337" s="55"/>
      <c r="M337" s="55"/>
      <c r="N337" s="56" t="str">
        <f aca="false">IF(J337="","",IF($H337=$I337,IF(OR(AND($G337="Higher is better",J337&gt;=$H337),AND($G337="Lower is better",J337&lt;=$H337)),A_Scoring_Model!$C$14,0),IF($G337="Higher is better",IF(J337&gt;=$H337,A_Scoring_Model!$C$14,IF(J337&lt;$I337,0,A_Scoring_Model!$C$15+(A_Scoring_Model!$C$14-A_Scoring_Model!$C$15)*(J337-$I337)/($H337-$I337))),IF(J337&lt;=$H337,A_Scoring_Model!$C$14,IF(J337&gt;$I337,0,A_Scoring_Model!$C$15+(A_Scoring_Model!$C$14-A_Scoring_Model!$C$15)*($I337-J337)/($I337-$H337))))))</f>
        <v/>
      </c>
      <c r="O337" s="56" t="str">
        <f aca="false">IF(K337="","",IF($H337=$I337,IF(OR(AND($G337="Higher is better",K337&gt;=$H337),AND($G337="Lower is better",K337&lt;=$H337)),A_Scoring_Model!$C$14,0),IF($G337="Higher is better",IF(K337&gt;=$H337,A_Scoring_Model!$C$14,IF(K337&lt;$I337,0,A_Scoring_Model!$C$15+(A_Scoring_Model!$C$14-A_Scoring_Model!$C$15)*(K337-$I337)/($H337-$I337))),IF(K337&lt;=$H337,A_Scoring_Model!$C$14,IF(K337&gt;$I337,0,A_Scoring_Model!$C$15+(A_Scoring_Model!$C$14-A_Scoring_Model!$C$15)*($I337-K337)/($I337-$H337))))))</f>
        <v/>
      </c>
      <c r="P337" s="56" t="str">
        <f aca="false">IF(L337="","",IF($H337=$I337,IF(OR(AND($G337="Higher is better",L337&gt;=$H337),AND($G337="Lower is better",L337&lt;=$H337)),A_Scoring_Model!$C$14,0),IF($G337="Higher is better",IF(L337&gt;=$H337,A_Scoring_Model!$C$14,IF(L337&lt;$I337,0,A_Scoring_Model!$C$15+(A_Scoring_Model!$C$14-A_Scoring_Model!$C$15)*(L337-$I337)/($H337-$I337))),IF(L337&lt;=$H337,A_Scoring_Model!$C$14,IF(L337&gt;$I337,0,A_Scoring_Model!$C$15+(A_Scoring_Model!$C$14-A_Scoring_Model!$C$15)*($I337-L337)/($I337-$H337))))))</f>
        <v/>
      </c>
      <c r="Q337" s="56" t="str">
        <f aca="false">IF(M337="","",IF($H337=$I337,IF(OR(AND($G337="Higher is better",M337&gt;=$H337),AND($G337="Lower is better",M337&lt;=$H337)),A_Scoring_Model!$C$14,0),IF($G337="Higher is better",IF(M337&gt;=$H337,A_Scoring_Model!$C$14,IF(M337&lt;$I337,0,A_Scoring_Model!$C$15+(A_Scoring_Model!$C$14-A_Scoring_Model!$C$15)*(M337-$I337)/($H337-$I337))),IF(M337&lt;=$H337,A_Scoring_Model!$C$14,IF(M337&gt;$I337,0,A_Scoring_Model!$C$15+(A_Scoring_Model!$C$14-A_Scoring_Model!$C$15)*($I337-M337)/($I337-$H337))))))</f>
        <v/>
      </c>
    </row>
    <row r="338" customFormat="false" ht="15" hidden="false" customHeight="false" outlineLevel="0" collapsed="false">
      <c r="A338" s="51" t="str">
        <f aca="false">C_KPI_Benchmark!A338</f>
        <v>6.c-D1-03</v>
      </c>
      <c r="B338" s="52" t="str">
        <f aca="false">C_KPI_Benchmark!D338</f>
        <v>6.c</v>
      </c>
      <c r="C338" s="51" t="str">
        <f aca="false">C_KPI_Benchmark!E338</f>
        <v>RCA Analyzer + Pattern Detector</v>
      </c>
      <c r="D338" s="52" t="str">
        <f aca="false">C_KPI_Benchmark!F338</f>
        <v>D1</v>
      </c>
      <c r="E338" s="51" t="str">
        <f aca="false">C_KPI_Benchmark!J338</f>
        <v>Pattern cluster purity</v>
      </c>
      <c r="F338" s="52" t="str">
        <f aca="false">C_KPI_Benchmark!K338</f>
        <v>ratio</v>
      </c>
      <c r="G338" s="51" t="str">
        <f aca="false">C_KPI_Benchmark!L338</f>
        <v>Higher is better</v>
      </c>
      <c r="H338" s="57" t="n">
        <f aca="false">C_KPI_Benchmark!N338</f>
        <v>0.8</v>
      </c>
      <c r="I338" s="58" t="n">
        <f aca="false">IF(C_KPI_Benchmark!O338&lt;&gt;"",C_KPI_Benchmark!O338,IF(G338="Higher is better",H338*(1-A_Scoring_Model!$C$16),H338*(1+A_Scoring_Model!$C$16)))</f>
        <v>0.65</v>
      </c>
      <c r="J338" s="59"/>
      <c r="K338" s="59"/>
      <c r="L338" s="59"/>
      <c r="M338" s="59"/>
      <c r="N338" s="56" t="str">
        <f aca="false">IF(J338="","",IF($H338=$I338,IF(OR(AND($G338="Higher is better",J338&gt;=$H338),AND($G338="Lower is better",J338&lt;=$H338)),A_Scoring_Model!$C$14,0),IF($G338="Higher is better",IF(J338&gt;=$H338,A_Scoring_Model!$C$14,IF(J338&lt;$I338,0,A_Scoring_Model!$C$15+(A_Scoring_Model!$C$14-A_Scoring_Model!$C$15)*(J338-$I338)/($H338-$I338))),IF(J338&lt;=$H338,A_Scoring_Model!$C$14,IF(J338&gt;$I338,0,A_Scoring_Model!$C$15+(A_Scoring_Model!$C$14-A_Scoring_Model!$C$15)*($I338-J338)/($I338-$H338))))))</f>
        <v/>
      </c>
      <c r="O338" s="56" t="str">
        <f aca="false">IF(K338="","",IF($H338=$I338,IF(OR(AND($G338="Higher is better",K338&gt;=$H338),AND($G338="Lower is better",K338&lt;=$H338)),A_Scoring_Model!$C$14,0),IF($G338="Higher is better",IF(K338&gt;=$H338,A_Scoring_Model!$C$14,IF(K338&lt;$I338,0,A_Scoring_Model!$C$15+(A_Scoring_Model!$C$14-A_Scoring_Model!$C$15)*(K338-$I338)/($H338-$I338))),IF(K338&lt;=$H338,A_Scoring_Model!$C$14,IF(K338&gt;$I338,0,A_Scoring_Model!$C$15+(A_Scoring_Model!$C$14-A_Scoring_Model!$C$15)*($I338-K338)/($I338-$H338))))))</f>
        <v/>
      </c>
      <c r="P338" s="56" t="str">
        <f aca="false">IF(L338="","",IF($H338=$I338,IF(OR(AND($G338="Higher is better",L338&gt;=$H338),AND($G338="Lower is better",L338&lt;=$H338)),A_Scoring_Model!$C$14,0),IF($G338="Higher is better",IF(L338&gt;=$H338,A_Scoring_Model!$C$14,IF(L338&lt;$I338,0,A_Scoring_Model!$C$15+(A_Scoring_Model!$C$14-A_Scoring_Model!$C$15)*(L338-$I338)/($H338-$I338))),IF(L338&lt;=$H338,A_Scoring_Model!$C$14,IF(L338&gt;$I338,0,A_Scoring_Model!$C$15+(A_Scoring_Model!$C$14-A_Scoring_Model!$C$15)*($I338-L338)/($I338-$H338))))))</f>
        <v/>
      </c>
      <c r="Q338" s="56" t="str">
        <f aca="false">IF(M338="","",IF($H338=$I338,IF(OR(AND($G338="Higher is better",M338&gt;=$H338),AND($G338="Lower is better",M338&lt;=$H338)),A_Scoring_Model!$C$14,0),IF($G338="Higher is better",IF(M338&gt;=$H338,A_Scoring_Model!$C$14,IF(M338&lt;$I338,0,A_Scoring_Model!$C$15+(A_Scoring_Model!$C$14-A_Scoring_Model!$C$15)*(M338-$I338)/($H338-$I338))),IF(M338&lt;=$H338,A_Scoring_Model!$C$14,IF(M338&gt;$I338,0,A_Scoring_Model!$C$15+(A_Scoring_Model!$C$14-A_Scoring_Model!$C$15)*($I338-M338)/($I338-$H338))))))</f>
        <v/>
      </c>
    </row>
    <row r="339" customFormat="false" ht="23.85" hidden="false" customHeight="false" outlineLevel="0" collapsed="false">
      <c r="A339" s="51" t="str">
        <f aca="false">C_KPI_Benchmark!A339</f>
        <v>6.c-D2-04</v>
      </c>
      <c r="B339" s="52" t="str">
        <f aca="false">C_KPI_Benchmark!D339</f>
        <v>6.c</v>
      </c>
      <c r="C339" s="51" t="str">
        <f aca="false">C_KPI_Benchmark!E339</f>
        <v>RCA Analyzer + Pattern Detector</v>
      </c>
      <c r="D339" s="52" t="str">
        <f aca="false">C_KPI_Benchmark!F339</f>
        <v>D2</v>
      </c>
      <c r="E339" s="51" t="str">
        <f aca="false">C_KPI_Benchmark!J339</f>
        <v>Log parser plug-ins; common RCA taxonomy (5-Why / Ishikawa)</v>
      </c>
      <c r="F339" s="52" t="str">
        <f aca="false">C_KPI_Benchmark!K339</f>
        <v>Yes/No</v>
      </c>
      <c r="G339" s="51" t="str">
        <f aca="false">C_KPI_Benchmark!L339</f>
        <v>Higher is better</v>
      </c>
      <c r="H339" s="60" t="n">
        <f aca="false">C_KPI_Benchmark!N339</f>
        <v>1</v>
      </c>
      <c r="I339" s="56" t="n">
        <f aca="false">IF(C_KPI_Benchmark!O339&lt;&gt;"",C_KPI_Benchmark!O339,IF(G339="Higher is better",H339*(1-A_Scoring_Model!$C$16),H339*(1+A_Scoring_Model!$C$16)))</f>
        <v>0.8</v>
      </c>
      <c r="J339" s="61"/>
      <c r="K339" s="61"/>
      <c r="L339" s="61"/>
      <c r="M339" s="61"/>
      <c r="N339" s="56" t="str">
        <f aca="false">IF(J339="","",IF($H339=$I339,IF(OR(AND($G339="Higher is better",J339&gt;=$H339),AND($G339="Lower is better",J339&lt;=$H339)),A_Scoring_Model!$C$14,0),IF($G339="Higher is better",IF(J339&gt;=$H339,A_Scoring_Model!$C$14,IF(J339&lt;$I339,0,A_Scoring_Model!$C$15+(A_Scoring_Model!$C$14-A_Scoring_Model!$C$15)*(J339-$I339)/($H339-$I339))),IF(J339&lt;=$H339,A_Scoring_Model!$C$14,IF(J339&gt;$I339,0,A_Scoring_Model!$C$15+(A_Scoring_Model!$C$14-A_Scoring_Model!$C$15)*($I339-J339)/($I339-$H339))))))</f>
        <v/>
      </c>
      <c r="O339" s="56" t="str">
        <f aca="false">IF(K339="","",IF($H339=$I339,IF(OR(AND($G339="Higher is better",K339&gt;=$H339),AND($G339="Lower is better",K339&lt;=$H339)),A_Scoring_Model!$C$14,0),IF($G339="Higher is better",IF(K339&gt;=$H339,A_Scoring_Model!$C$14,IF(K339&lt;$I339,0,A_Scoring_Model!$C$15+(A_Scoring_Model!$C$14-A_Scoring_Model!$C$15)*(K339-$I339)/($H339-$I339))),IF(K339&lt;=$H339,A_Scoring_Model!$C$14,IF(K339&gt;$I339,0,A_Scoring_Model!$C$15+(A_Scoring_Model!$C$14-A_Scoring_Model!$C$15)*($I339-K339)/($I339-$H339))))))</f>
        <v/>
      </c>
      <c r="P339" s="56" t="str">
        <f aca="false">IF(L339="","",IF($H339=$I339,IF(OR(AND($G339="Higher is better",L339&gt;=$H339),AND($G339="Lower is better",L339&lt;=$H339)),A_Scoring_Model!$C$14,0),IF($G339="Higher is better",IF(L339&gt;=$H339,A_Scoring_Model!$C$14,IF(L339&lt;$I339,0,A_Scoring_Model!$C$15+(A_Scoring_Model!$C$14-A_Scoring_Model!$C$15)*(L339-$I339)/($H339-$I339))),IF(L339&lt;=$H339,A_Scoring_Model!$C$14,IF(L339&gt;$I339,0,A_Scoring_Model!$C$15+(A_Scoring_Model!$C$14-A_Scoring_Model!$C$15)*($I339-L339)/($I339-$H339))))))</f>
        <v/>
      </c>
      <c r="Q339" s="56" t="str">
        <f aca="false">IF(M339="","",IF($H339=$I339,IF(OR(AND($G339="Higher is better",M339&gt;=$H339),AND($G339="Lower is better",M339&lt;=$H339)),A_Scoring_Model!$C$14,0),IF($G339="Higher is better",IF(M339&gt;=$H339,A_Scoring_Model!$C$14,IF(M339&lt;$I339,0,A_Scoring_Model!$C$15+(A_Scoring_Model!$C$14-A_Scoring_Model!$C$15)*(M339-$I339)/($H339-$I339))),IF(M339&lt;=$H339,A_Scoring_Model!$C$14,IF(M339&gt;$I339,0,A_Scoring_Model!$C$15+(A_Scoring_Model!$C$14-A_Scoring_Model!$C$15)*($I339-M339)/($I339-$H339))))))</f>
        <v/>
      </c>
    </row>
    <row r="340" customFormat="false" ht="23.85" hidden="false" customHeight="false" outlineLevel="0" collapsed="false">
      <c r="A340" s="51" t="str">
        <f aca="false">C_KPI_Benchmark!A340</f>
        <v>6.c-D2-05</v>
      </c>
      <c r="B340" s="52" t="str">
        <f aca="false">C_KPI_Benchmark!D340</f>
        <v>6.c</v>
      </c>
      <c r="C340" s="51" t="str">
        <f aca="false">C_KPI_Benchmark!E340</f>
        <v>RCA Analyzer + Pattern Detector</v>
      </c>
      <c r="D340" s="52" t="str">
        <f aca="false">C_KPI_Benchmark!F340</f>
        <v>D2</v>
      </c>
      <c r="E340" s="51" t="str">
        <f aca="false">C_KPI_Benchmark!J340</f>
        <v>Product lines supported with ≤10% efficacy drop (NVMe SSD, UFS, eMMC/uSD, PSSD)</v>
      </c>
      <c r="F340" s="52" t="str">
        <f aca="false">C_KPI_Benchmark!K340</f>
        <v>count</v>
      </c>
      <c r="G340" s="51" t="str">
        <f aca="false">C_KPI_Benchmark!L340</f>
        <v>Higher is better</v>
      </c>
      <c r="H340" s="62" t="n">
        <f aca="false">C_KPI_Benchmark!N340</f>
        <v>3</v>
      </c>
      <c r="I340" s="63" t="n">
        <f aca="false">IF(C_KPI_Benchmark!O340&lt;&gt;"",C_KPI_Benchmark!O340,IF(G340="Higher is better",H340*(1-A_Scoring_Model!$C$16),H340*(1+A_Scoring_Model!$C$16)))</f>
        <v>2</v>
      </c>
      <c r="J340" s="64"/>
      <c r="K340" s="64"/>
      <c r="L340" s="64"/>
      <c r="M340" s="64"/>
      <c r="N340" s="56" t="str">
        <f aca="false">IF(J340="","",IF($H340=$I340,IF(OR(AND($G340="Higher is better",J340&gt;=$H340),AND($G340="Lower is better",J340&lt;=$H340)),A_Scoring_Model!$C$14,0),IF($G340="Higher is better",IF(J340&gt;=$H340,A_Scoring_Model!$C$14,IF(J340&lt;$I340,0,A_Scoring_Model!$C$15+(A_Scoring_Model!$C$14-A_Scoring_Model!$C$15)*(J340-$I340)/($H340-$I340))),IF(J340&lt;=$H340,A_Scoring_Model!$C$14,IF(J340&gt;$I340,0,A_Scoring_Model!$C$15+(A_Scoring_Model!$C$14-A_Scoring_Model!$C$15)*($I340-J340)/($I340-$H340))))))</f>
        <v/>
      </c>
      <c r="O340" s="56" t="str">
        <f aca="false">IF(K340="","",IF($H340=$I340,IF(OR(AND($G340="Higher is better",K340&gt;=$H340),AND($G340="Lower is better",K340&lt;=$H340)),A_Scoring_Model!$C$14,0),IF($G340="Higher is better",IF(K340&gt;=$H340,A_Scoring_Model!$C$14,IF(K340&lt;$I340,0,A_Scoring_Model!$C$15+(A_Scoring_Model!$C$14-A_Scoring_Model!$C$15)*(K340-$I340)/($H340-$I340))),IF(K340&lt;=$H340,A_Scoring_Model!$C$14,IF(K340&gt;$I340,0,A_Scoring_Model!$C$15+(A_Scoring_Model!$C$14-A_Scoring_Model!$C$15)*($I340-K340)/($I340-$H340))))))</f>
        <v/>
      </c>
      <c r="P340" s="56" t="str">
        <f aca="false">IF(L340="","",IF($H340=$I340,IF(OR(AND($G340="Higher is better",L340&gt;=$H340),AND($G340="Lower is better",L340&lt;=$H340)),A_Scoring_Model!$C$14,0),IF($G340="Higher is better",IF(L340&gt;=$H340,A_Scoring_Model!$C$14,IF(L340&lt;$I340,0,A_Scoring_Model!$C$15+(A_Scoring_Model!$C$14-A_Scoring_Model!$C$15)*(L340-$I340)/($H340-$I340))),IF(L340&lt;=$H340,A_Scoring_Model!$C$14,IF(L340&gt;$I340,0,A_Scoring_Model!$C$15+(A_Scoring_Model!$C$14-A_Scoring_Model!$C$15)*($I340-L340)/($I340-$H340))))))</f>
        <v/>
      </c>
      <c r="Q340" s="56" t="str">
        <f aca="false">IF(M340="","",IF($H340=$I340,IF(OR(AND($G340="Higher is better",M340&gt;=$H340),AND($G340="Lower is better",M340&lt;=$H340)),A_Scoring_Model!$C$14,0),IF($G340="Higher is better",IF(M340&gt;=$H340,A_Scoring_Model!$C$14,IF(M340&lt;$I340,0,A_Scoring_Model!$C$15+(A_Scoring_Model!$C$14-A_Scoring_Model!$C$15)*(M340-$I340)/($H340-$I340))),IF(M340&lt;=$H340,A_Scoring_Model!$C$14,IF(M340&gt;$I340,0,A_Scoring_Model!$C$15+(A_Scoring_Model!$C$14-A_Scoring_Model!$C$15)*($I340-M340)/($I340-$H340))))))</f>
        <v/>
      </c>
    </row>
    <row r="341" customFormat="false" ht="15" hidden="false" customHeight="false" outlineLevel="0" collapsed="false">
      <c r="A341" s="51" t="str">
        <f aca="false">C_KPI_Benchmark!A341</f>
        <v>6.c-D2-06</v>
      </c>
      <c r="B341" s="52" t="str">
        <f aca="false">C_KPI_Benchmark!D341</f>
        <v>6.c</v>
      </c>
      <c r="C341" s="51" t="str">
        <f aca="false">C_KPI_Benchmark!E341</f>
        <v>RCA Analyzer + Pattern Detector</v>
      </c>
      <c r="D341" s="52" t="str">
        <f aca="false">C_KPI_Benchmark!F341</f>
        <v>D2</v>
      </c>
      <c r="E341" s="51" t="str">
        <f aca="false">C_KPI_Benchmark!J341</f>
        <v>Uses Zion shared services instead of re-implementing them</v>
      </c>
      <c r="F341" s="52" t="str">
        <f aca="false">C_KPI_Benchmark!K341</f>
        <v>Yes/No</v>
      </c>
      <c r="G341" s="51" t="str">
        <f aca="false">C_KPI_Benchmark!L341</f>
        <v>Higher is better</v>
      </c>
      <c r="H341" s="60" t="n">
        <f aca="false">C_KPI_Benchmark!N341</f>
        <v>1</v>
      </c>
      <c r="I341" s="56" t="n">
        <f aca="false">IF(C_KPI_Benchmark!O341&lt;&gt;"",C_KPI_Benchmark!O341,IF(G341="Higher is better",H341*(1-A_Scoring_Model!$C$16),H341*(1+A_Scoring_Model!$C$16)))</f>
        <v>0.8</v>
      </c>
      <c r="J341" s="61"/>
      <c r="K341" s="61"/>
      <c r="L341" s="61"/>
      <c r="M341" s="61"/>
      <c r="N341" s="56" t="str">
        <f aca="false">IF(J341="","",IF($H341=$I341,IF(OR(AND($G341="Higher is better",J341&gt;=$H341),AND($G341="Lower is better",J341&lt;=$H341)),A_Scoring_Model!$C$14,0),IF($G341="Higher is better",IF(J341&gt;=$H341,A_Scoring_Model!$C$14,IF(J341&lt;$I341,0,A_Scoring_Model!$C$15+(A_Scoring_Model!$C$14-A_Scoring_Model!$C$15)*(J341-$I341)/($H341-$I341))),IF(J341&lt;=$H341,A_Scoring_Model!$C$14,IF(J341&gt;$I341,0,A_Scoring_Model!$C$15+(A_Scoring_Model!$C$14-A_Scoring_Model!$C$15)*($I341-J341)/($I341-$H341))))))</f>
        <v/>
      </c>
      <c r="O341" s="56" t="str">
        <f aca="false">IF(K341="","",IF($H341=$I341,IF(OR(AND($G341="Higher is better",K341&gt;=$H341),AND($G341="Lower is better",K341&lt;=$H341)),A_Scoring_Model!$C$14,0),IF($G341="Higher is better",IF(K341&gt;=$H341,A_Scoring_Model!$C$14,IF(K341&lt;$I341,0,A_Scoring_Model!$C$15+(A_Scoring_Model!$C$14-A_Scoring_Model!$C$15)*(K341-$I341)/($H341-$I341))),IF(K341&lt;=$H341,A_Scoring_Model!$C$14,IF(K341&gt;$I341,0,A_Scoring_Model!$C$15+(A_Scoring_Model!$C$14-A_Scoring_Model!$C$15)*($I341-K341)/($I341-$H341))))))</f>
        <v/>
      </c>
      <c r="P341" s="56" t="str">
        <f aca="false">IF(L341="","",IF($H341=$I341,IF(OR(AND($G341="Higher is better",L341&gt;=$H341),AND($G341="Lower is better",L341&lt;=$H341)),A_Scoring_Model!$C$14,0),IF($G341="Higher is better",IF(L341&gt;=$H341,A_Scoring_Model!$C$14,IF(L341&lt;$I341,0,A_Scoring_Model!$C$15+(A_Scoring_Model!$C$14-A_Scoring_Model!$C$15)*(L341-$I341)/($H341-$I341))),IF(L341&lt;=$H341,A_Scoring_Model!$C$14,IF(L341&gt;$I341,0,A_Scoring_Model!$C$15+(A_Scoring_Model!$C$14-A_Scoring_Model!$C$15)*($I341-L341)/($I341-$H341))))))</f>
        <v/>
      </c>
      <c r="Q341" s="56" t="str">
        <f aca="false">IF(M341="","",IF($H341=$I341,IF(OR(AND($G341="Higher is better",M341&gt;=$H341),AND($G341="Lower is better",M341&lt;=$H341)),A_Scoring_Model!$C$14,0),IF($G341="Higher is better",IF(M341&gt;=$H341,A_Scoring_Model!$C$14,IF(M341&lt;$I341,0,A_Scoring_Model!$C$15+(A_Scoring_Model!$C$14-A_Scoring_Model!$C$15)*(M341-$I341)/($H341-$I341))),IF(M341&lt;=$H341,A_Scoring_Model!$C$14,IF(M341&gt;$I341,0,A_Scoring_Model!$C$15+(A_Scoring_Model!$C$14-A_Scoring_Model!$C$15)*($I341-M341)/($I341-$H341))))))</f>
        <v/>
      </c>
    </row>
    <row r="342" customFormat="false" ht="15" hidden="false" customHeight="false" outlineLevel="0" collapsed="false">
      <c r="A342" s="51" t="str">
        <f aca="false">C_KPI_Benchmark!A342</f>
        <v>6.c-D3-07</v>
      </c>
      <c r="B342" s="52" t="str">
        <f aca="false">C_KPI_Benchmark!D342</f>
        <v>6.c</v>
      </c>
      <c r="C342" s="51" t="str">
        <f aca="false">C_KPI_Benchmark!E342</f>
        <v>RCA Analyzer + Pattern Detector</v>
      </c>
      <c r="D342" s="52" t="str">
        <f aca="false">C_KPI_Benchmark!F342</f>
        <v>D3</v>
      </c>
      <c r="E342" s="51" t="str">
        <f aca="false">C_KPI_Benchmark!J342</f>
        <v>Ingest time for 2 GB logs</v>
      </c>
      <c r="F342" s="52" t="str">
        <f aca="false">C_KPI_Benchmark!K342</f>
        <v>min</v>
      </c>
      <c r="G342" s="51" t="str">
        <f aca="false">C_KPI_Benchmark!L342</f>
        <v>Lower is better</v>
      </c>
      <c r="H342" s="62" t="n">
        <f aca="false">C_KPI_Benchmark!N342</f>
        <v>10</v>
      </c>
      <c r="I342" s="63" t="n">
        <f aca="false">IF(C_KPI_Benchmark!O342&lt;&gt;"",C_KPI_Benchmark!O342,IF(G342="Higher is better",H342*(1-A_Scoring_Model!$C$16),H342*(1+A_Scoring_Model!$C$16)))</f>
        <v>12</v>
      </c>
      <c r="J342" s="64"/>
      <c r="K342" s="64"/>
      <c r="L342" s="64"/>
      <c r="M342" s="64"/>
      <c r="N342" s="56" t="str">
        <f aca="false">IF(J342="","",IF($H342=$I342,IF(OR(AND($G342="Higher is better",J342&gt;=$H342),AND($G342="Lower is better",J342&lt;=$H342)),A_Scoring_Model!$C$14,0),IF($G342="Higher is better",IF(J342&gt;=$H342,A_Scoring_Model!$C$14,IF(J342&lt;$I342,0,A_Scoring_Model!$C$15+(A_Scoring_Model!$C$14-A_Scoring_Model!$C$15)*(J342-$I342)/($H342-$I342))),IF(J342&lt;=$H342,A_Scoring_Model!$C$14,IF(J342&gt;$I342,0,A_Scoring_Model!$C$15+(A_Scoring_Model!$C$14-A_Scoring_Model!$C$15)*($I342-J342)/($I342-$H342))))))</f>
        <v/>
      </c>
      <c r="O342" s="56" t="str">
        <f aca="false">IF(K342="","",IF($H342=$I342,IF(OR(AND($G342="Higher is better",K342&gt;=$H342),AND($G342="Lower is better",K342&lt;=$H342)),A_Scoring_Model!$C$14,0),IF($G342="Higher is better",IF(K342&gt;=$H342,A_Scoring_Model!$C$14,IF(K342&lt;$I342,0,A_Scoring_Model!$C$15+(A_Scoring_Model!$C$14-A_Scoring_Model!$C$15)*(K342-$I342)/($H342-$I342))),IF(K342&lt;=$H342,A_Scoring_Model!$C$14,IF(K342&gt;$I342,0,A_Scoring_Model!$C$15+(A_Scoring_Model!$C$14-A_Scoring_Model!$C$15)*($I342-K342)/($I342-$H342))))))</f>
        <v/>
      </c>
      <c r="P342" s="56" t="str">
        <f aca="false">IF(L342="","",IF($H342=$I342,IF(OR(AND($G342="Higher is better",L342&gt;=$H342),AND($G342="Lower is better",L342&lt;=$H342)),A_Scoring_Model!$C$14,0),IF($G342="Higher is better",IF(L342&gt;=$H342,A_Scoring_Model!$C$14,IF(L342&lt;$I342,0,A_Scoring_Model!$C$15+(A_Scoring_Model!$C$14-A_Scoring_Model!$C$15)*(L342-$I342)/($H342-$I342))),IF(L342&lt;=$H342,A_Scoring_Model!$C$14,IF(L342&gt;$I342,0,A_Scoring_Model!$C$15+(A_Scoring_Model!$C$14-A_Scoring_Model!$C$15)*($I342-L342)/($I342-$H342))))))</f>
        <v/>
      </c>
      <c r="Q342" s="56" t="str">
        <f aca="false">IF(M342="","",IF($H342=$I342,IF(OR(AND($G342="Higher is better",M342&gt;=$H342),AND($G342="Lower is better",M342&lt;=$H342)),A_Scoring_Model!$C$14,0),IF($G342="Higher is better",IF(M342&gt;=$H342,A_Scoring_Model!$C$14,IF(M342&lt;$I342,0,A_Scoring_Model!$C$15+(A_Scoring_Model!$C$14-A_Scoring_Model!$C$15)*(M342-$I342)/($H342-$I342))),IF(M342&lt;=$H342,A_Scoring_Model!$C$14,IF(M342&gt;$I342,0,A_Scoring_Model!$C$15+(A_Scoring_Model!$C$14-A_Scoring_Model!$C$15)*($I342-M342)/($I342-$H342))))))</f>
        <v/>
      </c>
    </row>
    <row r="343" customFormat="false" ht="15" hidden="false" customHeight="false" outlineLevel="0" collapsed="false">
      <c r="A343" s="51" t="str">
        <f aca="false">C_KPI_Benchmark!A343</f>
        <v>6.c-D3-08</v>
      </c>
      <c r="B343" s="52" t="str">
        <f aca="false">C_KPI_Benchmark!D343</f>
        <v>6.c</v>
      </c>
      <c r="C343" s="51" t="str">
        <f aca="false">C_KPI_Benchmark!E343</f>
        <v>RCA Analyzer + Pattern Detector</v>
      </c>
      <c r="D343" s="52" t="str">
        <f aca="false">C_KPI_Benchmark!F343</f>
        <v>D3</v>
      </c>
      <c r="E343" s="51" t="str">
        <f aca="false">C_KPI_Benchmark!J343</f>
        <v>Latency degradation at 10× load</v>
      </c>
      <c r="F343" s="52" t="str">
        <f aca="false">C_KPI_Benchmark!K343</f>
        <v>%</v>
      </c>
      <c r="G343" s="51" t="str">
        <f aca="false">C_KPI_Benchmark!L343</f>
        <v>Lower is better</v>
      </c>
      <c r="H343" s="53" t="n">
        <f aca="false">C_KPI_Benchmark!N343</f>
        <v>0.2</v>
      </c>
      <c r="I343" s="54" t="n">
        <f aca="false">IF(C_KPI_Benchmark!O343&lt;&gt;"",C_KPI_Benchmark!O343,IF(G343="Higher is better",H343*(1-A_Scoring_Model!$C$16),H343*(1+A_Scoring_Model!$C$16)))</f>
        <v>0.4</v>
      </c>
      <c r="J343" s="55"/>
      <c r="K343" s="55"/>
      <c r="L343" s="55"/>
      <c r="M343" s="55"/>
      <c r="N343" s="56" t="str">
        <f aca="false">IF(J343="","",IF($H343=$I343,IF(OR(AND($G343="Higher is better",J343&gt;=$H343),AND($G343="Lower is better",J343&lt;=$H343)),A_Scoring_Model!$C$14,0),IF($G343="Higher is better",IF(J343&gt;=$H343,A_Scoring_Model!$C$14,IF(J343&lt;$I343,0,A_Scoring_Model!$C$15+(A_Scoring_Model!$C$14-A_Scoring_Model!$C$15)*(J343-$I343)/($H343-$I343))),IF(J343&lt;=$H343,A_Scoring_Model!$C$14,IF(J343&gt;$I343,0,A_Scoring_Model!$C$15+(A_Scoring_Model!$C$14-A_Scoring_Model!$C$15)*($I343-J343)/($I343-$H343))))))</f>
        <v/>
      </c>
      <c r="O343" s="56" t="str">
        <f aca="false">IF(K343="","",IF($H343=$I343,IF(OR(AND($G343="Higher is better",K343&gt;=$H343),AND($G343="Lower is better",K343&lt;=$H343)),A_Scoring_Model!$C$14,0),IF($G343="Higher is better",IF(K343&gt;=$H343,A_Scoring_Model!$C$14,IF(K343&lt;$I343,0,A_Scoring_Model!$C$15+(A_Scoring_Model!$C$14-A_Scoring_Model!$C$15)*(K343-$I343)/($H343-$I343))),IF(K343&lt;=$H343,A_Scoring_Model!$C$14,IF(K343&gt;$I343,0,A_Scoring_Model!$C$15+(A_Scoring_Model!$C$14-A_Scoring_Model!$C$15)*($I343-K343)/($I343-$H343))))))</f>
        <v/>
      </c>
      <c r="P343" s="56" t="str">
        <f aca="false">IF(L343="","",IF($H343=$I343,IF(OR(AND($G343="Higher is better",L343&gt;=$H343),AND($G343="Lower is better",L343&lt;=$H343)),A_Scoring_Model!$C$14,0),IF($G343="Higher is better",IF(L343&gt;=$H343,A_Scoring_Model!$C$14,IF(L343&lt;$I343,0,A_Scoring_Model!$C$15+(A_Scoring_Model!$C$14-A_Scoring_Model!$C$15)*(L343-$I343)/($H343-$I343))),IF(L343&lt;=$H343,A_Scoring_Model!$C$14,IF(L343&gt;$I343,0,A_Scoring_Model!$C$15+(A_Scoring_Model!$C$14-A_Scoring_Model!$C$15)*($I343-L343)/($I343-$H343))))))</f>
        <v/>
      </c>
      <c r="Q343" s="56" t="str">
        <f aca="false">IF(M343="","",IF($H343=$I343,IF(OR(AND($G343="Higher is better",M343&gt;=$H343),AND($G343="Lower is better",M343&lt;=$H343)),A_Scoring_Model!$C$14,0),IF($G343="Higher is better",IF(M343&gt;=$H343,A_Scoring_Model!$C$14,IF(M343&lt;$I343,0,A_Scoring_Model!$C$15+(A_Scoring_Model!$C$14-A_Scoring_Model!$C$15)*(M343-$I343)/($H343-$I343))),IF(M343&lt;=$H343,A_Scoring_Model!$C$14,IF(M343&gt;$I343,0,A_Scoring_Model!$C$15+(A_Scoring_Model!$C$14-A_Scoring_Model!$C$15)*($I343-M343)/($I343-$H343))))))</f>
        <v/>
      </c>
    </row>
    <row r="344" customFormat="false" ht="15" hidden="false" customHeight="false" outlineLevel="0" collapsed="false">
      <c r="A344" s="51" t="str">
        <f aca="false">C_KPI_Benchmark!A344</f>
        <v>6.c-D4-09</v>
      </c>
      <c r="B344" s="52" t="str">
        <f aca="false">C_KPI_Benchmark!D344</f>
        <v>6.c</v>
      </c>
      <c r="C344" s="51" t="str">
        <f aca="false">C_KPI_Benchmark!E344</f>
        <v>RCA Analyzer + Pattern Detector</v>
      </c>
      <c r="D344" s="52" t="str">
        <f aca="false">C_KPI_Benchmark!F344</f>
        <v>D4</v>
      </c>
      <c r="E344" s="51" t="str">
        <f aca="false">C_KPI_Benchmark!J344</f>
        <v>Hypotheses citing evidence lines</v>
      </c>
      <c r="F344" s="52" t="str">
        <f aca="false">C_KPI_Benchmark!K344</f>
        <v>%</v>
      </c>
      <c r="G344" s="51" t="str">
        <f aca="false">C_KPI_Benchmark!L344</f>
        <v>Higher is better</v>
      </c>
      <c r="H344" s="53" t="n">
        <f aca="false">C_KPI_Benchmark!N344</f>
        <v>1</v>
      </c>
      <c r="I344" s="54" t="n">
        <f aca="false">IF(C_KPI_Benchmark!O344&lt;&gt;"",C_KPI_Benchmark!O344,IF(G344="Higher is better",H344*(1-A_Scoring_Model!$C$16),H344*(1+A_Scoring_Model!$C$16)))</f>
        <v>0.8</v>
      </c>
      <c r="J344" s="55"/>
      <c r="K344" s="55"/>
      <c r="L344" s="55"/>
      <c r="M344" s="55"/>
      <c r="N344" s="56" t="str">
        <f aca="false">IF(J344="","",IF($H344=$I344,IF(OR(AND($G344="Higher is better",J344&gt;=$H344),AND($G344="Lower is better",J344&lt;=$H344)),A_Scoring_Model!$C$14,0),IF($G344="Higher is better",IF(J344&gt;=$H344,A_Scoring_Model!$C$14,IF(J344&lt;$I344,0,A_Scoring_Model!$C$15+(A_Scoring_Model!$C$14-A_Scoring_Model!$C$15)*(J344-$I344)/($H344-$I344))),IF(J344&lt;=$H344,A_Scoring_Model!$C$14,IF(J344&gt;$I344,0,A_Scoring_Model!$C$15+(A_Scoring_Model!$C$14-A_Scoring_Model!$C$15)*($I344-J344)/($I344-$H344))))))</f>
        <v/>
      </c>
      <c r="O344" s="56" t="str">
        <f aca="false">IF(K344="","",IF($H344=$I344,IF(OR(AND($G344="Higher is better",K344&gt;=$H344),AND($G344="Lower is better",K344&lt;=$H344)),A_Scoring_Model!$C$14,0),IF($G344="Higher is better",IF(K344&gt;=$H344,A_Scoring_Model!$C$14,IF(K344&lt;$I344,0,A_Scoring_Model!$C$15+(A_Scoring_Model!$C$14-A_Scoring_Model!$C$15)*(K344-$I344)/($H344-$I344))),IF(K344&lt;=$H344,A_Scoring_Model!$C$14,IF(K344&gt;$I344,0,A_Scoring_Model!$C$15+(A_Scoring_Model!$C$14-A_Scoring_Model!$C$15)*($I344-K344)/($I344-$H344))))))</f>
        <v/>
      </c>
      <c r="P344" s="56" t="str">
        <f aca="false">IF(L344="","",IF($H344=$I344,IF(OR(AND($G344="Higher is better",L344&gt;=$H344),AND($G344="Lower is better",L344&lt;=$H344)),A_Scoring_Model!$C$14,0),IF($G344="Higher is better",IF(L344&gt;=$H344,A_Scoring_Model!$C$14,IF(L344&lt;$I344,0,A_Scoring_Model!$C$15+(A_Scoring_Model!$C$14-A_Scoring_Model!$C$15)*(L344-$I344)/($H344-$I344))),IF(L344&lt;=$H344,A_Scoring_Model!$C$14,IF(L344&gt;$I344,0,A_Scoring_Model!$C$15+(A_Scoring_Model!$C$14-A_Scoring_Model!$C$15)*($I344-L344)/($I344-$H344))))))</f>
        <v/>
      </c>
      <c r="Q344" s="56" t="str">
        <f aca="false">IF(M344="","",IF($H344=$I344,IF(OR(AND($G344="Higher is better",M344&gt;=$H344),AND($G344="Lower is better",M344&lt;=$H344)),A_Scoring_Model!$C$14,0),IF($G344="Higher is better",IF(M344&gt;=$H344,A_Scoring_Model!$C$14,IF(M344&lt;$I344,0,A_Scoring_Model!$C$15+(A_Scoring_Model!$C$14-A_Scoring_Model!$C$15)*(M344-$I344)/($H344-$I344))),IF(M344&lt;=$H344,A_Scoring_Model!$C$14,IF(M344&gt;$I344,0,A_Scoring_Model!$C$15+(A_Scoring_Model!$C$14-A_Scoring_Model!$C$15)*($I344-M344)/($I344-$H344))))))</f>
        <v/>
      </c>
    </row>
    <row r="345" customFormat="false" ht="15" hidden="false" customHeight="false" outlineLevel="0" collapsed="false">
      <c r="A345" s="51" t="str">
        <f aca="false">C_KPI_Benchmark!A345</f>
        <v>6.c-D4-10</v>
      </c>
      <c r="B345" s="52" t="str">
        <f aca="false">C_KPI_Benchmark!D345</f>
        <v>6.c</v>
      </c>
      <c r="C345" s="51" t="str">
        <f aca="false">C_KPI_Benchmark!E345</f>
        <v>RCA Analyzer + Pattern Detector</v>
      </c>
      <c r="D345" s="52" t="str">
        <f aca="false">C_KPI_Benchmark!F345</f>
        <v>D4</v>
      </c>
      <c r="E345" s="51" t="str">
        <f aca="false">C_KPI_Benchmark!J345</f>
        <v>Service availability</v>
      </c>
      <c r="F345" s="52" t="str">
        <f aca="false">C_KPI_Benchmark!K345</f>
        <v>%</v>
      </c>
      <c r="G345" s="51" t="str">
        <f aca="false">C_KPI_Benchmark!L345</f>
        <v>Higher is better</v>
      </c>
      <c r="H345" s="53" t="n">
        <f aca="false">C_KPI_Benchmark!N345</f>
        <v>0.995</v>
      </c>
      <c r="I345" s="54" t="n">
        <f aca="false">IF(C_KPI_Benchmark!O345&lt;&gt;"",C_KPI_Benchmark!O345,IF(G345="Higher is better",H345*(1-A_Scoring_Model!$C$16),H345*(1+A_Scoring_Model!$C$16)))</f>
        <v>0.99</v>
      </c>
      <c r="J345" s="55"/>
      <c r="K345" s="55"/>
      <c r="L345" s="55"/>
      <c r="M345" s="55"/>
      <c r="N345" s="56" t="str">
        <f aca="false">IF(J345="","",IF($H345=$I345,IF(OR(AND($G345="Higher is better",J345&gt;=$H345),AND($G345="Lower is better",J345&lt;=$H345)),A_Scoring_Model!$C$14,0),IF($G345="Higher is better",IF(J345&gt;=$H345,A_Scoring_Model!$C$14,IF(J345&lt;$I345,0,A_Scoring_Model!$C$15+(A_Scoring_Model!$C$14-A_Scoring_Model!$C$15)*(J345-$I345)/($H345-$I345))),IF(J345&lt;=$H345,A_Scoring_Model!$C$14,IF(J345&gt;$I345,0,A_Scoring_Model!$C$15+(A_Scoring_Model!$C$14-A_Scoring_Model!$C$15)*($I345-J345)/($I345-$H345))))))</f>
        <v/>
      </c>
      <c r="O345" s="56" t="str">
        <f aca="false">IF(K345="","",IF($H345=$I345,IF(OR(AND($G345="Higher is better",K345&gt;=$H345),AND($G345="Lower is better",K345&lt;=$H345)),A_Scoring_Model!$C$14,0),IF($G345="Higher is better",IF(K345&gt;=$H345,A_Scoring_Model!$C$14,IF(K345&lt;$I345,0,A_Scoring_Model!$C$15+(A_Scoring_Model!$C$14-A_Scoring_Model!$C$15)*(K345-$I345)/($H345-$I345))),IF(K345&lt;=$H345,A_Scoring_Model!$C$14,IF(K345&gt;$I345,0,A_Scoring_Model!$C$15+(A_Scoring_Model!$C$14-A_Scoring_Model!$C$15)*($I345-K345)/($I345-$H345))))))</f>
        <v/>
      </c>
      <c r="P345" s="56" t="str">
        <f aca="false">IF(L345="","",IF($H345=$I345,IF(OR(AND($G345="Higher is better",L345&gt;=$H345),AND($G345="Lower is better",L345&lt;=$H345)),A_Scoring_Model!$C$14,0),IF($G345="Higher is better",IF(L345&gt;=$H345,A_Scoring_Model!$C$14,IF(L345&lt;$I345,0,A_Scoring_Model!$C$15+(A_Scoring_Model!$C$14-A_Scoring_Model!$C$15)*(L345-$I345)/($H345-$I345))),IF(L345&lt;=$H345,A_Scoring_Model!$C$14,IF(L345&gt;$I345,0,A_Scoring_Model!$C$15+(A_Scoring_Model!$C$14-A_Scoring_Model!$C$15)*($I345-L345)/($I345-$H345))))))</f>
        <v/>
      </c>
      <c r="Q345" s="56" t="str">
        <f aca="false">IF(M345="","",IF($H345=$I345,IF(OR(AND($G345="Higher is better",M345&gt;=$H345),AND($G345="Lower is better",M345&lt;=$H345)),A_Scoring_Model!$C$14,0),IF($G345="Higher is better",IF(M345&gt;=$H345,A_Scoring_Model!$C$14,IF(M345&lt;$I345,0,A_Scoring_Model!$C$15+(A_Scoring_Model!$C$14-A_Scoring_Model!$C$15)*(M345-$I345)/($H345-$I345))),IF(M345&lt;=$H345,A_Scoring_Model!$C$14,IF(M345&gt;$I345,0,A_Scoring_Model!$C$15+(A_Scoring_Model!$C$14-A_Scoring_Model!$C$15)*($I345-M345)/($I345-$H345))))))</f>
        <v/>
      </c>
    </row>
    <row r="346" customFormat="false" ht="15" hidden="false" customHeight="false" outlineLevel="0" collapsed="false">
      <c r="A346" s="51" t="str">
        <f aca="false">C_KPI_Benchmark!A346</f>
        <v>6.c-D5-11</v>
      </c>
      <c r="B346" s="52" t="str">
        <f aca="false">C_KPI_Benchmark!D346</f>
        <v>6.c</v>
      </c>
      <c r="C346" s="51" t="str">
        <f aca="false">C_KPI_Benchmark!E346</f>
        <v>RCA Analyzer + Pattern Detector</v>
      </c>
      <c r="D346" s="52" t="str">
        <f aca="false">C_KPI_Benchmark!F346</f>
        <v>D5</v>
      </c>
      <c r="E346" s="51" t="str">
        <f aca="false">C_KPI_Benchmark!J346</f>
        <v>Defect open → RCA time reduction</v>
      </c>
      <c r="F346" s="52" t="str">
        <f aca="false">C_KPI_Benchmark!K346</f>
        <v>%</v>
      </c>
      <c r="G346" s="51" t="str">
        <f aca="false">C_KPI_Benchmark!L346</f>
        <v>Higher is better</v>
      </c>
      <c r="H346" s="53" t="n">
        <f aca="false">C_KPI_Benchmark!N346</f>
        <v>0.4</v>
      </c>
      <c r="I346" s="54" t="n">
        <f aca="false">IF(C_KPI_Benchmark!O346&lt;&gt;"",C_KPI_Benchmark!O346,IF(G346="Higher is better",H346*(1-A_Scoring_Model!$C$16),H346*(1+A_Scoring_Model!$C$16)))</f>
        <v>0.32</v>
      </c>
      <c r="J346" s="55"/>
      <c r="K346" s="55"/>
      <c r="L346" s="55"/>
      <c r="M346" s="55"/>
      <c r="N346" s="56" t="str">
        <f aca="false">IF(J346="","",IF($H346=$I346,IF(OR(AND($G346="Higher is better",J346&gt;=$H346),AND($G346="Lower is better",J346&lt;=$H346)),A_Scoring_Model!$C$14,0),IF($G346="Higher is better",IF(J346&gt;=$H346,A_Scoring_Model!$C$14,IF(J346&lt;$I346,0,A_Scoring_Model!$C$15+(A_Scoring_Model!$C$14-A_Scoring_Model!$C$15)*(J346-$I346)/($H346-$I346))),IF(J346&lt;=$H346,A_Scoring_Model!$C$14,IF(J346&gt;$I346,0,A_Scoring_Model!$C$15+(A_Scoring_Model!$C$14-A_Scoring_Model!$C$15)*($I346-J346)/($I346-$H346))))))</f>
        <v/>
      </c>
      <c r="O346" s="56" t="str">
        <f aca="false">IF(K346="","",IF($H346=$I346,IF(OR(AND($G346="Higher is better",K346&gt;=$H346),AND($G346="Lower is better",K346&lt;=$H346)),A_Scoring_Model!$C$14,0),IF($G346="Higher is better",IF(K346&gt;=$H346,A_Scoring_Model!$C$14,IF(K346&lt;$I346,0,A_Scoring_Model!$C$15+(A_Scoring_Model!$C$14-A_Scoring_Model!$C$15)*(K346-$I346)/($H346-$I346))),IF(K346&lt;=$H346,A_Scoring_Model!$C$14,IF(K346&gt;$I346,0,A_Scoring_Model!$C$15+(A_Scoring_Model!$C$14-A_Scoring_Model!$C$15)*($I346-K346)/($I346-$H346))))))</f>
        <v/>
      </c>
      <c r="P346" s="56" t="str">
        <f aca="false">IF(L346="","",IF($H346=$I346,IF(OR(AND($G346="Higher is better",L346&gt;=$H346),AND($G346="Lower is better",L346&lt;=$H346)),A_Scoring_Model!$C$14,0),IF($G346="Higher is better",IF(L346&gt;=$H346,A_Scoring_Model!$C$14,IF(L346&lt;$I346,0,A_Scoring_Model!$C$15+(A_Scoring_Model!$C$14-A_Scoring_Model!$C$15)*(L346-$I346)/($H346-$I346))),IF(L346&lt;=$H346,A_Scoring_Model!$C$14,IF(L346&gt;$I346,0,A_Scoring_Model!$C$15+(A_Scoring_Model!$C$14-A_Scoring_Model!$C$15)*($I346-L346)/($I346-$H346))))))</f>
        <v/>
      </c>
      <c r="Q346" s="56" t="str">
        <f aca="false">IF(M346="","",IF($H346=$I346,IF(OR(AND($G346="Higher is better",M346&gt;=$H346),AND($G346="Lower is better",M346&lt;=$H346)),A_Scoring_Model!$C$14,0),IF($G346="Higher is better",IF(M346&gt;=$H346,A_Scoring_Model!$C$14,IF(M346&lt;$I346,0,A_Scoring_Model!$C$15+(A_Scoring_Model!$C$14-A_Scoring_Model!$C$15)*(M346-$I346)/($H346-$I346))),IF(M346&lt;=$H346,A_Scoring_Model!$C$14,IF(M346&gt;$I346,0,A_Scoring_Model!$C$15+(A_Scoring_Model!$C$14-A_Scoring_Model!$C$15)*($I346-M346)/($I346-$H346))))))</f>
        <v/>
      </c>
    </row>
    <row r="347" customFormat="false" ht="15" hidden="false" customHeight="false" outlineLevel="0" collapsed="false">
      <c r="A347" s="51" t="str">
        <f aca="false">C_KPI_Benchmark!A347</f>
        <v>6.c-D6-12</v>
      </c>
      <c r="B347" s="52" t="str">
        <f aca="false">C_KPI_Benchmark!D347</f>
        <v>6.c</v>
      </c>
      <c r="C347" s="51" t="str">
        <f aca="false">C_KPI_Benchmark!E347</f>
        <v>RCA Analyzer + Pattern Detector</v>
      </c>
      <c r="D347" s="52" t="str">
        <f aca="false">C_KPI_Benchmark!F347</f>
        <v>D6</v>
      </c>
      <c r="E347" s="51" t="str">
        <f aca="false">C_KPI_Benchmark!J347</f>
        <v>Solution code test coverage</v>
      </c>
      <c r="F347" s="52" t="str">
        <f aca="false">C_KPI_Benchmark!K347</f>
        <v>%</v>
      </c>
      <c r="G347" s="51" t="str">
        <f aca="false">C_KPI_Benchmark!L347</f>
        <v>Higher is better</v>
      </c>
      <c r="H347" s="53" t="n">
        <f aca="false">C_KPI_Benchmark!N347</f>
        <v>0.8</v>
      </c>
      <c r="I347" s="54" t="n">
        <f aca="false">IF(C_KPI_Benchmark!O347&lt;&gt;"",C_KPI_Benchmark!O347,IF(G347="Higher is better",H347*(1-A_Scoring_Model!$C$16),H347*(1+A_Scoring_Model!$C$16)))</f>
        <v>0.6</v>
      </c>
      <c r="J347" s="55"/>
      <c r="K347" s="55"/>
      <c r="L347" s="55"/>
      <c r="M347" s="55"/>
      <c r="N347" s="56" t="str">
        <f aca="false">IF(J347="","",IF($H347=$I347,IF(OR(AND($G347="Higher is better",J347&gt;=$H347),AND($G347="Lower is better",J347&lt;=$H347)),A_Scoring_Model!$C$14,0),IF($G347="Higher is better",IF(J347&gt;=$H347,A_Scoring_Model!$C$14,IF(J347&lt;$I347,0,A_Scoring_Model!$C$15+(A_Scoring_Model!$C$14-A_Scoring_Model!$C$15)*(J347-$I347)/($H347-$I347))),IF(J347&lt;=$H347,A_Scoring_Model!$C$14,IF(J347&gt;$I347,0,A_Scoring_Model!$C$15+(A_Scoring_Model!$C$14-A_Scoring_Model!$C$15)*($I347-J347)/($I347-$H347))))))</f>
        <v/>
      </c>
      <c r="O347" s="56" t="str">
        <f aca="false">IF(K347="","",IF($H347=$I347,IF(OR(AND($G347="Higher is better",K347&gt;=$H347),AND($G347="Lower is better",K347&lt;=$H347)),A_Scoring_Model!$C$14,0),IF($G347="Higher is better",IF(K347&gt;=$H347,A_Scoring_Model!$C$14,IF(K347&lt;$I347,0,A_Scoring_Model!$C$15+(A_Scoring_Model!$C$14-A_Scoring_Model!$C$15)*(K347-$I347)/($H347-$I347))),IF(K347&lt;=$H347,A_Scoring_Model!$C$14,IF(K347&gt;$I347,0,A_Scoring_Model!$C$15+(A_Scoring_Model!$C$14-A_Scoring_Model!$C$15)*($I347-K347)/($I347-$H347))))))</f>
        <v/>
      </c>
      <c r="P347" s="56" t="str">
        <f aca="false">IF(L347="","",IF($H347=$I347,IF(OR(AND($G347="Higher is better",L347&gt;=$H347),AND($G347="Lower is better",L347&lt;=$H347)),A_Scoring_Model!$C$14,0),IF($G347="Higher is better",IF(L347&gt;=$H347,A_Scoring_Model!$C$14,IF(L347&lt;$I347,0,A_Scoring_Model!$C$15+(A_Scoring_Model!$C$14-A_Scoring_Model!$C$15)*(L347-$I347)/($H347-$I347))),IF(L347&lt;=$H347,A_Scoring_Model!$C$14,IF(L347&gt;$I347,0,A_Scoring_Model!$C$15+(A_Scoring_Model!$C$14-A_Scoring_Model!$C$15)*($I347-L347)/($I347-$H347))))))</f>
        <v/>
      </c>
      <c r="Q347" s="56" t="str">
        <f aca="false">IF(M347="","",IF($H347=$I347,IF(OR(AND($G347="Higher is better",M347&gt;=$H347),AND($G347="Lower is better",M347&lt;=$H347)),A_Scoring_Model!$C$14,0),IF($G347="Higher is better",IF(M347&gt;=$H347,A_Scoring_Model!$C$14,IF(M347&lt;$I347,0,A_Scoring_Model!$C$15+(A_Scoring_Model!$C$14-A_Scoring_Model!$C$15)*(M347-$I347)/($H347-$I347))),IF(M347&lt;=$H347,A_Scoring_Model!$C$14,IF(M347&gt;$I347,0,A_Scoring_Model!$C$15+(A_Scoring_Model!$C$14-A_Scoring_Model!$C$15)*($I347-M347)/($I347-$H347))))))</f>
        <v/>
      </c>
    </row>
    <row r="348" customFormat="false" ht="15" hidden="false" customHeight="false" outlineLevel="0" collapsed="false">
      <c r="A348" s="51" t="str">
        <f aca="false">C_KPI_Benchmark!A348</f>
        <v>6.c-D6-13</v>
      </c>
      <c r="B348" s="52" t="str">
        <f aca="false">C_KPI_Benchmark!D348</f>
        <v>6.c</v>
      </c>
      <c r="C348" s="51" t="str">
        <f aca="false">C_KPI_Benchmark!E348</f>
        <v>RCA Analyzer + Pattern Detector</v>
      </c>
      <c r="D348" s="52" t="str">
        <f aca="false">C_KPI_Benchmark!F348</f>
        <v>D6</v>
      </c>
      <c r="E348" s="51" t="str">
        <f aca="false">C_KPI_Benchmark!J348</f>
        <v>Review Shield critical findings</v>
      </c>
      <c r="F348" s="52" t="str">
        <f aca="false">C_KPI_Benchmark!K348</f>
        <v>count</v>
      </c>
      <c r="G348" s="51" t="str">
        <f aca="false">C_KPI_Benchmark!L348</f>
        <v>Lower is better</v>
      </c>
      <c r="H348" s="62" t="n">
        <f aca="false">C_KPI_Benchmark!N348</f>
        <v>0</v>
      </c>
      <c r="I348" s="63" t="n">
        <f aca="false">IF(C_KPI_Benchmark!O348&lt;&gt;"",C_KPI_Benchmark!O348,IF(G348="Higher is better",H348*(1-A_Scoring_Model!$C$16),H348*(1+A_Scoring_Model!$C$16)))</f>
        <v>0</v>
      </c>
      <c r="J348" s="64"/>
      <c r="K348" s="64"/>
      <c r="L348" s="64"/>
      <c r="M348" s="64"/>
      <c r="N348" s="56" t="str">
        <f aca="false">IF(J348="","",IF($H348=$I348,IF(OR(AND($G348="Higher is better",J348&gt;=$H348),AND($G348="Lower is better",J348&lt;=$H348)),A_Scoring_Model!$C$14,0),IF($G348="Higher is better",IF(J348&gt;=$H348,A_Scoring_Model!$C$14,IF(J348&lt;$I348,0,A_Scoring_Model!$C$15+(A_Scoring_Model!$C$14-A_Scoring_Model!$C$15)*(J348-$I348)/($H348-$I348))),IF(J348&lt;=$H348,A_Scoring_Model!$C$14,IF(J348&gt;$I348,0,A_Scoring_Model!$C$15+(A_Scoring_Model!$C$14-A_Scoring_Model!$C$15)*($I348-J348)/($I348-$H348))))))</f>
        <v/>
      </c>
      <c r="O348" s="56" t="str">
        <f aca="false">IF(K348="","",IF($H348=$I348,IF(OR(AND($G348="Higher is better",K348&gt;=$H348),AND($G348="Lower is better",K348&lt;=$H348)),A_Scoring_Model!$C$14,0),IF($G348="Higher is better",IF(K348&gt;=$H348,A_Scoring_Model!$C$14,IF(K348&lt;$I348,0,A_Scoring_Model!$C$15+(A_Scoring_Model!$C$14-A_Scoring_Model!$C$15)*(K348-$I348)/($H348-$I348))),IF(K348&lt;=$H348,A_Scoring_Model!$C$14,IF(K348&gt;$I348,0,A_Scoring_Model!$C$15+(A_Scoring_Model!$C$14-A_Scoring_Model!$C$15)*($I348-K348)/($I348-$H348))))))</f>
        <v/>
      </c>
      <c r="P348" s="56" t="str">
        <f aca="false">IF(L348="","",IF($H348=$I348,IF(OR(AND($G348="Higher is better",L348&gt;=$H348),AND($G348="Lower is better",L348&lt;=$H348)),A_Scoring_Model!$C$14,0),IF($G348="Higher is better",IF(L348&gt;=$H348,A_Scoring_Model!$C$14,IF(L348&lt;$I348,0,A_Scoring_Model!$C$15+(A_Scoring_Model!$C$14-A_Scoring_Model!$C$15)*(L348-$I348)/($H348-$I348))),IF(L348&lt;=$H348,A_Scoring_Model!$C$14,IF(L348&gt;$I348,0,A_Scoring_Model!$C$15+(A_Scoring_Model!$C$14-A_Scoring_Model!$C$15)*($I348-L348)/($I348-$H348))))))</f>
        <v/>
      </c>
      <c r="Q348" s="56" t="str">
        <f aca="false">IF(M348="","",IF($H348=$I348,IF(OR(AND($G348="Higher is better",M348&gt;=$H348),AND($G348="Lower is better",M348&lt;=$H348)),A_Scoring_Model!$C$14,0),IF($G348="Higher is better",IF(M348&gt;=$H348,A_Scoring_Model!$C$14,IF(M348&lt;$I348,0,A_Scoring_Model!$C$15+(A_Scoring_Model!$C$14-A_Scoring_Model!$C$15)*(M348-$I348)/($H348-$I348))),IF(M348&lt;=$H348,A_Scoring_Model!$C$14,IF(M348&gt;$I348,0,A_Scoring_Model!$C$15+(A_Scoring_Model!$C$14-A_Scoring_Model!$C$15)*($I348-M348)/($I348-$H348))))))</f>
        <v/>
      </c>
    </row>
    <row r="349" customFormat="false" ht="15" hidden="false" customHeight="false" outlineLevel="0" collapsed="false">
      <c r="A349" s="51" t="str">
        <f aca="false">C_KPI_Benchmark!A349</f>
        <v>6.c-D6-14</v>
      </c>
      <c r="B349" s="52" t="str">
        <f aca="false">C_KPI_Benchmark!D349</f>
        <v>6.c</v>
      </c>
      <c r="C349" s="51" t="str">
        <f aca="false">C_KPI_Benchmark!E349</f>
        <v>RCA Analyzer + Pattern Detector</v>
      </c>
      <c r="D349" s="52" t="str">
        <f aca="false">C_KPI_Benchmark!F349</f>
        <v>D6</v>
      </c>
      <c r="E349" s="51" t="str">
        <f aca="false">C_KPI_Benchmark!J349</f>
        <v>SAST high findings and exposed secrets</v>
      </c>
      <c r="F349" s="52" t="str">
        <f aca="false">C_KPI_Benchmark!K349</f>
        <v>count</v>
      </c>
      <c r="G349" s="51" t="str">
        <f aca="false">C_KPI_Benchmark!L349</f>
        <v>Lower is better</v>
      </c>
      <c r="H349" s="62" t="n">
        <f aca="false">C_KPI_Benchmark!N349</f>
        <v>0</v>
      </c>
      <c r="I349" s="63" t="n">
        <f aca="false">IF(C_KPI_Benchmark!O349&lt;&gt;"",C_KPI_Benchmark!O349,IF(G349="Higher is better",H349*(1-A_Scoring_Model!$C$16),H349*(1+A_Scoring_Model!$C$16)))</f>
        <v>0</v>
      </c>
      <c r="J349" s="64"/>
      <c r="K349" s="64"/>
      <c r="L349" s="64"/>
      <c r="M349" s="64"/>
      <c r="N349" s="56" t="str">
        <f aca="false">IF(J349="","",IF($H349=$I349,IF(OR(AND($G349="Higher is better",J349&gt;=$H349),AND($G349="Lower is better",J349&lt;=$H349)),A_Scoring_Model!$C$14,0),IF($G349="Higher is better",IF(J349&gt;=$H349,A_Scoring_Model!$C$14,IF(J349&lt;$I349,0,A_Scoring_Model!$C$15+(A_Scoring_Model!$C$14-A_Scoring_Model!$C$15)*(J349-$I349)/($H349-$I349))),IF(J349&lt;=$H349,A_Scoring_Model!$C$14,IF(J349&gt;$I349,0,A_Scoring_Model!$C$15+(A_Scoring_Model!$C$14-A_Scoring_Model!$C$15)*($I349-J349)/($I349-$H349))))))</f>
        <v/>
      </c>
      <c r="O349" s="56" t="str">
        <f aca="false">IF(K349="","",IF($H349=$I349,IF(OR(AND($G349="Higher is better",K349&gt;=$H349),AND($G349="Lower is better",K349&lt;=$H349)),A_Scoring_Model!$C$14,0),IF($G349="Higher is better",IF(K349&gt;=$H349,A_Scoring_Model!$C$14,IF(K349&lt;$I349,0,A_Scoring_Model!$C$15+(A_Scoring_Model!$C$14-A_Scoring_Model!$C$15)*(K349-$I349)/($H349-$I349))),IF(K349&lt;=$H349,A_Scoring_Model!$C$14,IF(K349&gt;$I349,0,A_Scoring_Model!$C$15+(A_Scoring_Model!$C$14-A_Scoring_Model!$C$15)*($I349-K349)/($I349-$H349))))))</f>
        <v/>
      </c>
      <c r="P349" s="56" t="str">
        <f aca="false">IF(L349="","",IF($H349=$I349,IF(OR(AND($G349="Higher is better",L349&gt;=$H349),AND($G349="Lower is better",L349&lt;=$H349)),A_Scoring_Model!$C$14,0),IF($G349="Higher is better",IF(L349&gt;=$H349,A_Scoring_Model!$C$14,IF(L349&lt;$I349,0,A_Scoring_Model!$C$15+(A_Scoring_Model!$C$14-A_Scoring_Model!$C$15)*(L349-$I349)/($H349-$I349))),IF(L349&lt;=$H349,A_Scoring_Model!$C$14,IF(L349&gt;$I349,0,A_Scoring_Model!$C$15+(A_Scoring_Model!$C$14-A_Scoring_Model!$C$15)*($I349-L349)/($I349-$H349))))))</f>
        <v/>
      </c>
      <c r="Q349" s="56" t="str">
        <f aca="false">IF(M349="","",IF($H349=$I349,IF(OR(AND($G349="Higher is better",M349&gt;=$H349),AND($G349="Lower is better",M349&lt;=$H349)),A_Scoring_Model!$C$14,0),IF($G349="Higher is better",IF(M349&gt;=$H349,A_Scoring_Model!$C$14,IF(M349&lt;$I349,0,A_Scoring_Model!$C$15+(A_Scoring_Model!$C$14-A_Scoring_Model!$C$15)*(M349-$I349)/($H349-$I349))),IF(M349&lt;=$H349,A_Scoring_Model!$C$14,IF(M349&gt;$I349,0,A_Scoring_Model!$C$15+(A_Scoring_Model!$C$14-A_Scoring_Model!$C$15)*($I349-M349)/($I349-$H349))))))</f>
        <v/>
      </c>
    </row>
    <row r="350" customFormat="false" ht="23.85" hidden="false" customHeight="false" outlineLevel="0" collapsed="false">
      <c r="A350" s="51" t="str">
        <f aca="false">C_KPI_Benchmark!A350</f>
        <v>6.c-D6-15</v>
      </c>
      <c r="B350" s="52" t="str">
        <f aca="false">C_KPI_Benchmark!D350</f>
        <v>6.c</v>
      </c>
      <c r="C350" s="51" t="str">
        <f aca="false">C_KPI_Benchmark!E350</f>
        <v>RCA Analyzer + Pattern Detector</v>
      </c>
      <c r="D350" s="52" t="str">
        <f aca="false">C_KPI_Benchmark!F350</f>
        <v>D6</v>
      </c>
      <c r="E350" s="51" t="str">
        <f aca="false">C_KPI_Benchmark!J350</f>
        <v>Documentation pack complete (README, I/O contract, model card, runbook)</v>
      </c>
      <c r="F350" s="52" t="str">
        <f aca="false">C_KPI_Benchmark!K350</f>
        <v>Yes/No</v>
      </c>
      <c r="G350" s="51" t="str">
        <f aca="false">C_KPI_Benchmark!L350</f>
        <v>Higher is better</v>
      </c>
      <c r="H350" s="60" t="n">
        <f aca="false">C_KPI_Benchmark!N350</f>
        <v>1</v>
      </c>
      <c r="I350" s="56" t="n">
        <f aca="false">IF(C_KPI_Benchmark!O350&lt;&gt;"",C_KPI_Benchmark!O350,IF(G350="Higher is better",H350*(1-A_Scoring_Model!$C$16),H350*(1+A_Scoring_Model!$C$16)))</f>
        <v>0.8</v>
      </c>
      <c r="J350" s="61"/>
      <c r="K350" s="61"/>
      <c r="L350" s="61"/>
      <c r="M350" s="61"/>
      <c r="N350" s="56" t="str">
        <f aca="false">IF(J350="","",IF($H350=$I350,IF(OR(AND($G350="Higher is better",J350&gt;=$H350),AND($G350="Lower is better",J350&lt;=$H350)),A_Scoring_Model!$C$14,0),IF($G350="Higher is better",IF(J350&gt;=$H350,A_Scoring_Model!$C$14,IF(J350&lt;$I350,0,A_Scoring_Model!$C$15+(A_Scoring_Model!$C$14-A_Scoring_Model!$C$15)*(J350-$I350)/($H350-$I350))),IF(J350&lt;=$H350,A_Scoring_Model!$C$14,IF(J350&gt;$I350,0,A_Scoring_Model!$C$15+(A_Scoring_Model!$C$14-A_Scoring_Model!$C$15)*($I350-J350)/($I350-$H350))))))</f>
        <v/>
      </c>
      <c r="O350" s="56" t="str">
        <f aca="false">IF(K350="","",IF($H350=$I350,IF(OR(AND($G350="Higher is better",K350&gt;=$H350),AND($G350="Lower is better",K350&lt;=$H350)),A_Scoring_Model!$C$14,0),IF($G350="Higher is better",IF(K350&gt;=$H350,A_Scoring_Model!$C$14,IF(K350&lt;$I350,0,A_Scoring_Model!$C$15+(A_Scoring_Model!$C$14-A_Scoring_Model!$C$15)*(K350-$I350)/($H350-$I350))),IF(K350&lt;=$H350,A_Scoring_Model!$C$14,IF(K350&gt;$I350,0,A_Scoring_Model!$C$15+(A_Scoring_Model!$C$14-A_Scoring_Model!$C$15)*($I350-K350)/($I350-$H350))))))</f>
        <v/>
      </c>
      <c r="P350" s="56" t="str">
        <f aca="false">IF(L350="","",IF($H350=$I350,IF(OR(AND($G350="Higher is better",L350&gt;=$H350),AND($G350="Lower is better",L350&lt;=$H350)),A_Scoring_Model!$C$14,0),IF($G350="Higher is better",IF(L350&gt;=$H350,A_Scoring_Model!$C$14,IF(L350&lt;$I350,0,A_Scoring_Model!$C$15+(A_Scoring_Model!$C$14-A_Scoring_Model!$C$15)*(L350-$I350)/($H350-$I350))),IF(L350&lt;=$H350,A_Scoring_Model!$C$14,IF(L350&gt;$I350,0,A_Scoring_Model!$C$15+(A_Scoring_Model!$C$14-A_Scoring_Model!$C$15)*($I350-L350)/($I350-$H350))))))</f>
        <v/>
      </c>
      <c r="Q350" s="56" t="str">
        <f aca="false">IF(M350="","",IF($H350=$I350,IF(OR(AND($G350="Higher is better",M350&gt;=$H350),AND($G350="Lower is better",M350&lt;=$H350)),A_Scoring_Model!$C$14,0),IF($G350="Higher is better",IF(M350&gt;=$H350,A_Scoring_Model!$C$14,IF(M350&lt;$I350,0,A_Scoring_Model!$C$15+(A_Scoring_Model!$C$14-A_Scoring_Model!$C$15)*(M350-$I350)/($H350-$I350))),IF(M350&lt;=$H350,A_Scoring_Model!$C$14,IF(M350&gt;$I350,0,A_Scoring_Model!$C$15+(A_Scoring_Model!$C$14-A_Scoring_Model!$C$15)*($I350-M350)/($I350-$H350))))))</f>
        <v/>
      </c>
    </row>
    <row r="351" customFormat="false" ht="15" hidden="false" customHeight="false" outlineLevel="0" collapsed="false">
      <c r="A351" s="51" t="str">
        <f aca="false">C_KPI_Benchmark!A351</f>
        <v>6.c-D6-16</v>
      </c>
      <c r="B351" s="52" t="str">
        <f aca="false">C_KPI_Benchmark!D351</f>
        <v>6.c</v>
      </c>
      <c r="C351" s="51" t="str">
        <f aca="false">C_KPI_Benchmark!E351</f>
        <v>RCA Analyzer + Pattern Detector</v>
      </c>
      <c r="D351" s="52" t="str">
        <f aca="false">C_KPI_Benchmark!F351</f>
        <v>D6</v>
      </c>
      <c r="E351" s="51" t="str">
        <f aca="false">C_KPI_Benchmark!J351</f>
        <v>Named owner and support SLA</v>
      </c>
      <c r="F351" s="52" t="str">
        <f aca="false">C_KPI_Benchmark!K351</f>
        <v>Yes/No</v>
      </c>
      <c r="G351" s="51" t="str">
        <f aca="false">C_KPI_Benchmark!L351</f>
        <v>Higher is better</v>
      </c>
      <c r="H351" s="60" t="n">
        <f aca="false">C_KPI_Benchmark!N351</f>
        <v>1</v>
      </c>
      <c r="I351" s="56" t="n">
        <f aca="false">IF(C_KPI_Benchmark!O351&lt;&gt;"",C_KPI_Benchmark!O351,IF(G351="Higher is better",H351*(1-A_Scoring_Model!$C$16),H351*(1+A_Scoring_Model!$C$16)))</f>
        <v>0.8</v>
      </c>
      <c r="J351" s="61"/>
      <c r="K351" s="61"/>
      <c r="L351" s="61"/>
      <c r="M351" s="61"/>
      <c r="N351" s="56" t="str">
        <f aca="false">IF(J351="","",IF($H351=$I351,IF(OR(AND($G351="Higher is better",J351&gt;=$H351),AND($G351="Lower is better",J351&lt;=$H351)),A_Scoring_Model!$C$14,0),IF($G351="Higher is better",IF(J351&gt;=$H351,A_Scoring_Model!$C$14,IF(J351&lt;$I351,0,A_Scoring_Model!$C$15+(A_Scoring_Model!$C$14-A_Scoring_Model!$C$15)*(J351-$I351)/($H351-$I351))),IF(J351&lt;=$H351,A_Scoring_Model!$C$14,IF(J351&gt;$I351,0,A_Scoring_Model!$C$15+(A_Scoring_Model!$C$14-A_Scoring_Model!$C$15)*($I351-J351)/($I351-$H351))))))</f>
        <v/>
      </c>
      <c r="O351" s="56" t="str">
        <f aca="false">IF(K351="","",IF($H351=$I351,IF(OR(AND($G351="Higher is better",K351&gt;=$H351),AND($G351="Lower is better",K351&lt;=$H351)),A_Scoring_Model!$C$14,0),IF($G351="Higher is better",IF(K351&gt;=$H351,A_Scoring_Model!$C$14,IF(K351&lt;$I351,0,A_Scoring_Model!$C$15+(A_Scoring_Model!$C$14-A_Scoring_Model!$C$15)*(K351-$I351)/($H351-$I351))),IF(K351&lt;=$H351,A_Scoring_Model!$C$14,IF(K351&gt;$I351,0,A_Scoring_Model!$C$15+(A_Scoring_Model!$C$14-A_Scoring_Model!$C$15)*($I351-K351)/($I351-$H351))))))</f>
        <v/>
      </c>
      <c r="P351" s="56" t="str">
        <f aca="false">IF(L351="","",IF($H351=$I351,IF(OR(AND($G351="Higher is better",L351&gt;=$H351),AND($G351="Lower is better",L351&lt;=$H351)),A_Scoring_Model!$C$14,0),IF($G351="Higher is better",IF(L351&gt;=$H351,A_Scoring_Model!$C$14,IF(L351&lt;$I351,0,A_Scoring_Model!$C$15+(A_Scoring_Model!$C$14-A_Scoring_Model!$C$15)*(L351-$I351)/($H351-$I351))),IF(L351&lt;=$H351,A_Scoring_Model!$C$14,IF(L351&gt;$I351,0,A_Scoring_Model!$C$15+(A_Scoring_Model!$C$14-A_Scoring_Model!$C$15)*($I351-L351)/($I351-$H351))))))</f>
        <v/>
      </c>
      <c r="Q351" s="56" t="str">
        <f aca="false">IF(M351="","",IF($H351=$I351,IF(OR(AND($G351="Higher is better",M351&gt;=$H351),AND($G351="Lower is better",M351&lt;=$H351)),A_Scoring_Model!$C$14,0),IF($G351="Higher is better",IF(M351&gt;=$H351,A_Scoring_Model!$C$14,IF(M351&lt;$I351,0,A_Scoring_Model!$C$15+(A_Scoring_Model!$C$14-A_Scoring_Model!$C$15)*(M351-$I351)/($H351-$I351))),IF(M351&lt;=$H351,A_Scoring_Model!$C$14,IF(M351&gt;$I351,0,A_Scoring_Model!$C$15+(A_Scoring_Model!$C$14-A_Scoring_Model!$C$15)*($I351-M351)/($I351-$H351))))))</f>
        <v/>
      </c>
    </row>
    <row r="352" customFormat="false" ht="15" hidden="false" customHeight="false" outlineLevel="0" collapsed="false">
      <c r="A352" s="51" t="str">
        <f aca="false">C_KPI_Benchmark!A352</f>
        <v>7.a-D1-01</v>
      </c>
      <c r="B352" s="52" t="str">
        <f aca="false">C_KPI_Benchmark!D352</f>
        <v>7.a</v>
      </c>
      <c r="C352" s="51" t="str">
        <f aca="false">C_KPI_Benchmark!E352</f>
        <v>Metrics Analytics Intelligence</v>
      </c>
      <c r="D352" s="52" t="str">
        <f aca="false">C_KPI_Benchmark!F352</f>
        <v>D1</v>
      </c>
      <c r="E352" s="51" t="str">
        <f aca="false">C_KPI_Benchmark!J352</f>
        <v>NL → query execution accuracy</v>
      </c>
      <c r="F352" s="52" t="str">
        <f aca="false">C_KPI_Benchmark!K352</f>
        <v>%</v>
      </c>
      <c r="G352" s="51" t="str">
        <f aca="false">C_KPI_Benchmark!L352</f>
        <v>Higher is better</v>
      </c>
      <c r="H352" s="53" t="n">
        <f aca="false">C_KPI_Benchmark!N352</f>
        <v>0.9</v>
      </c>
      <c r="I352" s="54" t="n">
        <f aca="false">IF(C_KPI_Benchmark!O352&lt;&gt;"",C_KPI_Benchmark!O352,IF(G352="Higher is better",H352*(1-A_Scoring_Model!$C$16),H352*(1+A_Scoring_Model!$C$16)))</f>
        <v>0.8</v>
      </c>
      <c r="J352" s="55"/>
      <c r="K352" s="55"/>
      <c r="L352" s="55"/>
      <c r="M352" s="55"/>
      <c r="N352" s="56" t="str">
        <f aca="false">IF(J352="","",IF($H352=$I352,IF(OR(AND($G352="Higher is better",J352&gt;=$H352),AND($G352="Lower is better",J352&lt;=$H352)),A_Scoring_Model!$C$14,0),IF($G352="Higher is better",IF(J352&gt;=$H352,A_Scoring_Model!$C$14,IF(J352&lt;$I352,0,A_Scoring_Model!$C$15+(A_Scoring_Model!$C$14-A_Scoring_Model!$C$15)*(J352-$I352)/($H352-$I352))),IF(J352&lt;=$H352,A_Scoring_Model!$C$14,IF(J352&gt;$I352,0,A_Scoring_Model!$C$15+(A_Scoring_Model!$C$14-A_Scoring_Model!$C$15)*($I352-J352)/($I352-$H352))))))</f>
        <v/>
      </c>
      <c r="O352" s="56" t="str">
        <f aca="false">IF(K352="","",IF($H352=$I352,IF(OR(AND($G352="Higher is better",K352&gt;=$H352),AND($G352="Lower is better",K352&lt;=$H352)),A_Scoring_Model!$C$14,0),IF($G352="Higher is better",IF(K352&gt;=$H352,A_Scoring_Model!$C$14,IF(K352&lt;$I352,0,A_Scoring_Model!$C$15+(A_Scoring_Model!$C$14-A_Scoring_Model!$C$15)*(K352-$I352)/($H352-$I352))),IF(K352&lt;=$H352,A_Scoring_Model!$C$14,IF(K352&gt;$I352,0,A_Scoring_Model!$C$15+(A_Scoring_Model!$C$14-A_Scoring_Model!$C$15)*($I352-K352)/($I352-$H352))))))</f>
        <v/>
      </c>
      <c r="P352" s="56" t="str">
        <f aca="false">IF(L352="","",IF($H352=$I352,IF(OR(AND($G352="Higher is better",L352&gt;=$H352),AND($G352="Lower is better",L352&lt;=$H352)),A_Scoring_Model!$C$14,0),IF($G352="Higher is better",IF(L352&gt;=$H352,A_Scoring_Model!$C$14,IF(L352&lt;$I352,0,A_Scoring_Model!$C$15+(A_Scoring_Model!$C$14-A_Scoring_Model!$C$15)*(L352-$I352)/($H352-$I352))),IF(L352&lt;=$H352,A_Scoring_Model!$C$14,IF(L352&gt;$I352,0,A_Scoring_Model!$C$15+(A_Scoring_Model!$C$14-A_Scoring_Model!$C$15)*($I352-L352)/($I352-$H352))))))</f>
        <v/>
      </c>
      <c r="Q352" s="56" t="str">
        <f aca="false">IF(M352="","",IF($H352=$I352,IF(OR(AND($G352="Higher is better",M352&gt;=$H352),AND($G352="Lower is better",M352&lt;=$H352)),A_Scoring_Model!$C$14,0),IF($G352="Higher is better",IF(M352&gt;=$H352,A_Scoring_Model!$C$14,IF(M352&lt;$I352,0,A_Scoring_Model!$C$15+(A_Scoring_Model!$C$14-A_Scoring_Model!$C$15)*(M352-$I352)/($H352-$I352))),IF(M352&lt;=$H352,A_Scoring_Model!$C$14,IF(M352&gt;$I352,0,A_Scoring_Model!$C$15+(A_Scoring_Model!$C$14-A_Scoring_Model!$C$15)*($I352-M352)/($I352-$H352))))))</f>
        <v/>
      </c>
    </row>
    <row r="353" customFormat="false" ht="15" hidden="false" customHeight="false" outlineLevel="0" collapsed="false">
      <c r="A353" s="51" t="str">
        <f aca="false">C_KPI_Benchmark!A353</f>
        <v>7.a-D1-02</v>
      </c>
      <c r="B353" s="52" t="str">
        <f aca="false">C_KPI_Benchmark!D353</f>
        <v>7.a</v>
      </c>
      <c r="C353" s="51" t="str">
        <f aca="false">C_KPI_Benchmark!E353</f>
        <v>Metrics Analytics Intelligence</v>
      </c>
      <c r="D353" s="52" t="str">
        <f aca="false">C_KPI_Benchmark!F353</f>
        <v>D1</v>
      </c>
      <c r="E353" s="51" t="str">
        <f aca="false">C_KPI_Benchmark!J353</f>
        <v>Metric correctness vs certified definitions</v>
      </c>
      <c r="F353" s="52" t="str">
        <f aca="false">C_KPI_Benchmark!K353</f>
        <v>%</v>
      </c>
      <c r="G353" s="51" t="str">
        <f aca="false">C_KPI_Benchmark!L353</f>
        <v>Higher is better</v>
      </c>
      <c r="H353" s="53" t="n">
        <f aca="false">C_KPI_Benchmark!N353</f>
        <v>1</v>
      </c>
      <c r="I353" s="54" t="n">
        <f aca="false">IF(C_KPI_Benchmark!O353&lt;&gt;"",C_KPI_Benchmark!O353,IF(G353="Higher is better",H353*(1-A_Scoring_Model!$C$16),H353*(1+A_Scoring_Model!$C$16)))</f>
        <v>1</v>
      </c>
      <c r="J353" s="55"/>
      <c r="K353" s="55"/>
      <c r="L353" s="55"/>
      <c r="M353" s="55"/>
      <c r="N353" s="56" t="str">
        <f aca="false">IF(J353="","",IF($H353=$I353,IF(OR(AND($G353="Higher is better",J353&gt;=$H353),AND($G353="Lower is better",J353&lt;=$H353)),A_Scoring_Model!$C$14,0),IF($G353="Higher is better",IF(J353&gt;=$H353,A_Scoring_Model!$C$14,IF(J353&lt;$I353,0,A_Scoring_Model!$C$15+(A_Scoring_Model!$C$14-A_Scoring_Model!$C$15)*(J353-$I353)/($H353-$I353))),IF(J353&lt;=$H353,A_Scoring_Model!$C$14,IF(J353&gt;$I353,0,A_Scoring_Model!$C$15+(A_Scoring_Model!$C$14-A_Scoring_Model!$C$15)*($I353-J353)/($I353-$H353))))))</f>
        <v/>
      </c>
      <c r="O353" s="56" t="str">
        <f aca="false">IF(K353="","",IF($H353=$I353,IF(OR(AND($G353="Higher is better",K353&gt;=$H353),AND($G353="Lower is better",K353&lt;=$H353)),A_Scoring_Model!$C$14,0),IF($G353="Higher is better",IF(K353&gt;=$H353,A_Scoring_Model!$C$14,IF(K353&lt;$I353,0,A_Scoring_Model!$C$15+(A_Scoring_Model!$C$14-A_Scoring_Model!$C$15)*(K353-$I353)/($H353-$I353))),IF(K353&lt;=$H353,A_Scoring_Model!$C$14,IF(K353&gt;$I353,0,A_Scoring_Model!$C$15+(A_Scoring_Model!$C$14-A_Scoring_Model!$C$15)*($I353-K353)/($I353-$H353))))))</f>
        <v/>
      </c>
      <c r="P353" s="56" t="str">
        <f aca="false">IF(L353="","",IF($H353=$I353,IF(OR(AND($G353="Higher is better",L353&gt;=$H353),AND($G353="Lower is better",L353&lt;=$H353)),A_Scoring_Model!$C$14,0),IF($G353="Higher is better",IF(L353&gt;=$H353,A_Scoring_Model!$C$14,IF(L353&lt;$I353,0,A_Scoring_Model!$C$15+(A_Scoring_Model!$C$14-A_Scoring_Model!$C$15)*(L353-$I353)/($H353-$I353))),IF(L353&lt;=$H353,A_Scoring_Model!$C$14,IF(L353&gt;$I353,0,A_Scoring_Model!$C$15+(A_Scoring_Model!$C$14-A_Scoring_Model!$C$15)*($I353-L353)/($I353-$H353))))))</f>
        <v/>
      </c>
      <c r="Q353" s="56" t="str">
        <f aca="false">IF(M353="","",IF($H353=$I353,IF(OR(AND($G353="Higher is better",M353&gt;=$H353),AND($G353="Lower is better",M353&lt;=$H353)),A_Scoring_Model!$C$14,0),IF($G353="Higher is better",IF(M353&gt;=$H353,A_Scoring_Model!$C$14,IF(M353&lt;$I353,0,A_Scoring_Model!$C$15+(A_Scoring_Model!$C$14-A_Scoring_Model!$C$15)*(M353-$I353)/($H353-$I353))),IF(M353&lt;=$H353,A_Scoring_Model!$C$14,IF(M353&gt;$I353,0,A_Scoring_Model!$C$15+(A_Scoring_Model!$C$14-A_Scoring_Model!$C$15)*($I353-M353)/($I353-$H353))))))</f>
        <v/>
      </c>
    </row>
    <row r="354" customFormat="false" ht="15" hidden="false" customHeight="false" outlineLevel="0" collapsed="false">
      <c r="A354" s="51" t="str">
        <f aca="false">C_KPI_Benchmark!A354</f>
        <v>7.a-D1-03</v>
      </c>
      <c r="B354" s="52" t="str">
        <f aca="false">C_KPI_Benchmark!D354</f>
        <v>7.a</v>
      </c>
      <c r="C354" s="51" t="str">
        <f aca="false">C_KPI_Benchmark!E354</f>
        <v>Metrics Analytics Intelligence</v>
      </c>
      <c r="D354" s="52" t="str">
        <f aca="false">C_KPI_Benchmark!F354</f>
        <v>D1</v>
      </c>
      <c r="E354" s="51" t="str">
        <f aca="false">C_KPI_Benchmark!J354</f>
        <v>Insight relevance (SME)</v>
      </c>
      <c r="F354" s="52" t="str">
        <f aca="false">C_KPI_Benchmark!K354</f>
        <v>/5</v>
      </c>
      <c r="G354" s="51" t="str">
        <f aca="false">C_KPI_Benchmark!L354</f>
        <v>Higher is better</v>
      </c>
      <c r="H354" s="65" t="n">
        <f aca="false">C_KPI_Benchmark!N354</f>
        <v>4</v>
      </c>
      <c r="I354" s="66" t="n">
        <f aca="false">IF(C_KPI_Benchmark!O354&lt;&gt;"",C_KPI_Benchmark!O354,IF(G354="Higher is better",H354*(1-A_Scoring_Model!$C$16),H354*(1+A_Scoring_Model!$C$16)))</f>
        <v>3.3</v>
      </c>
      <c r="J354" s="67"/>
      <c r="K354" s="67"/>
      <c r="L354" s="67"/>
      <c r="M354" s="67"/>
      <c r="N354" s="56" t="str">
        <f aca="false">IF(J354="","",IF($H354=$I354,IF(OR(AND($G354="Higher is better",J354&gt;=$H354),AND($G354="Lower is better",J354&lt;=$H354)),A_Scoring_Model!$C$14,0),IF($G354="Higher is better",IF(J354&gt;=$H354,A_Scoring_Model!$C$14,IF(J354&lt;$I354,0,A_Scoring_Model!$C$15+(A_Scoring_Model!$C$14-A_Scoring_Model!$C$15)*(J354-$I354)/($H354-$I354))),IF(J354&lt;=$H354,A_Scoring_Model!$C$14,IF(J354&gt;$I354,0,A_Scoring_Model!$C$15+(A_Scoring_Model!$C$14-A_Scoring_Model!$C$15)*($I354-J354)/($I354-$H354))))))</f>
        <v/>
      </c>
      <c r="O354" s="56" t="str">
        <f aca="false">IF(K354="","",IF($H354=$I354,IF(OR(AND($G354="Higher is better",K354&gt;=$H354),AND($G354="Lower is better",K354&lt;=$H354)),A_Scoring_Model!$C$14,0),IF($G354="Higher is better",IF(K354&gt;=$H354,A_Scoring_Model!$C$14,IF(K354&lt;$I354,0,A_Scoring_Model!$C$15+(A_Scoring_Model!$C$14-A_Scoring_Model!$C$15)*(K354-$I354)/($H354-$I354))),IF(K354&lt;=$H354,A_Scoring_Model!$C$14,IF(K354&gt;$I354,0,A_Scoring_Model!$C$15+(A_Scoring_Model!$C$14-A_Scoring_Model!$C$15)*($I354-K354)/($I354-$H354))))))</f>
        <v/>
      </c>
      <c r="P354" s="56" t="str">
        <f aca="false">IF(L354="","",IF($H354=$I354,IF(OR(AND($G354="Higher is better",L354&gt;=$H354),AND($G354="Lower is better",L354&lt;=$H354)),A_Scoring_Model!$C$14,0),IF($G354="Higher is better",IF(L354&gt;=$H354,A_Scoring_Model!$C$14,IF(L354&lt;$I354,0,A_Scoring_Model!$C$15+(A_Scoring_Model!$C$14-A_Scoring_Model!$C$15)*(L354-$I354)/($H354-$I354))),IF(L354&lt;=$H354,A_Scoring_Model!$C$14,IF(L354&gt;$I354,0,A_Scoring_Model!$C$15+(A_Scoring_Model!$C$14-A_Scoring_Model!$C$15)*($I354-L354)/($I354-$H354))))))</f>
        <v/>
      </c>
      <c r="Q354" s="56" t="str">
        <f aca="false">IF(M354="","",IF($H354=$I354,IF(OR(AND($G354="Higher is better",M354&gt;=$H354),AND($G354="Lower is better",M354&lt;=$H354)),A_Scoring_Model!$C$14,0),IF($G354="Higher is better",IF(M354&gt;=$H354,A_Scoring_Model!$C$14,IF(M354&lt;$I354,0,A_Scoring_Model!$C$15+(A_Scoring_Model!$C$14-A_Scoring_Model!$C$15)*(M354-$I354)/($H354-$I354))),IF(M354&lt;=$H354,A_Scoring_Model!$C$14,IF(M354&gt;$I354,0,A_Scoring_Model!$C$15+(A_Scoring_Model!$C$14-A_Scoring_Model!$C$15)*($I354-M354)/($I354-$H354))))))</f>
        <v/>
      </c>
    </row>
    <row r="355" customFormat="false" ht="15" hidden="false" customHeight="false" outlineLevel="0" collapsed="false">
      <c r="A355" s="51" t="str">
        <f aca="false">C_KPI_Benchmark!A355</f>
        <v>7.a-D2-04</v>
      </c>
      <c r="B355" s="52" t="str">
        <f aca="false">C_KPI_Benchmark!D355</f>
        <v>7.a</v>
      </c>
      <c r="C355" s="51" t="str">
        <f aca="false">C_KPI_Benchmark!E355</f>
        <v>Metrics Analytics Intelligence</v>
      </c>
      <c r="D355" s="52" t="str">
        <f aca="false">C_KPI_Benchmark!F355</f>
        <v>D2</v>
      </c>
      <c r="E355" s="51" t="str">
        <f aca="false">C_KPI_Benchmark!J355</f>
        <v>Single semantic metrics layer shared by all groups</v>
      </c>
      <c r="F355" s="52" t="str">
        <f aca="false">C_KPI_Benchmark!K355</f>
        <v>Yes/No</v>
      </c>
      <c r="G355" s="51" t="str">
        <f aca="false">C_KPI_Benchmark!L355</f>
        <v>Higher is better</v>
      </c>
      <c r="H355" s="60" t="n">
        <f aca="false">C_KPI_Benchmark!N355</f>
        <v>1</v>
      </c>
      <c r="I355" s="56" t="n">
        <f aca="false">IF(C_KPI_Benchmark!O355&lt;&gt;"",C_KPI_Benchmark!O355,IF(G355="Higher is better",H355*(1-A_Scoring_Model!$C$16),H355*(1+A_Scoring_Model!$C$16)))</f>
        <v>0.8</v>
      </c>
      <c r="J355" s="61"/>
      <c r="K355" s="61"/>
      <c r="L355" s="61"/>
      <c r="M355" s="61"/>
      <c r="N355" s="56" t="str">
        <f aca="false">IF(J355="","",IF($H355=$I355,IF(OR(AND($G355="Higher is better",J355&gt;=$H355),AND($G355="Lower is better",J355&lt;=$H355)),A_Scoring_Model!$C$14,0),IF($G355="Higher is better",IF(J355&gt;=$H355,A_Scoring_Model!$C$14,IF(J355&lt;$I355,0,A_Scoring_Model!$C$15+(A_Scoring_Model!$C$14-A_Scoring_Model!$C$15)*(J355-$I355)/($H355-$I355))),IF(J355&lt;=$H355,A_Scoring_Model!$C$14,IF(J355&gt;$I355,0,A_Scoring_Model!$C$15+(A_Scoring_Model!$C$14-A_Scoring_Model!$C$15)*($I355-J355)/($I355-$H355))))))</f>
        <v/>
      </c>
      <c r="O355" s="56" t="str">
        <f aca="false">IF(K355="","",IF($H355=$I355,IF(OR(AND($G355="Higher is better",K355&gt;=$H355),AND($G355="Lower is better",K355&lt;=$H355)),A_Scoring_Model!$C$14,0),IF($G355="Higher is better",IF(K355&gt;=$H355,A_Scoring_Model!$C$14,IF(K355&lt;$I355,0,A_Scoring_Model!$C$15+(A_Scoring_Model!$C$14-A_Scoring_Model!$C$15)*(K355-$I355)/($H355-$I355))),IF(K355&lt;=$H355,A_Scoring_Model!$C$14,IF(K355&gt;$I355,0,A_Scoring_Model!$C$15+(A_Scoring_Model!$C$14-A_Scoring_Model!$C$15)*($I355-K355)/($I355-$H355))))))</f>
        <v/>
      </c>
      <c r="P355" s="56" t="str">
        <f aca="false">IF(L355="","",IF($H355=$I355,IF(OR(AND($G355="Higher is better",L355&gt;=$H355),AND($G355="Lower is better",L355&lt;=$H355)),A_Scoring_Model!$C$14,0),IF($G355="Higher is better",IF(L355&gt;=$H355,A_Scoring_Model!$C$14,IF(L355&lt;$I355,0,A_Scoring_Model!$C$15+(A_Scoring_Model!$C$14-A_Scoring_Model!$C$15)*(L355-$I355)/($H355-$I355))),IF(L355&lt;=$H355,A_Scoring_Model!$C$14,IF(L355&gt;$I355,0,A_Scoring_Model!$C$15+(A_Scoring_Model!$C$14-A_Scoring_Model!$C$15)*($I355-L355)/($I355-$H355))))))</f>
        <v/>
      </c>
      <c r="Q355" s="56" t="str">
        <f aca="false">IF(M355="","",IF($H355=$I355,IF(OR(AND($G355="Higher is better",M355&gt;=$H355),AND($G355="Lower is better",M355&lt;=$H355)),A_Scoring_Model!$C$14,0),IF($G355="Higher is better",IF(M355&gt;=$H355,A_Scoring_Model!$C$14,IF(M355&lt;$I355,0,A_Scoring_Model!$C$15+(A_Scoring_Model!$C$14-A_Scoring_Model!$C$15)*(M355-$I355)/($H355-$I355))),IF(M355&lt;=$H355,A_Scoring_Model!$C$14,IF(M355&gt;$I355,0,A_Scoring_Model!$C$15+(A_Scoring_Model!$C$14-A_Scoring_Model!$C$15)*($I355-M355)/($I355-$H355))))))</f>
        <v/>
      </c>
    </row>
    <row r="356" customFormat="false" ht="23.85" hidden="false" customHeight="false" outlineLevel="0" collapsed="false">
      <c r="A356" s="51" t="str">
        <f aca="false">C_KPI_Benchmark!A356</f>
        <v>7.a-D2-05</v>
      </c>
      <c r="B356" s="52" t="str">
        <f aca="false">C_KPI_Benchmark!D356</f>
        <v>7.a</v>
      </c>
      <c r="C356" s="51" t="str">
        <f aca="false">C_KPI_Benchmark!E356</f>
        <v>Metrics Analytics Intelligence</v>
      </c>
      <c r="D356" s="52" t="str">
        <f aca="false">C_KPI_Benchmark!F356</f>
        <v>D2</v>
      </c>
      <c r="E356" s="51" t="str">
        <f aca="false">C_KPI_Benchmark!J356</f>
        <v>Product lines supported with ≤10% efficacy drop (NVMe SSD, UFS, eMMC/uSD, PSSD)</v>
      </c>
      <c r="F356" s="52" t="str">
        <f aca="false">C_KPI_Benchmark!K356</f>
        <v>count</v>
      </c>
      <c r="G356" s="51" t="str">
        <f aca="false">C_KPI_Benchmark!L356</f>
        <v>Higher is better</v>
      </c>
      <c r="H356" s="62" t="n">
        <f aca="false">C_KPI_Benchmark!N356</f>
        <v>3</v>
      </c>
      <c r="I356" s="63" t="n">
        <f aca="false">IF(C_KPI_Benchmark!O356&lt;&gt;"",C_KPI_Benchmark!O356,IF(G356="Higher is better",H356*(1-A_Scoring_Model!$C$16),H356*(1+A_Scoring_Model!$C$16)))</f>
        <v>2</v>
      </c>
      <c r="J356" s="64"/>
      <c r="K356" s="64"/>
      <c r="L356" s="64"/>
      <c r="M356" s="64"/>
      <c r="N356" s="56" t="str">
        <f aca="false">IF(J356="","",IF($H356=$I356,IF(OR(AND($G356="Higher is better",J356&gt;=$H356),AND($G356="Lower is better",J356&lt;=$H356)),A_Scoring_Model!$C$14,0),IF($G356="Higher is better",IF(J356&gt;=$H356,A_Scoring_Model!$C$14,IF(J356&lt;$I356,0,A_Scoring_Model!$C$15+(A_Scoring_Model!$C$14-A_Scoring_Model!$C$15)*(J356-$I356)/($H356-$I356))),IF(J356&lt;=$H356,A_Scoring_Model!$C$14,IF(J356&gt;$I356,0,A_Scoring_Model!$C$15+(A_Scoring_Model!$C$14-A_Scoring_Model!$C$15)*($I356-J356)/($I356-$H356))))))</f>
        <v/>
      </c>
      <c r="O356" s="56" t="str">
        <f aca="false">IF(K356="","",IF($H356=$I356,IF(OR(AND($G356="Higher is better",K356&gt;=$H356),AND($G356="Lower is better",K356&lt;=$H356)),A_Scoring_Model!$C$14,0),IF($G356="Higher is better",IF(K356&gt;=$H356,A_Scoring_Model!$C$14,IF(K356&lt;$I356,0,A_Scoring_Model!$C$15+(A_Scoring_Model!$C$14-A_Scoring_Model!$C$15)*(K356-$I356)/($H356-$I356))),IF(K356&lt;=$H356,A_Scoring_Model!$C$14,IF(K356&gt;$I356,0,A_Scoring_Model!$C$15+(A_Scoring_Model!$C$14-A_Scoring_Model!$C$15)*($I356-K356)/($I356-$H356))))))</f>
        <v/>
      </c>
      <c r="P356" s="56" t="str">
        <f aca="false">IF(L356="","",IF($H356=$I356,IF(OR(AND($G356="Higher is better",L356&gt;=$H356),AND($G356="Lower is better",L356&lt;=$H356)),A_Scoring_Model!$C$14,0),IF($G356="Higher is better",IF(L356&gt;=$H356,A_Scoring_Model!$C$14,IF(L356&lt;$I356,0,A_Scoring_Model!$C$15+(A_Scoring_Model!$C$14-A_Scoring_Model!$C$15)*(L356-$I356)/($H356-$I356))),IF(L356&lt;=$H356,A_Scoring_Model!$C$14,IF(L356&gt;$I356,0,A_Scoring_Model!$C$15+(A_Scoring_Model!$C$14-A_Scoring_Model!$C$15)*($I356-L356)/($I356-$H356))))))</f>
        <v/>
      </c>
      <c r="Q356" s="56" t="str">
        <f aca="false">IF(M356="","",IF($H356=$I356,IF(OR(AND($G356="Higher is better",M356&gt;=$H356),AND($G356="Lower is better",M356&lt;=$H356)),A_Scoring_Model!$C$14,0),IF($G356="Higher is better",IF(M356&gt;=$H356,A_Scoring_Model!$C$14,IF(M356&lt;$I356,0,A_Scoring_Model!$C$15+(A_Scoring_Model!$C$14-A_Scoring_Model!$C$15)*(M356-$I356)/($H356-$I356))),IF(M356&lt;=$H356,A_Scoring_Model!$C$14,IF(M356&gt;$I356,0,A_Scoring_Model!$C$15+(A_Scoring_Model!$C$14-A_Scoring_Model!$C$15)*($I356-M356)/($I356-$H356))))))</f>
        <v/>
      </c>
    </row>
    <row r="357" customFormat="false" ht="15" hidden="false" customHeight="false" outlineLevel="0" collapsed="false">
      <c r="A357" s="51" t="str">
        <f aca="false">C_KPI_Benchmark!A357</f>
        <v>7.a-D2-06</v>
      </c>
      <c r="B357" s="52" t="str">
        <f aca="false">C_KPI_Benchmark!D357</f>
        <v>7.a</v>
      </c>
      <c r="C357" s="51" t="str">
        <f aca="false">C_KPI_Benchmark!E357</f>
        <v>Metrics Analytics Intelligence</v>
      </c>
      <c r="D357" s="52" t="str">
        <f aca="false">C_KPI_Benchmark!F357</f>
        <v>D2</v>
      </c>
      <c r="E357" s="51" t="str">
        <f aca="false">C_KPI_Benchmark!J357</f>
        <v>Uses Zion shared services instead of re-implementing them</v>
      </c>
      <c r="F357" s="52" t="str">
        <f aca="false">C_KPI_Benchmark!K357</f>
        <v>Yes/No</v>
      </c>
      <c r="G357" s="51" t="str">
        <f aca="false">C_KPI_Benchmark!L357</f>
        <v>Higher is better</v>
      </c>
      <c r="H357" s="60" t="n">
        <f aca="false">C_KPI_Benchmark!N357</f>
        <v>1</v>
      </c>
      <c r="I357" s="56" t="n">
        <f aca="false">IF(C_KPI_Benchmark!O357&lt;&gt;"",C_KPI_Benchmark!O357,IF(G357="Higher is better",H357*(1-A_Scoring_Model!$C$16),H357*(1+A_Scoring_Model!$C$16)))</f>
        <v>0.8</v>
      </c>
      <c r="J357" s="61"/>
      <c r="K357" s="61"/>
      <c r="L357" s="61"/>
      <c r="M357" s="61"/>
      <c r="N357" s="56" t="str">
        <f aca="false">IF(J357="","",IF($H357=$I357,IF(OR(AND($G357="Higher is better",J357&gt;=$H357),AND($G357="Lower is better",J357&lt;=$H357)),A_Scoring_Model!$C$14,0),IF($G357="Higher is better",IF(J357&gt;=$H357,A_Scoring_Model!$C$14,IF(J357&lt;$I357,0,A_Scoring_Model!$C$15+(A_Scoring_Model!$C$14-A_Scoring_Model!$C$15)*(J357-$I357)/($H357-$I357))),IF(J357&lt;=$H357,A_Scoring_Model!$C$14,IF(J357&gt;$I357,0,A_Scoring_Model!$C$15+(A_Scoring_Model!$C$14-A_Scoring_Model!$C$15)*($I357-J357)/($I357-$H357))))))</f>
        <v/>
      </c>
      <c r="O357" s="56" t="str">
        <f aca="false">IF(K357="","",IF($H357=$I357,IF(OR(AND($G357="Higher is better",K357&gt;=$H357),AND($G357="Lower is better",K357&lt;=$H357)),A_Scoring_Model!$C$14,0),IF($G357="Higher is better",IF(K357&gt;=$H357,A_Scoring_Model!$C$14,IF(K357&lt;$I357,0,A_Scoring_Model!$C$15+(A_Scoring_Model!$C$14-A_Scoring_Model!$C$15)*(K357-$I357)/($H357-$I357))),IF(K357&lt;=$H357,A_Scoring_Model!$C$14,IF(K357&gt;$I357,0,A_Scoring_Model!$C$15+(A_Scoring_Model!$C$14-A_Scoring_Model!$C$15)*($I357-K357)/($I357-$H357))))))</f>
        <v/>
      </c>
      <c r="P357" s="56" t="str">
        <f aca="false">IF(L357="","",IF($H357=$I357,IF(OR(AND($G357="Higher is better",L357&gt;=$H357),AND($G357="Lower is better",L357&lt;=$H357)),A_Scoring_Model!$C$14,0),IF($G357="Higher is better",IF(L357&gt;=$H357,A_Scoring_Model!$C$14,IF(L357&lt;$I357,0,A_Scoring_Model!$C$15+(A_Scoring_Model!$C$14-A_Scoring_Model!$C$15)*(L357-$I357)/($H357-$I357))),IF(L357&lt;=$H357,A_Scoring_Model!$C$14,IF(L357&gt;$I357,0,A_Scoring_Model!$C$15+(A_Scoring_Model!$C$14-A_Scoring_Model!$C$15)*($I357-L357)/($I357-$H357))))))</f>
        <v/>
      </c>
      <c r="Q357" s="56" t="str">
        <f aca="false">IF(M357="","",IF($H357=$I357,IF(OR(AND($G357="Higher is better",M357&gt;=$H357),AND($G357="Lower is better",M357&lt;=$H357)),A_Scoring_Model!$C$14,0),IF($G357="Higher is better",IF(M357&gt;=$H357,A_Scoring_Model!$C$14,IF(M357&lt;$I357,0,A_Scoring_Model!$C$15+(A_Scoring_Model!$C$14-A_Scoring_Model!$C$15)*(M357-$I357)/($H357-$I357))),IF(M357&lt;=$H357,A_Scoring_Model!$C$14,IF(M357&gt;$I357,0,A_Scoring_Model!$C$15+(A_Scoring_Model!$C$14-A_Scoring_Model!$C$15)*($I357-M357)/($I357-$H357))))))</f>
        <v/>
      </c>
    </row>
    <row r="358" customFormat="false" ht="15" hidden="false" customHeight="false" outlineLevel="0" collapsed="false">
      <c r="A358" s="51" t="str">
        <f aca="false">C_KPI_Benchmark!A358</f>
        <v>7.a-D3-07</v>
      </c>
      <c r="B358" s="52" t="str">
        <f aca="false">C_KPI_Benchmark!D358</f>
        <v>7.a</v>
      </c>
      <c r="C358" s="51" t="str">
        <f aca="false">C_KPI_Benchmark!E358</f>
        <v>Metrics Analytics Intelligence</v>
      </c>
      <c r="D358" s="52" t="str">
        <f aca="false">C_KPI_Benchmark!F358</f>
        <v>D3</v>
      </c>
      <c r="E358" s="51" t="str">
        <f aca="false">C_KPI_Benchmark!J358</f>
        <v>Dashboard query p95 over 3 years of data</v>
      </c>
      <c r="F358" s="52" t="str">
        <f aca="false">C_KPI_Benchmark!K358</f>
        <v>s</v>
      </c>
      <c r="G358" s="51" t="str">
        <f aca="false">C_KPI_Benchmark!L358</f>
        <v>Lower is better</v>
      </c>
      <c r="H358" s="62" t="n">
        <f aca="false">C_KPI_Benchmark!N358</f>
        <v>3</v>
      </c>
      <c r="I358" s="63" t="n">
        <f aca="false">IF(C_KPI_Benchmark!O358&lt;&gt;"",C_KPI_Benchmark!O358,IF(G358="Higher is better",H358*(1-A_Scoring_Model!$C$16),H358*(1+A_Scoring_Model!$C$16)))</f>
        <v>3.6</v>
      </c>
      <c r="J358" s="64"/>
      <c r="K358" s="64"/>
      <c r="L358" s="64"/>
      <c r="M358" s="64"/>
      <c r="N358" s="56" t="str">
        <f aca="false">IF(J358="","",IF($H358=$I358,IF(OR(AND($G358="Higher is better",J358&gt;=$H358),AND($G358="Lower is better",J358&lt;=$H358)),A_Scoring_Model!$C$14,0),IF($G358="Higher is better",IF(J358&gt;=$H358,A_Scoring_Model!$C$14,IF(J358&lt;$I358,0,A_Scoring_Model!$C$15+(A_Scoring_Model!$C$14-A_Scoring_Model!$C$15)*(J358-$I358)/($H358-$I358))),IF(J358&lt;=$H358,A_Scoring_Model!$C$14,IF(J358&gt;$I358,0,A_Scoring_Model!$C$15+(A_Scoring_Model!$C$14-A_Scoring_Model!$C$15)*($I358-J358)/($I358-$H358))))))</f>
        <v/>
      </c>
      <c r="O358" s="56" t="str">
        <f aca="false">IF(K358="","",IF($H358=$I358,IF(OR(AND($G358="Higher is better",K358&gt;=$H358),AND($G358="Lower is better",K358&lt;=$H358)),A_Scoring_Model!$C$14,0),IF($G358="Higher is better",IF(K358&gt;=$H358,A_Scoring_Model!$C$14,IF(K358&lt;$I358,0,A_Scoring_Model!$C$15+(A_Scoring_Model!$C$14-A_Scoring_Model!$C$15)*(K358-$I358)/($H358-$I358))),IF(K358&lt;=$H358,A_Scoring_Model!$C$14,IF(K358&gt;$I358,0,A_Scoring_Model!$C$15+(A_Scoring_Model!$C$14-A_Scoring_Model!$C$15)*($I358-K358)/($I358-$H358))))))</f>
        <v/>
      </c>
      <c r="P358" s="56" t="str">
        <f aca="false">IF(L358="","",IF($H358=$I358,IF(OR(AND($G358="Higher is better",L358&gt;=$H358),AND($G358="Lower is better",L358&lt;=$H358)),A_Scoring_Model!$C$14,0),IF($G358="Higher is better",IF(L358&gt;=$H358,A_Scoring_Model!$C$14,IF(L358&lt;$I358,0,A_Scoring_Model!$C$15+(A_Scoring_Model!$C$14-A_Scoring_Model!$C$15)*(L358-$I358)/($H358-$I358))),IF(L358&lt;=$H358,A_Scoring_Model!$C$14,IF(L358&gt;$I358,0,A_Scoring_Model!$C$15+(A_Scoring_Model!$C$14-A_Scoring_Model!$C$15)*($I358-L358)/($I358-$H358))))))</f>
        <v/>
      </c>
      <c r="Q358" s="56" t="str">
        <f aca="false">IF(M358="","",IF($H358=$I358,IF(OR(AND($G358="Higher is better",M358&gt;=$H358),AND($G358="Lower is better",M358&lt;=$H358)),A_Scoring_Model!$C$14,0),IF($G358="Higher is better",IF(M358&gt;=$H358,A_Scoring_Model!$C$14,IF(M358&lt;$I358,0,A_Scoring_Model!$C$15+(A_Scoring_Model!$C$14-A_Scoring_Model!$C$15)*(M358-$I358)/($H358-$I358))),IF(M358&lt;=$H358,A_Scoring_Model!$C$14,IF(M358&gt;$I358,0,A_Scoring_Model!$C$15+(A_Scoring_Model!$C$14-A_Scoring_Model!$C$15)*($I358-M358)/($I358-$H358))))))</f>
        <v/>
      </c>
    </row>
    <row r="359" customFormat="false" ht="15" hidden="false" customHeight="false" outlineLevel="0" collapsed="false">
      <c r="A359" s="51" t="str">
        <f aca="false">C_KPI_Benchmark!A359</f>
        <v>7.a-D3-08</v>
      </c>
      <c r="B359" s="52" t="str">
        <f aca="false">C_KPI_Benchmark!D359</f>
        <v>7.a</v>
      </c>
      <c r="C359" s="51" t="str">
        <f aca="false">C_KPI_Benchmark!E359</f>
        <v>Metrics Analytics Intelligence</v>
      </c>
      <c r="D359" s="52" t="str">
        <f aca="false">C_KPI_Benchmark!F359</f>
        <v>D3</v>
      </c>
      <c r="E359" s="51" t="str">
        <f aca="false">C_KPI_Benchmark!J359</f>
        <v>Latency degradation at 10× load</v>
      </c>
      <c r="F359" s="52" t="str">
        <f aca="false">C_KPI_Benchmark!K359</f>
        <v>%</v>
      </c>
      <c r="G359" s="51" t="str">
        <f aca="false">C_KPI_Benchmark!L359</f>
        <v>Lower is better</v>
      </c>
      <c r="H359" s="53" t="n">
        <f aca="false">C_KPI_Benchmark!N359</f>
        <v>0.2</v>
      </c>
      <c r="I359" s="54" t="n">
        <f aca="false">IF(C_KPI_Benchmark!O359&lt;&gt;"",C_KPI_Benchmark!O359,IF(G359="Higher is better",H359*(1-A_Scoring_Model!$C$16),H359*(1+A_Scoring_Model!$C$16)))</f>
        <v>0.4</v>
      </c>
      <c r="J359" s="55"/>
      <c r="K359" s="55"/>
      <c r="L359" s="55"/>
      <c r="M359" s="55"/>
      <c r="N359" s="56" t="str">
        <f aca="false">IF(J359="","",IF($H359=$I359,IF(OR(AND($G359="Higher is better",J359&gt;=$H359),AND($G359="Lower is better",J359&lt;=$H359)),A_Scoring_Model!$C$14,0),IF($G359="Higher is better",IF(J359&gt;=$H359,A_Scoring_Model!$C$14,IF(J359&lt;$I359,0,A_Scoring_Model!$C$15+(A_Scoring_Model!$C$14-A_Scoring_Model!$C$15)*(J359-$I359)/($H359-$I359))),IF(J359&lt;=$H359,A_Scoring_Model!$C$14,IF(J359&gt;$I359,0,A_Scoring_Model!$C$15+(A_Scoring_Model!$C$14-A_Scoring_Model!$C$15)*($I359-J359)/($I359-$H359))))))</f>
        <v/>
      </c>
      <c r="O359" s="56" t="str">
        <f aca="false">IF(K359="","",IF($H359=$I359,IF(OR(AND($G359="Higher is better",K359&gt;=$H359),AND($G359="Lower is better",K359&lt;=$H359)),A_Scoring_Model!$C$14,0),IF($G359="Higher is better",IF(K359&gt;=$H359,A_Scoring_Model!$C$14,IF(K359&lt;$I359,0,A_Scoring_Model!$C$15+(A_Scoring_Model!$C$14-A_Scoring_Model!$C$15)*(K359-$I359)/($H359-$I359))),IF(K359&lt;=$H359,A_Scoring_Model!$C$14,IF(K359&gt;$I359,0,A_Scoring_Model!$C$15+(A_Scoring_Model!$C$14-A_Scoring_Model!$C$15)*($I359-K359)/($I359-$H359))))))</f>
        <v/>
      </c>
      <c r="P359" s="56" t="str">
        <f aca="false">IF(L359="","",IF($H359=$I359,IF(OR(AND($G359="Higher is better",L359&gt;=$H359),AND($G359="Lower is better",L359&lt;=$H359)),A_Scoring_Model!$C$14,0),IF($G359="Higher is better",IF(L359&gt;=$H359,A_Scoring_Model!$C$14,IF(L359&lt;$I359,0,A_Scoring_Model!$C$15+(A_Scoring_Model!$C$14-A_Scoring_Model!$C$15)*(L359-$I359)/($H359-$I359))),IF(L359&lt;=$H359,A_Scoring_Model!$C$14,IF(L359&gt;$I359,0,A_Scoring_Model!$C$15+(A_Scoring_Model!$C$14-A_Scoring_Model!$C$15)*($I359-L359)/($I359-$H359))))))</f>
        <v/>
      </c>
      <c r="Q359" s="56" t="str">
        <f aca="false">IF(M359="","",IF($H359=$I359,IF(OR(AND($G359="Higher is better",M359&gt;=$H359),AND($G359="Lower is better",M359&lt;=$H359)),A_Scoring_Model!$C$14,0),IF($G359="Higher is better",IF(M359&gt;=$H359,A_Scoring_Model!$C$14,IF(M359&lt;$I359,0,A_Scoring_Model!$C$15+(A_Scoring_Model!$C$14-A_Scoring_Model!$C$15)*(M359-$I359)/($H359-$I359))),IF(M359&lt;=$H359,A_Scoring_Model!$C$14,IF(M359&gt;$I359,0,A_Scoring_Model!$C$15+(A_Scoring_Model!$C$14-A_Scoring_Model!$C$15)*($I359-M359)/($I359-$H359))))))</f>
        <v/>
      </c>
    </row>
    <row r="360" customFormat="false" ht="15" hidden="false" customHeight="false" outlineLevel="0" collapsed="false">
      <c r="A360" s="51" t="str">
        <f aca="false">C_KPI_Benchmark!A360</f>
        <v>7.a-D4-09</v>
      </c>
      <c r="B360" s="52" t="str">
        <f aca="false">C_KPI_Benchmark!D360</f>
        <v>7.a</v>
      </c>
      <c r="C360" s="51" t="str">
        <f aca="false">C_KPI_Benchmark!E360</f>
        <v>Metrics Analytics Intelligence</v>
      </c>
      <c r="D360" s="52" t="str">
        <f aca="false">C_KPI_Benchmark!F360</f>
        <v>D4</v>
      </c>
      <c r="E360" s="51" t="str">
        <f aca="false">C_KPI_Benchmark!J360</f>
        <v>Fabricated numbers</v>
      </c>
      <c r="F360" s="52" t="str">
        <f aca="false">C_KPI_Benchmark!K360</f>
        <v>count</v>
      </c>
      <c r="G360" s="51" t="str">
        <f aca="false">C_KPI_Benchmark!L360</f>
        <v>Lower is better</v>
      </c>
      <c r="H360" s="62" t="n">
        <f aca="false">C_KPI_Benchmark!N360</f>
        <v>0</v>
      </c>
      <c r="I360" s="63" t="n">
        <f aca="false">IF(C_KPI_Benchmark!O360&lt;&gt;"",C_KPI_Benchmark!O360,IF(G360="Higher is better",H360*(1-A_Scoring_Model!$C$16),H360*(1+A_Scoring_Model!$C$16)))</f>
        <v>0</v>
      </c>
      <c r="J360" s="64"/>
      <c r="K360" s="64"/>
      <c r="L360" s="64"/>
      <c r="M360" s="64"/>
      <c r="N360" s="56" t="str">
        <f aca="false">IF(J360="","",IF($H360=$I360,IF(OR(AND($G360="Higher is better",J360&gt;=$H360),AND($G360="Lower is better",J360&lt;=$H360)),A_Scoring_Model!$C$14,0),IF($G360="Higher is better",IF(J360&gt;=$H360,A_Scoring_Model!$C$14,IF(J360&lt;$I360,0,A_Scoring_Model!$C$15+(A_Scoring_Model!$C$14-A_Scoring_Model!$C$15)*(J360-$I360)/($H360-$I360))),IF(J360&lt;=$H360,A_Scoring_Model!$C$14,IF(J360&gt;$I360,0,A_Scoring_Model!$C$15+(A_Scoring_Model!$C$14-A_Scoring_Model!$C$15)*($I360-J360)/($I360-$H360))))))</f>
        <v/>
      </c>
      <c r="O360" s="56" t="str">
        <f aca="false">IF(K360="","",IF($H360=$I360,IF(OR(AND($G360="Higher is better",K360&gt;=$H360),AND($G360="Lower is better",K360&lt;=$H360)),A_Scoring_Model!$C$14,0),IF($G360="Higher is better",IF(K360&gt;=$H360,A_Scoring_Model!$C$14,IF(K360&lt;$I360,0,A_Scoring_Model!$C$15+(A_Scoring_Model!$C$14-A_Scoring_Model!$C$15)*(K360-$I360)/($H360-$I360))),IF(K360&lt;=$H360,A_Scoring_Model!$C$14,IF(K360&gt;$I360,0,A_Scoring_Model!$C$15+(A_Scoring_Model!$C$14-A_Scoring_Model!$C$15)*($I360-K360)/($I360-$H360))))))</f>
        <v/>
      </c>
      <c r="P360" s="56" t="str">
        <f aca="false">IF(L360="","",IF($H360=$I360,IF(OR(AND($G360="Higher is better",L360&gt;=$H360),AND($G360="Lower is better",L360&lt;=$H360)),A_Scoring_Model!$C$14,0),IF($G360="Higher is better",IF(L360&gt;=$H360,A_Scoring_Model!$C$14,IF(L360&lt;$I360,0,A_Scoring_Model!$C$15+(A_Scoring_Model!$C$14-A_Scoring_Model!$C$15)*(L360-$I360)/($H360-$I360))),IF(L360&lt;=$H360,A_Scoring_Model!$C$14,IF(L360&gt;$I360,0,A_Scoring_Model!$C$15+(A_Scoring_Model!$C$14-A_Scoring_Model!$C$15)*($I360-L360)/($I360-$H360))))))</f>
        <v/>
      </c>
      <c r="Q360" s="56" t="str">
        <f aca="false">IF(M360="","",IF($H360=$I360,IF(OR(AND($G360="Higher is better",M360&gt;=$H360),AND($G360="Lower is better",M360&lt;=$H360)),A_Scoring_Model!$C$14,0),IF($G360="Higher is better",IF(M360&gt;=$H360,A_Scoring_Model!$C$14,IF(M360&lt;$I360,0,A_Scoring_Model!$C$15+(A_Scoring_Model!$C$14-A_Scoring_Model!$C$15)*(M360-$I360)/($H360-$I360))),IF(M360&lt;=$H360,A_Scoring_Model!$C$14,IF(M360&gt;$I360,0,A_Scoring_Model!$C$15+(A_Scoring_Model!$C$14-A_Scoring_Model!$C$15)*($I360-M360)/($I360-$H360))))))</f>
        <v/>
      </c>
    </row>
    <row r="361" customFormat="false" ht="15" hidden="false" customHeight="false" outlineLevel="0" collapsed="false">
      <c r="A361" s="51" t="str">
        <f aca="false">C_KPI_Benchmark!A361</f>
        <v>7.a-D4-10</v>
      </c>
      <c r="B361" s="52" t="str">
        <f aca="false">C_KPI_Benchmark!D361</f>
        <v>7.a</v>
      </c>
      <c r="C361" s="51" t="str">
        <f aca="false">C_KPI_Benchmark!E361</f>
        <v>Metrics Analytics Intelligence</v>
      </c>
      <c r="D361" s="52" t="str">
        <f aca="false">C_KPI_Benchmark!F361</f>
        <v>D4</v>
      </c>
      <c r="E361" s="51" t="str">
        <f aca="false">C_KPI_Benchmark!J361</f>
        <v>Service availability</v>
      </c>
      <c r="F361" s="52" t="str">
        <f aca="false">C_KPI_Benchmark!K361</f>
        <v>%</v>
      </c>
      <c r="G361" s="51" t="str">
        <f aca="false">C_KPI_Benchmark!L361</f>
        <v>Higher is better</v>
      </c>
      <c r="H361" s="53" t="n">
        <f aca="false">C_KPI_Benchmark!N361</f>
        <v>0.995</v>
      </c>
      <c r="I361" s="54" t="n">
        <f aca="false">IF(C_KPI_Benchmark!O361&lt;&gt;"",C_KPI_Benchmark!O361,IF(G361="Higher is better",H361*(1-A_Scoring_Model!$C$16),H361*(1+A_Scoring_Model!$C$16)))</f>
        <v>0.99</v>
      </c>
      <c r="J361" s="55"/>
      <c r="K361" s="55"/>
      <c r="L361" s="55"/>
      <c r="M361" s="55"/>
      <c r="N361" s="56" t="str">
        <f aca="false">IF(J361="","",IF($H361=$I361,IF(OR(AND($G361="Higher is better",J361&gt;=$H361),AND($G361="Lower is better",J361&lt;=$H361)),A_Scoring_Model!$C$14,0),IF($G361="Higher is better",IF(J361&gt;=$H361,A_Scoring_Model!$C$14,IF(J361&lt;$I361,0,A_Scoring_Model!$C$15+(A_Scoring_Model!$C$14-A_Scoring_Model!$C$15)*(J361-$I361)/($H361-$I361))),IF(J361&lt;=$H361,A_Scoring_Model!$C$14,IF(J361&gt;$I361,0,A_Scoring_Model!$C$15+(A_Scoring_Model!$C$14-A_Scoring_Model!$C$15)*($I361-J361)/($I361-$H361))))))</f>
        <v/>
      </c>
      <c r="O361" s="56" t="str">
        <f aca="false">IF(K361="","",IF($H361=$I361,IF(OR(AND($G361="Higher is better",K361&gt;=$H361),AND($G361="Lower is better",K361&lt;=$H361)),A_Scoring_Model!$C$14,0),IF($G361="Higher is better",IF(K361&gt;=$H361,A_Scoring_Model!$C$14,IF(K361&lt;$I361,0,A_Scoring_Model!$C$15+(A_Scoring_Model!$C$14-A_Scoring_Model!$C$15)*(K361-$I361)/($H361-$I361))),IF(K361&lt;=$H361,A_Scoring_Model!$C$14,IF(K361&gt;$I361,0,A_Scoring_Model!$C$15+(A_Scoring_Model!$C$14-A_Scoring_Model!$C$15)*($I361-K361)/($I361-$H361))))))</f>
        <v/>
      </c>
      <c r="P361" s="56" t="str">
        <f aca="false">IF(L361="","",IF($H361=$I361,IF(OR(AND($G361="Higher is better",L361&gt;=$H361),AND($G361="Lower is better",L361&lt;=$H361)),A_Scoring_Model!$C$14,0),IF($G361="Higher is better",IF(L361&gt;=$H361,A_Scoring_Model!$C$14,IF(L361&lt;$I361,0,A_Scoring_Model!$C$15+(A_Scoring_Model!$C$14-A_Scoring_Model!$C$15)*(L361-$I361)/($H361-$I361))),IF(L361&lt;=$H361,A_Scoring_Model!$C$14,IF(L361&gt;$I361,0,A_Scoring_Model!$C$15+(A_Scoring_Model!$C$14-A_Scoring_Model!$C$15)*($I361-L361)/($I361-$H361))))))</f>
        <v/>
      </c>
      <c r="Q361" s="56" t="str">
        <f aca="false">IF(M361="","",IF($H361=$I361,IF(OR(AND($G361="Higher is better",M361&gt;=$H361),AND($G361="Lower is better",M361&lt;=$H361)),A_Scoring_Model!$C$14,0),IF($G361="Higher is better",IF(M361&gt;=$H361,A_Scoring_Model!$C$14,IF(M361&lt;$I361,0,A_Scoring_Model!$C$15+(A_Scoring_Model!$C$14-A_Scoring_Model!$C$15)*(M361-$I361)/($H361-$I361))),IF(M361&lt;=$H361,A_Scoring_Model!$C$14,IF(M361&gt;$I361,0,A_Scoring_Model!$C$15+(A_Scoring_Model!$C$14-A_Scoring_Model!$C$15)*($I361-M361)/($I361-$H361))))))</f>
        <v/>
      </c>
    </row>
    <row r="362" customFormat="false" ht="15" hidden="false" customHeight="false" outlineLevel="0" collapsed="false">
      <c r="A362" s="51" t="str">
        <f aca="false">C_KPI_Benchmark!A362</f>
        <v>7.a-D5-11</v>
      </c>
      <c r="B362" s="52" t="str">
        <f aca="false">C_KPI_Benchmark!D362</f>
        <v>7.a</v>
      </c>
      <c r="C362" s="51" t="str">
        <f aca="false">C_KPI_Benchmark!E362</f>
        <v>Metrics Analytics Intelligence</v>
      </c>
      <c r="D362" s="52" t="str">
        <f aca="false">C_KPI_Benchmark!F362</f>
        <v>D5</v>
      </c>
      <c r="E362" s="51" t="str">
        <f aca="false">C_KPI_Benchmark!J362</f>
        <v>Manual metrics prep reduction</v>
      </c>
      <c r="F362" s="52" t="str">
        <f aca="false">C_KPI_Benchmark!K362</f>
        <v>%</v>
      </c>
      <c r="G362" s="51" t="str">
        <f aca="false">C_KPI_Benchmark!L362</f>
        <v>Higher is better</v>
      </c>
      <c r="H362" s="53" t="n">
        <f aca="false">C_KPI_Benchmark!N362</f>
        <v>0.8</v>
      </c>
      <c r="I362" s="54" t="n">
        <f aca="false">IF(C_KPI_Benchmark!O362&lt;&gt;"",C_KPI_Benchmark!O362,IF(G362="Higher is better",H362*(1-A_Scoring_Model!$C$16),H362*(1+A_Scoring_Model!$C$16)))</f>
        <v>0.64</v>
      </c>
      <c r="J362" s="55"/>
      <c r="K362" s="55"/>
      <c r="L362" s="55"/>
      <c r="M362" s="55"/>
      <c r="N362" s="56" t="str">
        <f aca="false">IF(J362="","",IF($H362=$I362,IF(OR(AND($G362="Higher is better",J362&gt;=$H362),AND($G362="Lower is better",J362&lt;=$H362)),A_Scoring_Model!$C$14,0),IF($G362="Higher is better",IF(J362&gt;=$H362,A_Scoring_Model!$C$14,IF(J362&lt;$I362,0,A_Scoring_Model!$C$15+(A_Scoring_Model!$C$14-A_Scoring_Model!$C$15)*(J362-$I362)/($H362-$I362))),IF(J362&lt;=$H362,A_Scoring_Model!$C$14,IF(J362&gt;$I362,0,A_Scoring_Model!$C$15+(A_Scoring_Model!$C$14-A_Scoring_Model!$C$15)*($I362-J362)/($I362-$H362))))))</f>
        <v/>
      </c>
      <c r="O362" s="56" t="str">
        <f aca="false">IF(K362="","",IF($H362=$I362,IF(OR(AND($G362="Higher is better",K362&gt;=$H362),AND($G362="Lower is better",K362&lt;=$H362)),A_Scoring_Model!$C$14,0),IF($G362="Higher is better",IF(K362&gt;=$H362,A_Scoring_Model!$C$14,IF(K362&lt;$I362,0,A_Scoring_Model!$C$15+(A_Scoring_Model!$C$14-A_Scoring_Model!$C$15)*(K362-$I362)/($H362-$I362))),IF(K362&lt;=$H362,A_Scoring_Model!$C$14,IF(K362&gt;$I362,0,A_Scoring_Model!$C$15+(A_Scoring_Model!$C$14-A_Scoring_Model!$C$15)*($I362-K362)/($I362-$H362))))))</f>
        <v/>
      </c>
      <c r="P362" s="56" t="str">
        <f aca="false">IF(L362="","",IF($H362=$I362,IF(OR(AND($G362="Higher is better",L362&gt;=$H362),AND($G362="Lower is better",L362&lt;=$H362)),A_Scoring_Model!$C$14,0),IF($G362="Higher is better",IF(L362&gt;=$H362,A_Scoring_Model!$C$14,IF(L362&lt;$I362,0,A_Scoring_Model!$C$15+(A_Scoring_Model!$C$14-A_Scoring_Model!$C$15)*(L362-$I362)/($H362-$I362))),IF(L362&lt;=$H362,A_Scoring_Model!$C$14,IF(L362&gt;$I362,0,A_Scoring_Model!$C$15+(A_Scoring_Model!$C$14-A_Scoring_Model!$C$15)*($I362-L362)/($I362-$H362))))))</f>
        <v/>
      </c>
      <c r="Q362" s="56" t="str">
        <f aca="false">IF(M362="","",IF($H362=$I362,IF(OR(AND($G362="Higher is better",M362&gt;=$H362),AND($G362="Lower is better",M362&lt;=$H362)),A_Scoring_Model!$C$14,0),IF($G362="Higher is better",IF(M362&gt;=$H362,A_Scoring_Model!$C$14,IF(M362&lt;$I362,0,A_Scoring_Model!$C$15+(A_Scoring_Model!$C$14-A_Scoring_Model!$C$15)*(M362-$I362)/($H362-$I362))),IF(M362&lt;=$H362,A_Scoring_Model!$C$14,IF(M362&gt;$I362,0,A_Scoring_Model!$C$15+(A_Scoring_Model!$C$14-A_Scoring_Model!$C$15)*($I362-M362)/($I362-$H362))))))</f>
        <v/>
      </c>
    </row>
    <row r="363" customFormat="false" ht="15" hidden="false" customHeight="false" outlineLevel="0" collapsed="false">
      <c r="A363" s="51" t="str">
        <f aca="false">C_KPI_Benchmark!A363</f>
        <v>7.a-D6-12</v>
      </c>
      <c r="B363" s="52" t="str">
        <f aca="false">C_KPI_Benchmark!D363</f>
        <v>7.a</v>
      </c>
      <c r="C363" s="51" t="str">
        <f aca="false">C_KPI_Benchmark!E363</f>
        <v>Metrics Analytics Intelligence</v>
      </c>
      <c r="D363" s="52" t="str">
        <f aca="false">C_KPI_Benchmark!F363</f>
        <v>D6</v>
      </c>
      <c r="E363" s="51" t="str">
        <f aca="false">C_KPI_Benchmark!J363</f>
        <v>Solution code test coverage</v>
      </c>
      <c r="F363" s="52" t="str">
        <f aca="false">C_KPI_Benchmark!K363</f>
        <v>%</v>
      </c>
      <c r="G363" s="51" t="str">
        <f aca="false">C_KPI_Benchmark!L363</f>
        <v>Higher is better</v>
      </c>
      <c r="H363" s="53" t="n">
        <f aca="false">C_KPI_Benchmark!N363</f>
        <v>0.8</v>
      </c>
      <c r="I363" s="54" t="n">
        <f aca="false">IF(C_KPI_Benchmark!O363&lt;&gt;"",C_KPI_Benchmark!O363,IF(G363="Higher is better",H363*(1-A_Scoring_Model!$C$16),H363*(1+A_Scoring_Model!$C$16)))</f>
        <v>0.6</v>
      </c>
      <c r="J363" s="55"/>
      <c r="K363" s="55"/>
      <c r="L363" s="55"/>
      <c r="M363" s="55"/>
      <c r="N363" s="56" t="str">
        <f aca="false">IF(J363="","",IF($H363=$I363,IF(OR(AND($G363="Higher is better",J363&gt;=$H363),AND($G363="Lower is better",J363&lt;=$H363)),A_Scoring_Model!$C$14,0),IF($G363="Higher is better",IF(J363&gt;=$H363,A_Scoring_Model!$C$14,IF(J363&lt;$I363,0,A_Scoring_Model!$C$15+(A_Scoring_Model!$C$14-A_Scoring_Model!$C$15)*(J363-$I363)/($H363-$I363))),IF(J363&lt;=$H363,A_Scoring_Model!$C$14,IF(J363&gt;$I363,0,A_Scoring_Model!$C$15+(A_Scoring_Model!$C$14-A_Scoring_Model!$C$15)*($I363-J363)/($I363-$H363))))))</f>
        <v/>
      </c>
      <c r="O363" s="56" t="str">
        <f aca="false">IF(K363="","",IF($H363=$I363,IF(OR(AND($G363="Higher is better",K363&gt;=$H363),AND($G363="Lower is better",K363&lt;=$H363)),A_Scoring_Model!$C$14,0),IF($G363="Higher is better",IF(K363&gt;=$H363,A_Scoring_Model!$C$14,IF(K363&lt;$I363,0,A_Scoring_Model!$C$15+(A_Scoring_Model!$C$14-A_Scoring_Model!$C$15)*(K363-$I363)/($H363-$I363))),IF(K363&lt;=$H363,A_Scoring_Model!$C$14,IF(K363&gt;$I363,0,A_Scoring_Model!$C$15+(A_Scoring_Model!$C$14-A_Scoring_Model!$C$15)*($I363-K363)/($I363-$H363))))))</f>
        <v/>
      </c>
      <c r="P363" s="56" t="str">
        <f aca="false">IF(L363="","",IF($H363=$I363,IF(OR(AND($G363="Higher is better",L363&gt;=$H363),AND($G363="Lower is better",L363&lt;=$H363)),A_Scoring_Model!$C$14,0),IF($G363="Higher is better",IF(L363&gt;=$H363,A_Scoring_Model!$C$14,IF(L363&lt;$I363,0,A_Scoring_Model!$C$15+(A_Scoring_Model!$C$14-A_Scoring_Model!$C$15)*(L363-$I363)/($H363-$I363))),IF(L363&lt;=$H363,A_Scoring_Model!$C$14,IF(L363&gt;$I363,0,A_Scoring_Model!$C$15+(A_Scoring_Model!$C$14-A_Scoring_Model!$C$15)*($I363-L363)/($I363-$H363))))))</f>
        <v/>
      </c>
      <c r="Q363" s="56" t="str">
        <f aca="false">IF(M363="","",IF($H363=$I363,IF(OR(AND($G363="Higher is better",M363&gt;=$H363),AND($G363="Lower is better",M363&lt;=$H363)),A_Scoring_Model!$C$14,0),IF($G363="Higher is better",IF(M363&gt;=$H363,A_Scoring_Model!$C$14,IF(M363&lt;$I363,0,A_Scoring_Model!$C$15+(A_Scoring_Model!$C$14-A_Scoring_Model!$C$15)*(M363-$I363)/($H363-$I363))),IF(M363&lt;=$H363,A_Scoring_Model!$C$14,IF(M363&gt;$I363,0,A_Scoring_Model!$C$15+(A_Scoring_Model!$C$14-A_Scoring_Model!$C$15)*($I363-M363)/($I363-$H363))))))</f>
        <v/>
      </c>
    </row>
    <row r="364" customFormat="false" ht="15" hidden="false" customHeight="false" outlineLevel="0" collapsed="false">
      <c r="A364" s="51" t="str">
        <f aca="false">C_KPI_Benchmark!A364</f>
        <v>7.a-D6-13</v>
      </c>
      <c r="B364" s="52" t="str">
        <f aca="false">C_KPI_Benchmark!D364</f>
        <v>7.a</v>
      </c>
      <c r="C364" s="51" t="str">
        <f aca="false">C_KPI_Benchmark!E364</f>
        <v>Metrics Analytics Intelligence</v>
      </c>
      <c r="D364" s="52" t="str">
        <f aca="false">C_KPI_Benchmark!F364</f>
        <v>D6</v>
      </c>
      <c r="E364" s="51" t="str">
        <f aca="false">C_KPI_Benchmark!J364</f>
        <v>Review Shield critical findings</v>
      </c>
      <c r="F364" s="52" t="str">
        <f aca="false">C_KPI_Benchmark!K364</f>
        <v>count</v>
      </c>
      <c r="G364" s="51" t="str">
        <f aca="false">C_KPI_Benchmark!L364</f>
        <v>Lower is better</v>
      </c>
      <c r="H364" s="62" t="n">
        <f aca="false">C_KPI_Benchmark!N364</f>
        <v>0</v>
      </c>
      <c r="I364" s="63" t="n">
        <f aca="false">IF(C_KPI_Benchmark!O364&lt;&gt;"",C_KPI_Benchmark!O364,IF(G364="Higher is better",H364*(1-A_Scoring_Model!$C$16),H364*(1+A_Scoring_Model!$C$16)))</f>
        <v>0</v>
      </c>
      <c r="J364" s="64"/>
      <c r="K364" s="64"/>
      <c r="L364" s="64"/>
      <c r="M364" s="64"/>
      <c r="N364" s="56" t="str">
        <f aca="false">IF(J364="","",IF($H364=$I364,IF(OR(AND($G364="Higher is better",J364&gt;=$H364),AND($G364="Lower is better",J364&lt;=$H364)),A_Scoring_Model!$C$14,0),IF($G364="Higher is better",IF(J364&gt;=$H364,A_Scoring_Model!$C$14,IF(J364&lt;$I364,0,A_Scoring_Model!$C$15+(A_Scoring_Model!$C$14-A_Scoring_Model!$C$15)*(J364-$I364)/($H364-$I364))),IF(J364&lt;=$H364,A_Scoring_Model!$C$14,IF(J364&gt;$I364,0,A_Scoring_Model!$C$15+(A_Scoring_Model!$C$14-A_Scoring_Model!$C$15)*($I364-J364)/($I364-$H364))))))</f>
        <v/>
      </c>
      <c r="O364" s="56" t="str">
        <f aca="false">IF(K364="","",IF($H364=$I364,IF(OR(AND($G364="Higher is better",K364&gt;=$H364),AND($G364="Lower is better",K364&lt;=$H364)),A_Scoring_Model!$C$14,0),IF($G364="Higher is better",IF(K364&gt;=$H364,A_Scoring_Model!$C$14,IF(K364&lt;$I364,0,A_Scoring_Model!$C$15+(A_Scoring_Model!$C$14-A_Scoring_Model!$C$15)*(K364-$I364)/($H364-$I364))),IF(K364&lt;=$H364,A_Scoring_Model!$C$14,IF(K364&gt;$I364,0,A_Scoring_Model!$C$15+(A_Scoring_Model!$C$14-A_Scoring_Model!$C$15)*($I364-K364)/($I364-$H364))))))</f>
        <v/>
      </c>
      <c r="P364" s="56" t="str">
        <f aca="false">IF(L364="","",IF($H364=$I364,IF(OR(AND($G364="Higher is better",L364&gt;=$H364),AND($G364="Lower is better",L364&lt;=$H364)),A_Scoring_Model!$C$14,0),IF($G364="Higher is better",IF(L364&gt;=$H364,A_Scoring_Model!$C$14,IF(L364&lt;$I364,0,A_Scoring_Model!$C$15+(A_Scoring_Model!$C$14-A_Scoring_Model!$C$15)*(L364-$I364)/($H364-$I364))),IF(L364&lt;=$H364,A_Scoring_Model!$C$14,IF(L364&gt;$I364,0,A_Scoring_Model!$C$15+(A_Scoring_Model!$C$14-A_Scoring_Model!$C$15)*($I364-L364)/($I364-$H364))))))</f>
        <v/>
      </c>
      <c r="Q364" s="56" t="str">
        <f aca="false">IF(M364="","",IF($H364=$I364,IF(OR(AND($G364="Higher is better",M364&gt;=$H364),AND($G364="Lower is better",M364&lt;=$H364)),A_Scoring_Model!$C$14,0),IF($G364="Higher is better",IF(M364&gt;=$H364,A_Scoring_Model!$C$14,IF(M364&lt;$I364,0,A_Scoring_Model!$C$15+(A_Scoring_Model!$C$14-A_Scoring_Model!$C$15)*(M364-$I364)/($H364-$I364))),IF(M364&lt;=$H364,A_Scoring_Model!$C$14,IF(M364&gt;$I364,0,A_Scoring_Model!$C$15+(A_Scoring_Model!$C$14-A_Scoring_Model!$C$15)*($I364-M364)/($I364-$H364))))))</f>
        <v/>
      </c>
    </row>
    <row r="365" customFormat="false" ht="15" hidden="false" customHeight="false" outlineLevel="0" collapsed="false">
      <c r="A365" s="51" t="str">
        <f aca="false">C_KPI_Benchmark!A365</f>
        <v>7.a-D6-14</v>
      </c>
      <c r="B365" s="52" t="str">
        <f aca="false">C_KPI_Benchmark!D365</f>
        <v>7.a</v>
      </c>
      <c r="C365" s="51" t="str">
        <f aca="false">C_KPI_Benchmark!E365</f>
        <v>Metrics Analytics Intelligence</v>
      </c>
      <c r="D365" s="52" t="str">
        <f aca="false">C_KPI_Benchmark!F365</f>
        <v>D6</v>
      </c>
      <c r="E365" s="51" t="str">
        <f aca="false">C_KPI_Benchmark!J365</f>
        <v>SAST high findings and exposed secrets</v>
      </c>
      <c r="F365" s="52" t="str">
        <f aca="false">C_KPI_Benchmark!K365</f>
        <v>count</v>
      </c>
      <c r="G365" s="51" t="str">
        <f aca="false">C_KPI_Benchmark!L365</f>
        <v>Lower is better</v>
      </c>
      <c r="H365" s="62" t="n">
        <f aca="false">C_KPI_Benchmark!N365</f>
        <v>0</v>
      </c>
      <c r="I365" s="63" t="n">
        <f aca="false">IF(C_KPI_Benchmark!O365&lt;&gt;"",C_KPI_Benchmark!O365,IF(G365="Higher is better",H365*(1-A_Scoring_Model!$C$16),H365*(1+A_Scoring_Model!$C$16)))</f>
        <v>0</v>
      </c>
      <c r="J365" s="64"/>
      <c r="K365" s="64"/>
      <c r="L365" s="64"/>
      <c r="M365" s="64"/>
      <c r="N365" s="56" t="str">
        <f aca="false">IF(J365="","",IF($H365=$I365,IF(OR(AND($G365="Higher is better",J365&gt;=$H365),AND($G365="Lower is better",J365&lt;=$H365)),A_Scoring_Model!$C$14,0),IF($G365="Higher is better",IF(J365&gt;=$H365,A_Scoring_Model!$C$14,IF(J365&lt;$I365,0,A_Scoring_Model!$C$15+(A_Scoring_Model!$C$14-A_Scoring_Model!$C$15)*(J365-$I365)/($H365-$I365))),IF(J365&lt;=$H365,A_Scoring_Model!$C$14,IF(J365&gt;$I365,0,A_Scoring_Model!$C$15+(A_Scoring_Model!$C$14-A_Scoring_Model!$C$15)*($I365-J365)/($I365-$H365))))))</f>
        <v/>
      </c>
      <c r="O365" s="56" t="str">
        <f aca="false">IF(K365="","",IF($H365=$I365,IF(OR(AND($G365="Higher is better",K365&gt;=$H365),AND($G365="Lower is better",K365&lt;=$H365)),A_Scoring_Model!$C$14,0),IF($G365="Higher is better",IF(K365&gt;=$H365,A_Scoring_Model!$C$14,IF(K365&lt;$I365,0,A_Scoring_Model!$C$15+(A_Scoring_Model!$C$14-A_Scoring_Model!$C$15)*(K365-$I365)/($H365-$I365))),IF(K365&lt;=$H365,A_Scoring_Model!$C$14,IF(K365&gt;$I365,0,A_Scoring_Model!$C$15+(A_Scoring_Model!$C$14-A_Scoring_Model!$C$15)*($I365-K365)/($I365-$H365))))))</f>
        <v/>
      </c>
      <c r="P365" s="56" t="str">
        <f aca="false">IF(L365="","",IF($H365=$I365,IF(OR(AND($G365="Higher is better",L365&gt;=$H365),AND($G365="Lower is better",L365&lt;=$H365)),A_Scoring_Model!$C$14,0),IF($G365="Higher is better",IF(L365&gt;=$H365,A_Scoring_Model!$C$14,IF(L365&lt;$I365,0,A_Scoring_Model!$C$15+(A_Scoring_Model!$C$14-A_Scoring_Model!$C$15)*(L365-$I365)/($H365-$I365))),IF(L365&lt;=$H365,A_Scoring_Model!$C$14,IF(L365&gt;$I365,0,A_Scoring_Model!$C$15+(A_Scoring_Model!$C$14-A_Scoring_Model!$C$15)*($I365-L365)/($I365-$H365))))))</f>
        <v/>
      </c>
      <c r="Q365" s="56" t="str">
        <f aca="false">IF(M365="","",IF($H365=$I365,IF(OR(AND($G365="Higher is better",M365&gt;=$H365),AND($G365="Lower is better",M365&lt;=$H365)),A_Scoring_Model!$C$14,0),IF($G365="Higher is better",IF(M365&gt;=$H365,A_Scoring_Model!$C$14,IF(M365&lt;$I365,0,A_Scoring_Model!$C$15+(A_Scoring_Model!$C$14-A_Scoring_Model!$C$15)*(M365-$I365)/($H365-$I365))),IF(M365&lt;=$H365,A_Scoring_Model!$C$14,IF(M365&gt;$I365,0,A_Scoring_Model!$C$15+(A_Scoring_Model!$C$14-A_Scoring_Model!$C$15)*($I365-M365)/($I365-$H365))))))</f>
        <v/>
      </c>
    </row>
    <row r="366" customFormat="false" ht="23.85" hidden="false" customHeight="false" outlineLevel="0" collapsed="false">
      <c r="A366" s="51" t="str">
        <f aca="false">C_KPI_Benchmark!A366</f>
        <v>7.a-D6-15</v>
      </c>
      <c r="B366" s="52" t="str">
        <f aca="false">C_KPI_Benchmark!D366</f>
        <v>7.a</v>
      </c>
      <c r="C366" s="51" t="str">
        <f aca="false">C_KPI_Benchmark!E366</f>
        <v>Metrics Analytics Intelligence</v>
      </c>
      <c r="D366" s="52" t="str">
        <f aca="false">C_KPI_Benchmark!F366</f>
        <v>D6</v>
      </c>
      <c r="E366" s="51" t="str">
        <f aca="false">C_KPI_Benchmark!J366</f>
        <v>Documentation pack complete (README, I/O contract, model card, runbook)</v>
      </c>
      <c r="F366" s="52" t="str">
        <f aca="false">C_KPI_Benchmark!K366</f>
        <v>Yes/No</v>
      </c>
      <c r="G366" s="51" t="str">
        <f aca="false">C_KPI_Benchmark!L366</f>
        <v>Higher is better</v>
      </c>
      <c r="H366" s="60" t="n">
        <f aca="false">C_KPI_Benchmark!N366</f>
        <v>1</v>
      </c>
      <c r="I366" s="56" t="n">
        <f aca="false">IF(C_KPI_Benchmark!O366&lt;&gt;"",C_KPI_Benchmark!O366,IF(G366="Higher is better",H366*(1-A_Scoring_Model!$C$16),H366*(1+A_Scoring_Model!$C$16)))</f>
        <v>0.8</v>
      </c>
      <c r="J366" s="61"/>
      <c r="K366" s="61"/>
      <c r="L366" s="61"/>
      <c r="M366" s="61"/>
      <c r="N366" s="56" t="str">
        <f aca="false">IF(J366="","",IF($H366=$I366,IF(OR(AND($G366="Higher is better",J366&gt;=$H366),AND($G366="Lower is better",J366&lt;=$H366)),A_Scoring_Model!$C$14,0),IF($G366="Higher is better",IF(J366&gt;=$H366,A_Scoring_Model!$C$14,IF(J366&lt;$I366,0,A_Scoring_Model!$C$15+(A_Scoring_Model!$C$14-A_Scoring_Model!$C$15)*(J366-$I366)/($H366-$I366))),IF(J366&lt;=$H366,A_Scoring_Model!$C$14,IF(J366&gt;$I366,0,A_Scoring_Model!$C$15+(A_Scoring_Model!$C$14-A_Scoring_Model!$C$15)*($I366-J366)/($I366-$H366))))))</f>
        <v/>
      </c>
      <c r="O366" s="56" t="str">
        <f aca="false">IF(K366="","",IF($H366=$I366,IF(OR(AND($G366="Higher is better",K366&gt;=$H366),AND($G366="Lower is better",K366&lt;=$H366)),A_Scoring_Model!$C$14,0),IF($G366="Higher is better",IF(K366&gt;=$H366,A_Scoring_Model!$C$14,IF(K366&lt;$I366,0,A_Scoring_Model!$C$15+(A_Scoring_Model!$C$14-A_Scoring_Model!$C$15)*(K366-$I366)/($H366-$I366))),IF(K366&lt;=$H366,A_Scoring_Model!$C$14,IF(K366&gt;$I366,0,A_Scoring_Model!$C$15+(A_Scoring_Model!$C$14-A_Scoring_Model!$C$15)*($I366-K366)/($I366-$H366))))))</f>
        <v/>
      </c>
      <c r="P366" s="56" t="str">
        <f aca="false">IF(L366="","",IF($H366=$I366,IF(OR(AND($G366="Higher is better",L366&gt;=$H366),AND($G366="Lower is better",L366&lt;=$H366)),A_Scoring_Model!$C$14,0),IF($G366="Higher is better",IF(L366&gt;=$H366,A_Scoring_Model!$C$14,IF(L366&lt;$I366,0,A_Scoring_Model!$C$15+(A_Scoring_Model!$C$14-A_Scoring_Model!$C$15)*(L366-$I366)/($H366-$I366))),IF(L366&lt;=$H366,A_Scoring_Model!$C$14,IF(L366&gt;$I366,0,A_Scoring_Model!$C$15+(A_Scoring_Model!$C$14-A_Scoring_Model!$C$15)*($I366-L366)/($I366-$H366))))))</f>
        <v/>
      </c>
      <c r="Q366" s="56" t="str">
        <f aca="false">IF(M366="","",IF($H366=$I366,IF(OR(AND($G366="Higher is better",M366&gt;=$H366),AND($G366="Lower is better",M366&lt;=$H366)),A_Scoring_Model!$C$14,0),IF($G366="Higher is better",IF(M366&gt;=$H366,A_Scoring_Model!$C$14,IF(M366&lt;$I366,0,A_Scoring_Model!$C$15+(A_Scoring_Model!$C$14-A_Scoring_Model!$C$15)*(M366-$I366)/($H366-$I366))),IF(M366&lt;=$H366,A_Scoring_Model!$C$14,IF(M366&gt;$I366,0,A_Scoring_Model!$C$15+(A_Scoring_Model!$C$14-A_Scoring_Model!$C$15)*($I366-M366)/($I366-$H366))))))</f>
        <v/>
      </c>
    </row>
    <row r="367" customFormat="false" ht="15" hidden="false" customHeight="false" outlineLevel="0" collapsed="false">
      <c r="A367" s="51" t="str">
        <f aca="false">C_KPI_Benchmark!A367</f>
        <v>7.a-D6-16</v>
      </c>
      <c r="B367" s="52" t="str">
        <f aca="false">C_KPI_Benchmark!D367</f>
        <v>7.a</v>
      </c>
      <c r="C367" s="51" t="str">
        <f aca="false">C_KPI_Benchmark!E367</f>
        <v>Metrics Analytics Intelligence</v>
      </c>
      <c r="D367" s="52" t="str">
        <f aca="false">C_KPI_Benchmark!F367</f>
        <v>D6</v>
      </c>
      <c r="E367" s="51" t="str">
        <f aca="false">C_KPI_Benchmark!J367</f>
        <v>Named owner and support SLA</v>
      </c>
      <c r="F367" s="52" t="str">
        <f aca="false">C_KPI_Benchmark!K367</f>
        <v>Yes/No</v>
      </c>
      <c r="G367" s="51" t="str">
        <f aca="false">C_KPI_Benchmark!L367</f>
        <v>Higher is better</v>
      </c>
      <c r="H367" s="60" t="n">
        <f aca="false">C_KPI_Benchmark!N367</f>
        <v>1</v>
      </c>
      <c r="I367" s="56" t="n">
        <f aca="false">IF(C_KPI_Benchmark!O367&lt;&gt;"",C_KPI_Benchmark!O367,IF(G367="Higher is better",H367*(1-A_Scoring_Model!$C$16),H367*(1+A_Scoring_Model!$C$16)))</f>
        <v>0.8</v>
      </c>
      <c r="J367" s="61"/>
      <c r="K367" s="61"/>
      <c r="L367" s="61"/>
      <c r="M367" s="61"/>
      <c r="N367" s="56" t="str">
        <f aca="false">IF(J367="","",IF($H367=$I367,IF(OR(AND($G367="Higher is better",J367&gt;=$H367),AND($G367="Lower is better",J367&lt;=$H367)),A_Scoring_Model!$C$14,0),IF($G367="Higher is better",IF(J367&gt;=$H367,A_Scoring_Model!$C$14,IF(J367&lt;$I367,0,A_Scoring_Model!$C$15+(A_Scoring_Model!$C$14-A_Scoring_Model!$C$15)*(J367-$I367)/($H367-$I367))),IF(J367&lt;=$H367,A_Scoring_Model!$C$14,IF(J367&gt;$I367,0,A_Scoring_Model!$C$15+(A_Scoring_Model!$C$14-A_Scoring_Model!$C$15)*($I367-J367)/($I367-$H367))))))</f>
        <v/>
      </c>
      <c r="O367" s="56" t="str">
        <f aca="false">IF(K367="","",IF($H367=$I367,IF(OR(AND($G367="Higher is better",K367&gt;=$H367),AND($G367="Lower is better",K367&lt;=$H367)),A_Scoring_Model!$C$14,0),IF($G367="Higher is better",IF(K367&gt;=$H367,A_Scoring_Model!$C$14,IF(K367&lt;$I367,0,A_Scoring_Model!$C$15+(A_Scoring_Model!$C$14-A_Scoring_Model!$C$15)*(K367-$I367)/($H367-$I367))),IF(K367&lt;=$H367,A_Scoring_Model!$C$14,IF(K367&gt;$I367,0,A_Scoring_Model!$C$15+(A_Scoring_Model!$C$14-A_Scoring_Model!$C$15)*($I367-K367)/($I367-$H367))))))</f>
        <v/>
      </c>
      <c r="P367" s="56" t="str">
        <f aca="false">IF(L367="","",IF($H367=$I367,IF(OR(AND($G367="Higher is better",L367&gt;=$H367),AND($G367="Lower is better",L367&lt;=$H367)),A_Scoring_Model!$C$14,0),IF($G367="Higher is better",IF(L367&gt;=$H367,A_Scoring_Model!$C$14,IF(L367&lt;$I367,0,A_Scoring_Model!$C$15+(A_Scoring_Model!$C$14-A_Scoring_Model!$C$15)*(L367-$I367)/($H367-$I367))),IF(L367&lt;=$H367,A_Scoring_Model!$C$14,IF(L367&gt;$I367,0,A_Scoring_Model!$C$15+(A_Scoring_Model!$C$14-A_Scoring_Model!$C$15)*($I367-L367)/($I367-$H367))))))</f>
        <v/>
      </c>
      <c r="Q367" s="56" t="str">
        <f aca="false">IF(M367="","",IF($H367=$I367,IF(OR(AND($G367="Higher is better",M367&gt;=$H367),AND($G367="Lower is better",M367&lt;=$H367)),A_Scoring_Model!$C$14,0),IF($G367="Higher is better",IF(M367&gt;=$H367,A_Scoring_Model!$C$14,IF(M367&lt;$I367,0,A_Scoring_Model!$C$15+(A_Scoring_Model!$C$14-A_Scoring_Model!$C$15)*(M367-$I367)/($H367-$I367))),IF(M367&lt;=$H367,A_Scoring_Model!$C$14,IF(M367&gt;$I367,0,A_Scoring_Model!$C$15+(A_Scoring_Model!$C$14-A_Scoring_Model!$C$15)*($I367-M367)/($I367-$H367))))))</f>
        <v/>
      </c>
    </row>
    <row r="368" customFormat="false" ht="15" hidden="false" customHeight="false" outlineLevel="0" collapsed="false">
      <c r="A368" s="51" t="str">
        <f aca="false">C_KPI_Benchmark!A368</f>
        <v>7.b-D1-01</v>
      </c>
      <c r="B368" s="52" t="str">
        <f aca="false">C_KPI_Benchmark!D368</f>
        <v>7.b</v>
      </c>
      <c r="C368" s="51" t="str">
        <f aca="false">C_KPI_Benchmark!E368</f>
        <v>Predictive QA ML Model</v>
      </c>
      <c r="D368" s="52" t="str">
        <f aca="false">C_KPI_Benchmark!F368</f>
        <v>D1</v>
      </c>
      <c r="E368" s="51" t="str">
        <f aca="false">C_KPI_Benchmark!J368</f>
        <v>Defect-prone module AUC</v>
      </c>
      <c r="F368" s="52" t="str">
        <f aca="false">C_KPI_Benchmark!K368</f>
        <v>AUC</v>
      </c>
      <c r="G368" s="51" t="str">
        <f aca="false">C_KPI_Benchmark!L368</f>
        <v>Higher is better</v>
      </c>
      <c r="H368" s="57" t="n">
        <f aca="false">C_KPI_Benchmark!N368</f>
        <v>0.8</v>
      </c>
      <c r="I368" s="58" t="n">
        <f aca="false">IF(C_KPI_Benchmark!O368&lt;&gt;"",C_KPI_Benchmark!O368,IF(G368="Higher is better",H368*(1-A_Scoring_Model!$C$16),H368*(1+A_Scoring_Model!$C$16)))</f>
        <v>0.7</v>
      </c>
      <c r="J368" s="59"/>
      <c r="K368" s="59"/>
      <c r="L368" s="59"/>
      <c r="M368" s="59"/>
      <c r="N368" s="56" t="str">
        <f aca="false">IF(J368="","",IF($H368=$I368,IF(OR(AND($G368="Higher is better",J368&gt;=$H368),AND($G368="Lower is better",J368&lt;=$H368)),A_Scoring_Model!$C$14,0),IF($G368="Higher is better",IF(J368&gt;=$H368,A_Scoring_Model!$C$14,IF(J368&lt;$I368,0,A_Scoring_Model!$C$15+(A_Scoring_Model!$C$14-A_Scoring_Model!$C$15)*(J368-$I368)/($H368-$I368))),IF(J368&lt;=$H368,A_Scoring_Model!$C$14,IF(J368&gt;$I368,0,A_Scoring_Model!$C$15+(A_Scoring_Model!$C$14-A_Scoring_Model!$C$15)*($I368-J368)/($I368-$H368))))))</f>
        <v/>
      </c>
      <c r="O368" s="56" t="str">
        <f aca="false">IF(K368="","",IF($H368=$I368,IF(OR(AND($G368="Higher is better",K368&gt;=$H368),AND($G368="Lower is better",K368&lt;=$H368)),A_Scoring_Model!$C$14,0),IF($G368="Higher is better",IF(K368&gt;=$H368,A_Scoring_Model!$C$14,IF(K368&lt;$I368,0,A_Scoring_Model!$C$15+(A_Scoring_Model!$C$14-A_Scoring_Model!$C$15)*(K368-$I368)/($H368-$I368))),IF(K368&lt;=$H368,A_Scoring_Model!$C$14,IF(K368&gt;$I368,0,A_Scoring_Model!$C$15+(A_Scoring_Model!$C$14-A_Scoring_Model!$C$15)*($I368-K368)/($I368-$H368))))))</f>
        <v/>
      </c>
      <c r="P368" s="56" t="str">
        <f aca="false">IF(L368="","",IF($H368=$I368,IF(OR(AND($G368="Higher is better",L368&gt;=$H368),AND($G368="Lower is better",L368&lt;=$H368)),A_Scoring_Model!$C$14,0),IF($G368="Higher is better",IF(L368&gt;=$H368,A_Scoring_Model!$C$14,IF(L368&lt;$I368,0,A_Scoring_Model!$C$15+(A_Scoring_Model!$C$14-A_Scoring_Model!$C$15)*(L368-$I368)/($H368-$I368))),IF(L368&lt;=$H368,A_Scoring_Model!$C$14,IF(L368&gt;$I368,0,A_Scoring_Model!$C$15+(A_Scoring_Model!$C$14-A_Scoring_Model!$C$15)*($I368-L368)/($I368-$H368))))))</f>
        <v/>
      </c>
      <c r="Q368" s="56" t="str">
        <f aca="false">IF(M368="","",IF($H368=$I368,IF(OR(AND($G368="Higher is better",M368&gt;=$H368),AND($G368="Lower is better",M368&lt;=$H368)),A_Scoring_Model!$C$14,0),IF($G368="Higher is better",IF(M368&gt;=$H368,A_Scoring_Model!$C$14,IF(M368&lt;$I368,0,A_Scoring_Model!$C$15+(A_Scoring_Model!$C$14-A_Scoring_Model!$C$15)*(M368-$I368)/($H368-$I368))),IF(M368&lt;=$H368,A_Scoring_Model!$C$14,IF(M368&gt;$I368,0,A_Scoring_Model!$C$15+(A_Scoring_Model!$C$14-A_Scoring_Model!$C$15)*($I368-M368)/($I368-$H368))))))</f>
        <v/>
      </c>
    </row>
    <row r="369" customFormat="false" ht="15" hidden="false" customHeight="false" outlineLevel="0" collapsed="false">
      <c r="A369" s="51" t="str">
        <f aca="false">C_KPI_Benchmark!A369</f>
        <v>7.b-D1-02</v>
      </c>
      <c r="B369" s="52" t="str">
        <f aca="false">C_KPI_Benchmark!D369</f>
        <v>7.b</v>
      </c>
      <c r="C369" s="51" t="str">
        <f aca="false">C_KPI_Benchmark!E369</f>
        <v>Predictive QA ML Model</v>
      </c>
      <c r="D369" s="52" t="str">
        <f aca="false">C_KPI_Benchmark!F369</f>
        <v>D1</v>
      </c>
      <c r="E369" s="51" t="str">
        <f aca="false">C_KPI_Benchmark!J369</f>
        <v>Residual-defect forecast MAPE</v>
      </c>
      <c r="F369" s="52" t="str">
        <f aca="false">C_KPI_Benchmark!K369</f>
        <v>%</v>
      </c>
      <c r="G369" s="51" t="str">
        <f aca="false">C_KPI_Benchmark!L369</f>
        <v>Lower is better</v>
      </c>
      <c r="H369" s="53" t="n">
        <f aca="false">C_KPI_Benchmark!N369</f>
        <v>0.2</v>
      </c>
      <c r="I369" s="54" t="n">
        <f aca="false">IF(C_KPI_Benchmark!O369&lt;&gt;"",C_KPI_Benchmark!O369,IF(G369="Higher is better",H369*(1-A_Scoring_Model!$C$16),H369*(1+A_Scoring_Model!$C$16)))</f>
        <v>0.3</v>
      </c>
      <c r="J369" s="55"/>
      <c r="K369" s="55"/>
      <c r="L369" s="55"/>
      <c r="M369" s="55"/>
      <c r="N369" s="56" t="str">
        <f aca="false">IF(J369="","",IF($H369=$I369,IF(OR(AND($G369="Higher is better",J369&gt;=$H369),AND($G369="Lower is better",J369&lt;=$H369)),A_Scoring_Model!$C$14,0),IF($G369="Higher is better",IF(J369&gt;=$H369,A_Scoring_Model!$C$14,IF(J369&lt;$I369,0,A_Scoring_Model!$C$15+(A_Scoring_Model!$C$14-A_Scoring_Model!$C$15)*(J369-$I369)/($H369-$I369))),IF(J369&lt;=$H369,A_Scoring_Model!$C$14,IF(J369&gt;$I369,0,A_Scoring_Model!$C$15+(A_Scoring_Model!$C$14-A_Scoring_Model!$C$15)*($I369-J369)/($I369-$H369))))))</f>
        <v/>
      </c>
      <c r="O369" s="56" t="str">
        <f aca="false">IF(K369="","",IF($H369=$I369,IF(OR(AND($G369="Higher is better",K369&gt;=$H369),AND($G369="Lower is better",K369&lt;=$H369)),A_Scoring_Model!$C$14,0),IF($G369="Higher is better",IF(K369&gt;=$H369,A_Scoring_Model!$C$14,IF(K369&lt;$I369,0,A_Scoring_Model!$C$15+(A_Scoring_Model!$C$14-A_Scoring_Model!$C$15)*(K369-$I369)/($H369-$I369))),IF(K369&lt;=$H369,A_Scoring_Model!$C$14,IF(K369&gt;$I369,0,A_Scoring_Model!$C$15+(A_Scoring_Model!$C$14-A_Scoring_Model!$C$15)*($I369-K369)/($I369-$H369))))))</f>
        <v/>
      </c>
      <c r="P369" s="56" t="str">
        <f aca="false">IF(L369="","",IF($H369=$I369,IF(OR(AND($G369="Higher is better",L369&gt;=$H369),AND($G369="Lower is better",L369&lt;=$H369)),A_Scoring_Model!$C$14,0),IF($G369="Higher is better",IF(L369&gt;=$H369,A_Scoring_Model!$C$14,IF(L369&lt;$I369,0,A_Scoring_Model!$C$15+(A_Scoring_Model!$C$14-A_Scoring_Model!$C$15)*(L369-$I369)/($H369-$I369))),IF(L369&lt;=$H369,A_Scoring_Model!$C$14,IF(L369&gt;$I369,0,A_Scoring_Model!$C$15+(A_Scoring_Model!$C$14-A_Scoring_Model!$C$15)*($I369-L369)/($I369-$H369))))))</f>
        <v/>
      </c>
      <c r="Q369" s="56" t="str">
        <f aca="false">IF(M369="","",IF($H369=$I369,IF(OR(AND($G369="Higher is better",M369&gt;=$H369),AND($G369="Lower is better",M369&lt;=$H369)),A_Scoring_Model!$C$14,0),IF($G369="Higher is better",IF(M369&gt;=$H369,A_Scoring_Model!$C$14,IF(M369&lt;$I369,0,A_Scoring_Model!$C$15+(A_Scoring_Model!$C$14-A_Scoring_Model!$C$15)*(M369-$I369)/($H369-$I369))),IF(M369&lt;=$H369,A_Scoring_Model!$C$14,IF(M369&gt;$I369,0,A_Scoring_Model!$C$15+(A_Scoring_Model!$C$14-A_Scoring_Model!$C$15)*($I369-M369)/($I369-$H369))))))</f>
        <v/>
      </c>
    </row>
    <row r="370" customFormat="false" ht="15" hidden="false" customHeight="false" outlineLevel="0" collapsed="false">
      <c r="A370" s="51" t="str">
        <f aca="false">C_KPI_Benchmark!A370</f>
        <v>7.b-D1-03</v>
      </c>
      <c r="B370" s="52" t="str">
        <f aca="false">C_KPI_Benchmark!D370</f>
        <v>7.b</v>
      </c>
      <c r="C370" s="51" t="str">
        <f aca="false">C_KPI_Benchmark!E370</f>
        <v>Predictive QA ML Model</v>
      </c>
      <c r="D370" s="52" t="str">
        <f aca="false">C_KPI_Benchmark!F370</f>
        <v>D1</v>
      </c>
      <c r="E370" s="51" t="str">
        <f aca="false">C_KPI_Benchmark!J370</f>
        <v>Release-readiness prediction accuracy</v>
      </c>
      <c r="F370" s="52" t="str">
        <f aca="false">C_KPI_Benchmark!K370</f>
        <v>%</v>
      </c>
      <c r="G370" s="51" t="str">
        <f aca="false">C_KPI_Benchmark!L370</f>
        <v>Higher is better</v>
      </c>
      <c r="H370" s="53" t="n">
        <f aca="false">C_KPI_Benchmark!N370</f>
        <v>0.85</v>
      </c>
      <c r="I370" s="54" t="n">
        <f aca="false">IF(C_KPI_Benchmark!O370&lt;&gt;"",C_KPI_Benchmark!O370,IF(G370="Higher is better",H370*(1-A_Scoring_Model!$C$16),H370*(1+A_Scoring_Model!$C$16)))</f>
        <v>0.75</v>
      </c>
      <c r="J370" s="55"/>
      <c r="K370" s="55"/>
      <c r="L370" s="55"/>
      <c r="M370" s="55"/>
      <c r="N370" s="56" t="str">
        <f aca="false">IF(J370="","",IF($H370=$I370,IF(OR(AND($G370="Higher is better",J370&gt;=$H370),AND($G370="Lower is better",J370&lt;=$H370)),A_Scoring_Model!$C$14,0),IF($G370="Higher is better",IF(J370&gt;=$H370,A_Scoring_Model!$C$14,IF(J370&lt;$I370,0,A_Scoring_Model!$C$15+(A_Scoring_Model!$C$14-A_Scoring_Model!$C$15)*(J370-$I370)/($H370-$I370))),IF(J370&lt;=$H370,A_Scoring_Model!$C$14,IF(J370&gt;$I370,0,A_Scoring_Model!$C$15+(A_Scoring_Model!$C$14-A_Scoring_Model!$C$15)*($I370-J370)/($I370-$H370))))))</f>
        <v/>
      </c>
      <c r="O370" s="56" t="str">
        <f aca="false">IF(K370="","",IF($H370=$I370,IF(OR(AND($G370="Higher is better",K370&gt;=$H370),AND($G370="Lower is better",K370&lt;=$H370)),A_Scoring_Model!$C$14,0),IF($G370="Higher is better",IF(K370&gt;=$H370,A_Scoring_Model!$C$14,IF(K370&lt;$I370,0,A_Scoring_Model!$C$15+(A_Scoring_Model!$C$14-A_Scoring_Model!$C$15)*(K370-$I370)/($H370-$I370))),IF(K370&lt;=$H370,A_Scoring_Model!$C$14,IF(K370&gt;$I370,0,A_Scoring_Model!$C$15+(A_Scoring_Model!$C$14-A_Scoring_Model!$C$15)*($I370-K370)/($I370-$H370))))))</f>
        <v/>
      </c>
      <c r="P370" s="56" t="str">
        <f aca="false">IF(L370="","",IF($H370=$I370,IF(OR(AND($G370="Higher is better",L370&gt;=$H370),AND($G370="Lower is better",L370&lt;=$H370)),A_Scoring_Model!$C$14,0),IF($G370="Higher is better",IF(L370&gt;=$H370,A_Scoring_Model!$C$14,IF(L370&lt;$I370,0,A_Scoring_Model!$C$15+(A_Scoring_Model!$C$14-A_Scoring_Model!$C$15)*(L370-$I370)/($H370-$I370))),IF(L370&lt;=$H370,A_Scoring_Model!$C$14,IF(L370&gt;$I370,0,A_Scoring_Model!$C$15+(A_Scoring_Model!$C$14-A_Scoring_Model!$C$15)*($I370-L370)/($I370-$H370))))))</f>
        <v/>
      </c>
      <c r="Q370" s="56" t="str">
        <f aca="false">IF(M370="","",IF($H370=$I370,IF(OR(AND($G370="Higher is better",M370&gt;=$H370),AND($G370="Lower is better",M370&lt;=$H370)),A_Scoring_Model!$C$14,0),IF($G370="Higher is better",IF(M370&gt;=$H370,A_Scoring_Model!$C$14,IF(M370&lt;$I370,0,A_Scoring_Model!$C$15+(A_Scoring_Model!$C$14-A_Scoring_Model!$C$15)*(M370-$I370)/($H370-$I370))),IF(M370&lt;=$H370,A_Scoring_Model!$C$14,IF(M370&gt;$I370,0,A_Scoring_Model!$C$15+(A_Scoring_Model!$C$14-A_Scoring_Model!$C$15)*($I370-M370)/($I370-$H370))))))</f>
        <v/>
      </c>
    </row>
    <row r="371" customFormat="false" ht="15" hidden="false" customHeight="false" outlineLevel="0" collapsed="false">
      <c r="A371" s="51" t="str">
        <f aca="false">C_KPI_Benchmark!A371</f>
        <v>7.b-D2-04</v>
      </c>
      <c r="B371" s="52" t="str">
        <f aca="false">C_KPI_Benchmark!D371</f>
        <v>7.b</v>
      </c>
      <c r="C371" s="51" t="str">
        <f aca="false">C_KPI_Benchmark!E371</f>
        <v>Predictive QA ML Model</v>
      </c>
      <c r="D371" s="52" t="str">
        <f aca="false">C_KPI_Benchmark!F371</f>
        <v>D2</v>
      </c>
      <c r="E371" s="51" t="str">
        <f aca="false">C_KPI_Benchmark!J371</f>
        <v>Shared feature store; per-product calibration only</v>
      </c>
      <c r="F371" s="52" t="str">
        <f aca="false">C_KPI_Benchmark!K371</f>
        <v>Yes/No</v>
      </c>
      <c r="G371" s="51" t="str">
        <f aca="false">C_KPI_Benchmark!L371</f>
        <v>Higher is better</v>
      </c>
      <c r="H371" s="60" t="n">
        <f aca="false">C_KPI_Benchmark!N371</f>
        <v>1</v>
      </c>
      <c r="I371" s="56" t="n">
        <f aca="false">IF(C_KPI_Benchmark!O371&lt;&gt;"",C_KPI_Benchmark!O371,IF(G371="Higher is better",H371*(1-A_Scoring_Model!$C$16),H371*(1+A_Scoring_Model!$C$16)))</f>
        <v>0.8</v>
      </c>
      <c r="J371" s="61"/>
      <c r="K371" s="61"/>
      <c r="L371" s="61"/>
      <c r="M371" s="61"/>
      <c r="N371" s="56" t="str">
        <f aca="false">IF(J371="","",IF($H371=$I371,IF(OR(AND($G371="Higher is better",J371&gt;=$H371),AND($G371="Lower is better",J371&lt;=$H371)),A_Scoring_Model!$C$14,0),IF($G371="Higher is better",IF(J371&gt;=$H371,A_Scoring_Model!$C$14,IF(J371&lt;$I371,0,A_Scoring_Model!$C$15+(A_Scoring_Model!$C$14-A_Scoring_Model!$C$15)*(J371-$I371)/($H371-$I371))),IF(J371&lt;=$H371,A_Scoring_Model!$C$14,IF(J371&gt;$I371,0,A_Scoring_Model!$C$15+(A_Scoring_Model!$C$14-A_Scoring_Model!$C$15)*($I371-J371)/($I371-$H371))))))</f>
        <v/>
      </c>
      <c r="O371" s="56" t="str">
        <f aca="false">IF(K371="","",IF($H371=$I371,IF(OR(AND($G371="Higher is better",K371&gt;=$H371),AND($G371="Lower is better",K371&lt;=$H371)),A_Scoring_Model!$C$14,0),IF($G371="Higher is better",IF(K371&gt;=$H371,A_Scoring_Model!$C$14,IF(K371&lt;$I371,0,A_Scoring_Model!$C$15+(A_Scoring_Model!$C$14-A_Scoring_Model!$C$15)*(K371-$I371)/($H371-$I371))),IF(K371&lt;=$H371,A_Scoring_Model!$C$14,IF(K371&gt;$I371,0,A_Scoring_Model!$C$15+(A_Scoring_Model!$C$14-A_Scoring_Model!$C$15)*($I371-K371)/($I371-$H371))))))</f>
        <v/>
      </c>
      <c r="P371" s="56" t="str">
        <f aca="false">IF(L371="","",IF($H371=$I371,IF(OR(AND($G371="Higher is better",L371&gt;=$H371),AND($G371="Lower is better",L371&lt;=$H371)),A_Scoring_Model!$C$14,0),IF($G371="Higher is better",IF(L371&gt;=$H371,A_Scoring_Model!$C$14,IF(L371&lt;$I371,0,A_Scoring_Model!$C$15+(A_Scoring_Model!$C$14-A_Scoring_Model!$C$15)*(L371-$I371)/($H371-$I371))),IF(L371&lt;=$H371,A_Scoring_Model!$C$14,IF(L371&gt;$I371,0,A_Scoring_Model!$C$15+(A_Scoring_Model!$C$14-A_Scoring_Model!$C$15)*($I371-L371)/($I371-$H371))))))</f>
        <v/>
      </c>
      <c r="Q371" s="56" t="str">
        <f aca="false">IF(M371="","",IF($H371=$I371,IF(OR(AND($G371="Higher is better",M371&gt;=$H371),AND($G371="Lower is better",M371&lt;=$H371)),A_Scoring_Model!$C$14,0),IF($G371="Higher is better",IF(M371&gt;=$H371,A_Scoring_Model!$C$14,IF(M371&lt;$I371,0,A_Scoring_Model!$C$15+(A_Scoring_Model!$C$14-A_Scoring_Model!$C$15)*(M371-$I371)/($H371-$I371))),IF(M371&lt;=$H371,A_Scoring_Model!$C$14,IF(M371&gt;$I371,0,A_Scoring_Model!$C$15+(A_Scoring_Model!$C$14-A_Scoring_Model!$C$15)*($I371-M371)/($I371-$H371))))))</f>
        <v/>
      </c>
    </row>
    <row r="372" customFormat="false" ht="23.85" hidden="false" customHeight="false" outlineLevel="0" collapsed="false">
      <c r="A372" s="51" t="str">
        <f aca="false">C_KPI_Benchmark!A372</f>
        <v>7.b-D2-05</v>
      </c>
      <c r="B372" s="52" t="str">
        <f aca="false">C_KPI_Benchmark!D372</f>
        <v>7.b</v>
      </c>
      <c r="C372" s="51" t="str">
        <f aca="false">C_KPI_Benchmark!E372</f>
        <v>Predictive QA ML Model</v>
      </c>
      <c r="D372" s="52" t="str">
        <f aca="false">C_KPI_Benchmark!F372</f>
        <v>D2</v>
      </c>
      <c r="E372" s="51" t="str">
        <f aca="false">C_KPI_Benchmark!J372</f>
        <v>Product lines supported with ≤10% efficacy drop (NVMe SSD, UFS, eMMC/uSD, PSSD)</v>
      </c>
      <c r="F372" s="52" t="str">
        <f aca="false">C_KPI_Benchmark!K372</f>
        <v>count</v>
      </c>
      <c r="G372" s="51" t="str">
        <f aca="false">C_KPI_Benchmark!L372</f>
        <v>Higher is better</v>
      </c>
      <c r="H372" s="62" t="n">
        <f aca="false">C_KPI_Benchmark!N372</f>
        <v>3</v>
      </c>
      <c r="I372" s="63" t="n">
        <f aca="false">IF(C_KPI_Benchmark!O372&lt;&gt;"",C_KPI_Benchmark!O372,IF(G372="Higher is better",H372*(1-A_Scoring_Model!$C$16),H372*(1+A_Scoring_Model!$C$16)))</f>
        <v>2</v>
      </c>
      <c r="J372" s="64"/>
      <c r="K372" s="64"/>
      <c r="L372" s="64"/>
      <c r="M372" s="64"/>
      <c r="N372" s="56" t="str">
        <f aca="false">IF(J372="","",IF($H372=$I372,IF(OR(AND($G372="Higher is better",J372&gt;=$H372),AND($G372="Lower is better",J372&lt;=$H372)),A_Scoring_Model!$C$14,0),IF($G372="Higher is better",IF(J372&gt;=$H372,A_Scoring_Model!$C$14,IF(J372&lt;$I372,0,A_Scoring_Model!$C$15+(A_Scoring_Model!$C$14-A_Scoring_Model!$C$15)*(J372-$I372)/($H372-$I372))),IF(J372&lt;=$H372,A_Scoring_Model!$C$14,IF(J372&gt;$I372,0,A_Scoring_Model!$C$15+(A_Scoring_Model!$C$14-A_Scoring_Model!$C$15)*($I372-J372)/($I372-$H372))))))</f>
        <v/>
      </c>
      <c r="O372" s="56" t="str">
        <f aca="false">IF(K372="","",IF($H372=$I372,IF(OR(AND($G372="Higher is better",K372&gt;=$H372),AND($G372="Lower is better",K372&lt;=$H372)),A_Scoring_Model!$C$14,0),IF($G372="Higher is better",IF(K372&gt;=$H372,A_Scoring_Model!$C$14,IF(K372&lt;$I372,0,A_Scoring_Model!$C$15+(A_Scoring_Model!$C$14-A_Scoring_Model!$C$15)*(K372-$I372)/($H372-$I372))),IF(K372&lt;=$H372,A_Scoring_Model!$C$14,IF(K372&gt;$I372,0,A_Scoring_Model!$C$15+(A_Scoring_Model!$C$14-A_Scoring_Model!$C$15)*($I372-K372)/($I372-$H372))))))</f>
        <v/>
      </c>
      <c r="P372" s="56" t="str">
        <f aca="false">IF(L372="","",IF($H372=$I372,IF(OR(AND($G372="Higher is better",L372&gt;=$H372),AND($G372="Lower is better",L372&lt;=$H372)),A_Scoring_Model!$C$14,0),IF($G372="Higher is better",IF(L372&gt;=$H372,A_Scoring_Model!$C$14,IF(L372&lt;$I372,0,A_Scoring_Model!$C$15+(A_Scoring_Model!$C$14-A_Scoring_Model!$C$15)*(L372-$I372)/($H372-$I372))),IF(L372&lt;=$H372,A_Scoring_Model!$C$14,IF(L372&gt;$I372,0,A_Scoring_Model!$C$15+(A_Scoring_Model!$C$14-A_Scoring_Model!$C$15)*($I372-L372)/($I372-$H372))))))</f>
        <v/>
      </c>
      <c r="Q372" s="56" t="str">
        <f aca="false">IF(M372="","",IF($H372=$I372,IF(OR(AND($G372="Higher is better",M372&gt;=$H372),AND($G372="Lower is better",M372&lt;=$H372)),A_Scoring_Model!$C$14,0),IF($G372="Higher is better",IF(M372&gt;=$H372,A_Scoring_Model!$C$14,IF(M372&lt;$I372,0,A_Scoring_Model!$C$15+(A_Scoring_Model!$C$14-A_Scoring_Model!$C$15)*(M372-$I372)/($H372-$I372))),IF(M372&lt;=$H372,A_Scoring_Model!$C$14,IF(M372&gt;$I372,0,A_Scoring_Model!$C$15+(A_Scoring_Model!$C$14-A_Scoring_Model!$C$15)*($I372-M372)/($I372-$H372))))))</f>
        <v/>
      </c>
    </row>
    <row r="373" customFormat="false" ht="15" hidden="false" customHeight="false" outlineLevel="0" collapsed="false">
      <c r="A373" s="51" t="str">
        <f aca="false">C_KPI_Benchmark!A373</f>
        <v>7.b-D2-06</v>
      </c>
      <c r="B373" s="52" t="str">
        <f aca="false">C_KPI_Benchmark!D373</f>
        <v>7.b</v>
      </c>
      <c r="C373" s="51" t="str">
        <f aca="false">C_KPI_Benchmark!E373</f>
        <v>Predictive QA ML Model</v>
      </c>
      <c r="D373" s="52" t="str">
        <f aca="false">C_KPI_Benchmark!F373</f>
        <v>D2</v>
      </c>
      <c r="E373" s="51" t="str">
        <f aca="false">C_KPI_Benchmark!J373</f>
        <v>Uses Zion shared services instead of re-implementing them</v>
      </c>
      <c r="F373" s="52" t="str">
        <f aca="false">C_KPI_Benchmark!K373</f>
        <v>Yes/No</v>
      </c>
      <c r="G373" s="51" t="str">
        <f aca="false">C_KPI_Benchmark!L373</f>
        <v>Higher is better</v>
      </c>
      <c r="H373" s="60" t="n">
        <f aca="false">C_KPI_Benchmark!N373</f>
        <v>1</v>
      </c>
      <c r="I373" s="56" t="n">
        <f aca="false">IF(C_KPI_Benchmark!O373&lt;&gt;"",C_KPI_Benchmark!O373,IF(G373="Higher is better",H373*(1-A_Scoring_Model!$C$16),H373*(1+A_Scoring_Model!$C$16)))</f>
        <v>0.8</v>
      </c>
      <c r="J373" s="61"/>
      <c r="K373" s="61"/>
      <c r="L373" s="61"/>
      <c r="M373" s="61"/>
      <c r="N373" s="56" t="str">
        <f aca="false">IF(J373="","",IF($H373=$I373,IF(OR(AND($G373="Higher is better",J373&gt;=$H373),AND($G373="Lower is better",J373&lt;=$H373)),A_Scoring_Model!$C$14,0),IF($G373="Higher is better",IF(J373&gt;=$H373,A_Scoring_Model!$C$14,IF(J373&lt;$I373,0,A_Scoring_Model!$C$15+(A_Scoring_Model!$C$14-A_Scoring_Model!$C$15)*(J373-$I373)/($H373-$I373))),IF(J373&lt;=$H373,A_Scoring_Model!$C$14,IF(J373&gt;$I373,0,A_Scoring_Model!$C$15+(A_Scoring_Model!$C$14-A_Scoring_Model!$C$15)*($I373-J373)/($I373-$H373))))))</f>
        <v/>
      </c>
      <c r="O373" s="56" t="str">
        <f aca="false">IF(K373="","",IF($H373=$I373,IF(OR(AND($G373="Higher is better",K373&gt;=$H373),AND($G373="Lower is better",K373&lt;=$H373)),A_Scoring_Model!$C$14,0),IF($G373="Higher is better",IF(K373&gt;=$H373,A_Scoring_Model!$C$14,IF(K373&lt;$I373,0,A_Scoring_Model!$C$15+(A_Scoring_Model!$C$14-A_Scoring_Model!$C$15)*(K373-$I373)/($H373-$I373))),IF(K373&lt;=$H373,A_Scoring_Model!$C$14,IF(K373&gt;$I373,0,A_Scoring_Model!$C$15+(A_Scoring_Model!$C$14-A_Scoring_Model!$C$15)*($I373-K373)/($I373-$H373))))))</f>
        <v/>
      </c>
      <c r="P373" s="56" t="str">
        <f aca="false">IF(L373="","",IF($H373=$I373,IF(OR(AND($G373="Higher is better",L373&gt;=$H373),AND($G373="Lower is better",L373&lt;=$H373)),A_Scoring_Model!$C$14,0),IF($G373="Higher is better",IF(L373&gt;=$H373,A_Scoring_Model!$C$14,IF(L373&lt;$I373,0,A_Scoring_Model!$C$15+(A_Scoring_Model!$C$14-A_Scoring_Model!$C$15)*(L373-$I373)/($H373-$I373))),IF(L373&lt;=$H373,A_Scoring_Model!$C$14,IF(L373&gt;$I373,0,A_Scoring_Model!$C$15+(A_Scoring_Model!$C$14-A_Scoring_Model!$C$15)*($I373-L373)/($I373-$H373))))))</f>
        <v/>
      </c>
      <c r="Q373" s="56" t="str">
        <f aca="false">IF(M373="","",IF($H373=$I373,IF(OR(AND($G373="Higher is better",M373&gt;=$H373),AND($G373="Lower is better",M373&lt;=$H373)),A_Scoring_Model!$C$14,0),IF($G373="Higher is better",IF(M373&gt;=$H373,A_Scoring_Model!$C$14,IF(M373&lt;$I373,0,A_Scoring_Model!$C$15+(A_Scoring_Model!$C$14-A_Scoring_Model!$C$15)*(M373-$I373)/($H373-$I373))),IF(M373&lt;=$H373,A_Scoring_Model!$C$14,IF(M373&gt;$I373,0,A_Scoring_Model!$C$15+(A_Scoring_Model!$C$14-A_Scoring_Model!$C$15)*($I373-M373)/($I373-$H373))))))</f>
        <v/>
      </c>
    </row>
    <row r="374" customFormat="false" ht="15" hidden="false" customHeight="false" outlineLevel="0" collapsed="false">
      <c r="A374" s="51" t="str">
        <f aca="false">C_KPI_Benchmark!A374</f>
        <v>7.b-D3-07</v>
      </c>
      <c r="B374" s="52" t="str">
        <f aca="false">C_KPI_Benchmark!D374</f>
        <v>7.b</v>
      </c>
      <c r="C374" s="51" t="str">
        <f aca="false">C_KPI_Benchmark!E374</f>
        <v>Predictive QA ML Model</v>
      </c>
      <c r="D374" s="52" t="str">
        <f aca="false">C_KPI_Benchmark!F374</f>
        <v>D3</v>
      </c>
      <c r="E374" s="51" t="str">
        <f aca="false">C_KPI_Benchmark!J374</f>
        <v>Nightly batch run time</v>
      </c>
      <c r="F374" s="52" t="str">
        <f aca="false">C_KPI_Benchmark!K374</f>
        <v>min</v>
      </c>
      <c r="G374" s="51" t="str">
        <f aca="false">C_KPI_Benchmark!L374</f>
        <v>Lower is better</v>
      </c>
      <c r="H374" s="62" t="n">
        <f aca="false">C_KPI_Benchmark!N374</f>
        <v>30</v>
      </c>
      <c r="I374" s="63" t="n">
        <f aca="false">IF(C_KPI_Benchmark!O374&lt;&gt;"",C_KPI_Benchmark!O374,IF(G374="Higher is better",H374*(1-A_Scoring_Model!$C$16),H374*(1+A_Scoring_Model!$C$16)))</f>
        <v>36</v>
      </c>
      <c r="J374" s="64"/>
      <c r="K374" s="64"/>
      <c r="L374" s="64"/>
      <c r="M374" s="64"/>
      <c r="N374" s="56" t="str">
        <f aca="false">IF(J374="","",IF($H374=$I374,IF(OR(AND($G374="Higher is better",J374&gt;=$H374),AND($G374="Lower is better",J374&lt;=$H374)),A_Scoring_Model!$C$14,0),IF($G374="Higher is better",IF(J374&gt;=$H374,A_Scoring_Model!$C$14,IF(J374&lt;$I374,0,A_Scoring_Model!$C$15+(A_Scoring_Model!$C$14-A_Scoring_Model!$C$15)*(J374-$I374)/($H374-$I374))),IF(J374&lt;=$H374,A_Scoring_Model!$C$14,IF(J374&gt;$I374,0,A_Scoring_Model!$C$15+(A_Scoring_Model!$C$14-A_Scoring_Model!$C$15)*($I374-J374)/($I374-$H374))))))</f>
        <v/>
      </c>
      <c r="O374" s="56" t="str">
        <f aca="false">IF(K374="","",IF($H374=$I374,IF(OR(AND($G374="Higher is better",K374&gt;=$H374),AND($G374="Lower is better",K374&lt;=$H374)),A_Scoring_Model!$C$14,0),IF($G374="Higher is better",IF(K374&gt;=$H374,A_Scoring_Model!$C$14,IF(K374&lt;$I374,0,A_Scoring_Model!$C$15+(A_Scoring_Model!$C$14-A_Scoring_Model!$C$15)*(K374-$I374)/($H374-$I374))),IF(K374&lt;=$H374,A_Scoring_Model!$C$14,IF(K374&gt;$I374,0,A_Scoring_Model!$C$15+(A_Scoring_Model!$C$14-A_Scoring_Model!$C$15)*($I374-K374)/($I374-$H374))))))</f>
        <v/>
      </c>
      <c r="P374" s="56" t="str">
        <f aca="false">IF(L374="","",IF($H374=$I374,IF(OR(AND($G374="Higher is better",L374&gt;=$H374),AND($G374="Lower is better",L374&lt;=$H374)),A_Scoring_Model!$C$14,0),IF($G374="Higher is better",IF(L374&gt;=$H374,A_Scoring_Model!$C$14,IF(L374&lt;$I374,0,A_Scoring_Model!$C$15+(A_Scoring_Model!$C$14-A_Scoring_Model!$C$15)*(L374-$I374)/($H374-$I374))),IF(L374&lt;=$H374,A_Scoring_Model!$C$14,IF(L374&gt;$I374,0,A_Scoring_Model!$C$15+(A_Scoring_Model!$C$14-A_Scoring_Model!$C$15)*($I374-L374)/($I374-$H374))))))</f>
        <v/>
      </c>
      <c r="Q374" s="56" t="str">
        <f aca="false">IF(M374="","",IF($H374=$I374,IF(OR(AND($G374="Higher is better",M374&gt;=$H374),AND($G374="Lower is better",M374&lt;=$H374)),A_Scoring_Model!$C$14,0),IF($G374="Higher is better",IF(M374&gt;=$H374,A_Scoring_Model!$C$14,IF(M374&lt;$I374,0,A_Scoring_Model!$C$15+(A_Scoring_Model!$C$14-A_Scoring_Model!$C$15)*(M374-$I374)/($H374-$I374))),IF(M374&lt;=$H374,A_Scoring_Model!$C$14,IF(M374&gt;$I374,0,A_Scoring_Model!$C$15+(A_Scoring_Model!$C$14-A_Scoring_Model!$C$15)*($I374-M374)/($I374-$H374))))))</f>
        <v/>
      </c>
    </row>
    <row r="375" customFormat="false" ht="15" hidden="false" customHeight="false" outlineLevel="0" collapsed="false">
      <c r="A375" s="51" t="str">
        <f aca="false">C_KPI_Benchmark!A375</f>
        <v>7.b-D3-08</v>
      </c>
      <c r="B375" s="52" t="str">
        <f aca="false">C_KPI_Benchmark!D375</f>
        <v>7.b</v>
      </c>
      <c r="C375" s="51" t="str">
        <f aca="false">C_KPI_Benchmark!E375</f>
        <v>Predictive QA ML Model</v>
      </c>
      <c r="D375" s="52" t="str">
        <f aca="false">C_KPI_Benchmark!F375</f>
        <v>D3</v>
      </c>
      <c r="E375" s="51" t="str">
        <f aca="false">C_KPI_Benchmark!J375</f>
        <v>Latency degradation at 10× load</v>
      </c>
      <c r="F375" s="52" t="str">
        <f aca="false">C_KPI_Benchmark!K375</f>
        <v>%</v>
      </c>
      <c r="G375" s="51" t="str">
        <f aca="false">C_KPI_Benchmark!L375</f>
        <v>Lower is better</v>
      </c>
      <c r="H375" s="53" t="n">
        <f aca="false">C_KPI_Benchmark!N375</f>
        <v>0.2</v>
      </c>
      <c r="I375" s="54" t="n">
        <f aca="false">IF(C_KPI_Benchmark!O375&lt;&gt;"",C_KPI_Benchmark!O375,IF(G375="Higher is better",H375*(1-A_Scoring_Model!$C$16),H375*(1+A_Scoring_Model!$C$16)))</f>
        <v>0.4</v>
      </c>
      <c r="J375" s="55"/>
      <c r="K375" s="55"/>
      <c r="L375" s="55"/>
      <c r="M375" s="55"/>
      <c r="N375" s="56" t="str">
        <f aca="false">IF(J375="","",IF($H375=$I375,IF(OR(AND($G375="Higher is better",J375&gt;=$H375),AND($G375="Lower is better",J375&lt;=$H375)),A_Scoring_Model!$C$14,0),IF($G375="Higher is better",IF(J375&gt;=$H375,A_Scoring_Model!$C$14,IF(J375&lt;$I375,0,A_Scoring_Model!$C$15+(A_Scoring_Model!$C$14-A_Scoring_Model!$C$15)*(J375-$I375)/($H375-$I375))),IF(J375&lt;=$H375,A_Scoring_Model!$C$14,IF(J375&gt;$I375,0,A_Scoring_Model!$C$15+(A_Scoring_Model!$C$14-A_Scoring_Model!$C$15)*($I375-J375)/($I375-$H375))))))</f>
        <v/>
      </c>
      <c r="O375" s="56" t="str">
        <f aca="false">IF(K375="","",IF($H375=$I375,IF(OR(AND($G375="Higher is better",K375&gt;=$H375),AND($G375="Lower is better",K375&lt;=$H375)),A_Scoring_Model!$C$14,0),IF($G375="Higher is better",IF(K375&gt;=$H375,A_Scoring_Model!$C$14,IF(K375&lt;$I375,0,A_Scoring_Model!$C$15+(A_Scoring_Model!$C$14-A_Scoring_Model!$C$15)*(K375-$I375)/($H375-$I375))),IF(K375&lt;=$H375,A_Scoring_Model!$C$14,IF(K375&gt;$I375,0,A_Scoring_Model!$C$15+(A_Scoring_Model!$C$14-A_Scoring_Model!$C$15)*($I375-K375)/($I375-$H375))))))</f>
        <v/>
      </c>
      <c r="P375" s="56" t="str">
        <f aca="false">IF(L375="","",IF($H375=$I375,IF(OR(AND($G375="Higher is better",L375&gt;=$H375),AND($G375="Lower is better",L375&lt;=$H375)),A_Scoring_Model!$C$14,0),IF($G375="Higher is better",IF(L375&gt;=$H375,A_Scoring_Model!$C$14,IF(L375&lt;$I375,0,A_Scoring_Model!$C$15+(A_Scoring_Model!$C$14-A_Scoring_Model!$C$15)*(L375-$I375)/($H375-$I375))),IF(L375&lt;=$H375,A_Scoring_Model!$C$14,IF(L375&gt;$I375,0,A_Scoring_Model!$C$15+(A_Scoring_Model!$C$14-A_Scoring_Model!$C$15)*($I375-L375)/($I375-$H375))))))</f>
        <v/>
      </c>
      <c r="Q375" s="56" t="str">
        <f aca="false">IF(M375="","",IF($H375=$I375,IF(OR(AND($G375="Higher is better",M375&gt;=$H375),AND($G375="Lower is better",M375&lt;=$H375)),A_Scoring_Model!$C$14,0),IF($G375="Higher is better",IF(M375&gt;=$H375,A_Scoring_Model!$C$14,IF(M375&lt;$I375,0,A_Scoring_Model!$C$15+(A_Scoring_Model!$C$14-A_Scoring_Model!$C$15)*(M375-$I375)/($H375-$I375))),IF(M375&lt;=$H375,A_Scoring_Model!$C$14,IF(M375&gt;$I375,0,A_Scoring_Model!$C$15+(A_Scoring_Model!$C$14-A_Scoring_Model!$C$15)*($I375-M375)/($I375-$H375))))))</f>
        <v/>
      </c>
    </row>
    <row r="376" customFormat="false" ht="15" hidden="false" customHeight="false" outlineLevel="0" collapsed="false">
      <c r="A376" s="51" t="str">
        <f aca="false">C_KPI_Benchmark!A376</f>
        <v>7.b-D4-09</v>
      </c>
      <c r="B376" s="52" t="str">
        <f aca="false">C_KPI_Benchmark!D376</f>
        <v>7.b</v>
      </c>
      <c r="C376" s="51" t="str">
        <f aca="false">C_KPI_Benchmark!E376</f>
        <v>Predictive QA ML Model</v>
      </c>
      <c r="D376" s="52" t="str">
        <f aca="false">C_KPI_Benchmark!F376</f>
        <v>D4</v>
      </c>
      <c r="E376" s="51" t="str">
        <f aca="false">C_KPI_Benchmark!J376</f>
        <v>Brier score (calibration)</v>
      </c>
      <c r="F376" s="52" t="str">
        <f aca="false">C_KPI_Benchmark!K376</f>
        <v>Brier</v>
      </c>
      <c r="G376" s="51" t="str">
        <f aca="false">C_KPI_Benchmark!L376</f>
        <v>Lower is better</v>
      </c>
      <c r="H376" s="57" t="n">
        <f aca="false">C_KPI_Benchmark!N376</f>
        <v>0.15</v>
      </c>
      <c r="I376" s="58" t="n">
        <f aca="false">IF(C_KPI_Benchmark!O376&lt;&gt;"",C_KPI_Benchmark!O376,IF(G376="Higher is better",H376*(1-A_Scoring_Model!$C$16),H376*(1+A_Scoring_Model!$C$16)))</f>
        <v>0.18</v>
      </c>
      <c r="J376" s="59"/>
      <c r="K376" s="59"/>
      <c r="L376" s="59"/>
      <c r="M376" s="59"/>
      <c r="N376" s="56" t="str">
        <f aca="false">IF(J376="","",IF($H376=$I376,IF(OR(AND($G376="Higher is better",J376&gt;=$H376),AND($G376="Lower is better",J376&lt;=$H376)),A_Scoring_Model!$C$14,0),IF($G376="Higher is better",IF(J376&gt;=$H376,A_Scoring_Model!$C$14,IF(J376&lt;$I376,0,A_Scoring_Model!$C$15+(A_Scoring_Model!$C$14-A_Scoring_Model!$C$15)*(J376-$I376)/($H376-$I376))),IF(J376&lt;=$H376,A_Scoring_Model!$C$14,IF(J376&gt;$I376,0,A_Scoring_Model!$C$15+(A_Scoring_Model!$C$14-A_Scoring_Model!$C$15)*($I376-J376)/($I376-$H376))))))</f>
        <v/>
      </c>
      <c r="O376" s="56" t="str">
        <f aca="false">IF(K376="","",IF($H376=$I376,IF(OR(AND($G376="Higher is better",K376&gt;=$H376),AND($G376="Lower is better",K376&lt;=$H376)),A_Scoring_Model!$C$14,0),IF($G376="Higher is better",IF(K376&gt;=$H376,A_Scoring_Model!$C$14,IF(K376&lt;$I376,0,A_Scoring_Model!$C$15+(A_Scoring_Model!$C$14-A_Scoring_Model!$C$15)*(K376-$I376)/($H376-$I376))),IF(K376&lt;=$H376,A_Scoring_Model!$C$14,IF(K376&gt;$I376,0,A_Scoring_Model!$C$15+(A_Scoring_Model!$C$14-A_Scoring_Model!$C$15)*($I376-K376)/($I376-$H376))))))</f>
        <v/>
      </c>
      <c r="P376" s="56" t="str">
        <f aca="false">IF(L376="","",IF($H376=$I376,IF(OR(AND($G376="Higher is better",L376&gt;=$H376),AND($G376="Lower is better",L376&lt;=$H376)),A_Scoring_Model!$C$14,0),IF($G376="Higher is better",IF(L376&gt;=$H376,A_Scoring_Model!$C$14,IF(L376&lt;$I376,0,A_Scoring_Model!$C$15+(A_Scoring_Model!$C$14-A_Scoring_Model!$C$15)*(L376-$I376)/($H376-$I376))),IF(L376&lt;=$H376,A_Scoring_Model!$C$14,IF(L376&gt;$I376,0,A_Scoring_Model!$C$15+(A_Scoring_Model!$C$14-A_Scoring_Model!$C$15)*($I376-L376)/($I376-$H376))))))</f>
        <v/>
      </c>
      <c r="Q376" s="56" t="str">
        <f aca="false">IF(M376="","",IF($H376=$I376,IF(OR(AND($G376="Higher is better",M376&gt;=$H376),AND($G376="Lower is better",M376&lt;=$H376)),A_Scoring_Model!$C$14,0),IF($G376="Higher is better",IF(M376&gt;=$H376,A_Scoring_Model!$C$14,IF(M376&lt;$I376,0,A_Scoring_Model!$C$15+(A_Scoring_Model!$C$14-A_Scoring_Model!$C$15)*(M376-$I376)/($H376-$I376))),IF(M376&lt;=$H376,A_Scoring_Model!$C$14,IF(M376&gt;$I376,0,A_Scoring_Model!$C$15+(A_Scoring_Model!$C$14-A_Scoring_Model!$C$15)*($I376-M376)/($I376-$H376))))))</f>
        <v/>
      </c>
    </row>
    <row r="377" customFormat="false" ht="15" hidden="false" customHeight="false" outlineLevel="0" collapsed="false">
      <c r="A377" s="51" t="str">
        <f aca="false">C_KPI_Benchmark!A377</f>
        <v>7.b-D4-10</v>
      </c>
      <c r="B377" s="52" t="str">
        <f aca="false">C_KPI_Benchmark!D377</f>
        <v>7.b</v>
      </c>
      <c r="C377" s="51" t="str">
        <f aca="false">C_KPI_Benchmark!E377</f>
        <v>Predictive QA ML Model</v>
      </c>
      <c r="D377" s="52" t="str">
        <f aca="false">C_KPI_Benchmark!F377</f>
        <v>D4</v>
      </c>
      <c r="E377" s="51" t="str">
        <f aca="false">C_KPI_Benchmark!J377</f>
        <v>Service availability</v>
      </c>
      <c r="F377" s="52" t="str">
        <f aca="false">C_KPI_Benchmark!K377</f>
        <v>%</v>
      </c>
      <c r="G377" s="51" t="str">
        <f aca="false">C_KPI_Benchmark!L377</f>
        <v>Higher is better</v>
      </c>
      <c r="H377" s="53" t="n">
        <f aca="false">C_KPI_Benchmark!N377</f>
        <v>0.995</v>
      </c>
      <c r="I377" s="54" t="n">
        <f aca="false">IF(C_KPI_Benchmark!O377&lt;&gt;"",C_KPI_Benchmark!O377,IF(G377="Higher is better",H377*(1-A_Scoring_Model!$C$16),H377*(1+A_Scoring_Model!$C$16)))</f>
        <v>0.99</v>
      </c>
      <c r="J377" s="55"/>
      <c r="K377" s="55"/>
      <c r="L377" s="55"/>
      <c r="M377" s="55"/>
      <c r="N377" s="56" t="str">
        <f aca="false">IF(J377="","",IF($H377=$I377,IF(OR(AND($G377="Higher is better",J377&gt;=$H377),AND($G377="Lower is better",J377&lt;=$H377)),A_Scoring_Model!$C$14,0),IF($G377="Higher is better",IF(J377&gt;=$H377,A_Scoring_Model!$C$14,IF(J377&lt;$I377,0,A_Scoring_Model!$C$15+(A_Scoring_Model!$C$14-A_Scoring_Model!$C$15)*(J377-$I377)/($H377-$I377))),IF(J377&lt;=$H377,A_Scoring_Model!$C$14,IF(J377&gt;$I377,0,A_Scoring_Model!$C$15+(A_Scoring_Model!$C$14-A_Scoring_Model!$C$15)*($I377-J377)/($I377-$H377))))))</f>
        <v/>
      </c>
      <c r="O377" s="56" t="str">
        <f aca="false">IF(K377="","",IF($H377=$I377,IF(OR(AND($G377="Higher is better",K377&gt;=$H377),AND($G377="Lower is better",K377&lt;=$H377)),A_Scoring_Model!$C$14,0),IF($G377="Higher is better",IF(K377&gt;=$H377,A_Scoring_Model!$C$14,IF(K377&lt;$I377,0,A_Scoring_Model!$C$15+(A_Scoring_Model!$C$14-A_Scoring_Model!$C$15)*(K377-$I377)/($H377-$I377))),IF(K377&lt;=$H377,A_Scoring_Model!$C$14,IF(K377&gt;$I377,0,A_Scoring_Model!$C$15+(A_Scoring_Model!$C$14-A_Scoring_Model!$C$15)*($I377-K377)/($I377-$H377))))))</f>
        <v/>
      </c>
      <c r="P377" s="56" t="str">
        <f aca="false">IF(L377="","",IF($H377=$I377,IF(OR(AND($G377="Higher is better",L377&gt;=$H377),AND($G377="Lower is better",L377&lt;=$H377)),A_Scoring_Model!$C$14,0),IF($G377="Higher is better",IF(L377&gt;=$H377,A_Scoring_Model!$C$14,IF(L377&lt;$I377,0,A_Scoring_Model!$C$15+(A_Scoring_Model!$C$14-A_Scoring_Model!$C$15)*(L377-$I377)/($H377-$I377))),IF(L377&lt;=$H377,A_Scoring_Model!$C$14,IF(L377&gt;$I377,0,A_Scoring_Model!$C$15+(A_Scoring_Model!$C$14-A_Scoring_Model!$C$15)*($I377-L377)/($I377-$H377))))))</f>
        <v/>
      </c>
      <c r="Q377" s="56" t="str">
        <f aca="false">IF(M377="","",IF($H377=$I377,IF(OR(AND($G377="Higher is better",M377&gt;=$H377),AND($G377="Lower is better",M377&lt;=$H377)),A_Scoring_Model!$C$14,0),IF($G377="Higher is better",IF(M377&gt;=$H377,A_Scoring_Model!$C$14,IF(M377&lt;$I377,0,A_Scoring_Model!$C$15+(A_Scoring_Model!$C$14-A_Scoring_Model!$C$15)*(M377-$I377)/($H377-$I377))),IF(M377&lt;=$H377,A_Scoring_Model!$C$14,IF(M377&gt;$I377,0,A_Scoring_Model!$C$15+(A_Scoring_Model!$C$14-A_Scoring_Model!$C$15)*($I377-M377)/($I377-$H377))))))</f>
        <v/>
      </c>
    </row>
    <row r="378" customFormat="false" ht="15" hidden="false" customHeight="false" outlineLevel="0" collapsed="false">
      <c r="A378" s="51" t="str">
        <f aca="false">C_KPI_Benchmark!A378</f>
        <v>7.b-D5-11</v>
      </c>
      <c r="B378" s="52" t="str">
        <f aca="false">C_KPI_Benchmark!D378</f>
        <v>7.b</v>
      </c>
      <c r="C378" s="51" t="str">
        <f aca="false">C_KPI_Benchmark!E378</f>
        <v>Predictive QA ML Model</v>
      </c>
      <c r="D378" s="52" t="str">
        <f aca="false">C_KPI_Benchmark!F378</f>
        <v>D5</v>
      </c>
      <c r="E378" s="51" t="str">
        <f aca="false">C_KPI_Benchmark!J378</f>
        <v>Escaped defects reduction</v>
      </c>
      <c r="F378" s="52" t="str">
        <f aca="false">C_KPI_Benchmark!K378</f>
        <v>%</v>
      </c>
      <c r="G378" s="51" t="str">
        <f aca="false">C_KPI_Benchmark!L378</f>
        <v>Higher is better</v>
      </c>
      <c r="H378" s="53" t="n">
        <f aca="false">C_KPI_Benchmark!N378</f>
        <v>0.25</v>
      </c>
      <c r="I378" s="54" t="n">
        <f aca="false">IF(C_KPI_Benchmark!O378&lt;&gt;"",C_KPI_Benchmark!O378,IF(G378="Higher is better",H378*(1-A_Scoring_Model!$C$16),H378*(1+A_Scoring_Model!$C$16)))</f>
        <v>0.2</v>
      </c>
      <c r="J378" s="55"/>
      <c r="K378" s="55"/>
      <c r="L378" s="55"/>
      <c r="M378" s="55"/>
      <c r="N378" s="56" t="str">
        <f aca="false">IF(J378="","",IF($H378=$I378,IF(OR(AND($G378="Higher is better",J378&gt;=$H378),AND($G378="Lower is better",J378&lt;=$H378)),A_Scoring_Model!$C$14,0),IF($G378="Higher is better",IF(J378&gt;=$H378,A_Scoring_Model!$C$14,IF(J378&lt;$I378,0,A_Scoring_Model!$C$15+(A_Scoring_Model!$C$14-A_Scoring_Model!$C$15)*(J378-$I378)/($H378-$I378))),IF(J378&lt;=$H378,A_Scoring_Model!$C$14,IF(J378&gt;$I378,0,A_Scoring_Model!$C$15+(A_Scoring_Model!$C$14-A_Scoring_Model!$C$15)*($I378-J378)/($I378-$H378))))))</f>
        <v/>
      </c>
      <c r="O378" s="56" t="str">
        <f aca="false">IF(K378="","",IF($H378=$I378,IF(OR(AND($G378="Higher is better",K378&gt;=$H378),AND($G378="Lower is better",K378&lt;=$H378)),A_Scoring_Model!$C$14,0),IF($G378="Higher is better",IF(K378&gt;=$H378,A_Scoring_Model!$C$14,IF(K378&lt;$I378,0,A_Scoring_Model!$C$15+(A_Scoring_Model!$C$14-A_Scoring_Model!$C$15)*(K378-$I378)/($H378-$I378))),IF(K378&lt;=$H378,A_Scoring_Model!$C$14,IF(K378&gt;$I378,0,A_Scoring_Model!$C$15+(A_Scoring_Model!$C$14-A_Scoring_Model!$C$15)*($I378-K378)/($I378-$H378))))))</f>
        <v/>
      </c>
      <c r="P378" s="56" t="str">
        <f aca="false">IF(L378="","",IF($H378=$I378,IF(OR(AND($G378="Higher is better",L378&gt;=$H378),AND($G378="Lower is better",L378&lt;=$H378)),A_Scoring_Model!$C$14,0),IF($G378="Higher is better",IF(L378&gt;=$H378,A_Scoring_Model!$C$14,IF(L378&lt;$I378,0,A_Scoring_Model!$C$15+(A_Scoring_Model!$C$14-A_Scoring_Model!$C$15)*(L378-$I378)/($H378-$I378))),IF(L378&lt;=$H378,A_Scoring_Model!$C$14,IF(L378&gt;$I378,0,A_Scoring_Model!$C$15+(A_Scoring_Model!$C$14-A_Scoring_Model!$C$15)*($I378-L378)/($I378-$H378))))))</f>
        <v/>
      </c>
      <c r="Q378" s="56" t="str">
        <f aca="false">IF(M378="","",IF($H378=$I378,IF(OR(AND($G378="Higher is better",M378&gt;=$H378),AND($G378="Lower is better",M378&lt;=$H378)),A_Scoring_Model!$C$14,0),IF($G378="Higher is better",IF(M378&gt;=$H378,A_Scoring_Model!$C$14,IF(M378&lt;$I378,0,A_Scoring_Model!$C$15+(A_Scoring_Model!$C$14-A_Scoring_Model!$C$15)*(M378-$I378)/($H378-$I378))),IF(M378&lt;=$H378,A_Scoring_Model!$C$14,IF(M378&gt;$I378,0,A_Scoring_Model!$C$15+(A_Scoring_Model!$C$14-A_Scoring_Model!$C$15)*($I378-M378)/($I378-$H378))))))</f>
        <v/>
      </c>
    </row>
    <row r="379" customFormat="false" ht="15" hidden="false" customHeight="false" outlineLevel="0" collapsed="false">
      <c r="A379" s="51" t="str">
        <f aca="false">C_KPI_Benchmark!A379</f>
        <v>7.b-D6-12</v>
      </c>
      <c r="B379" s="52" t="str">
        <f aca="false">C_KPI_Benchmark!D379</f>
        <v>7.b</v>
      </c>
      <c r="C379" s="51" t="str">
        <f aca="false">C_KPI_Benchmark!E379</f>
        <v>Predictive QA ML Model</v>
      </c>
      <c r="D379" s="52" t="str">
        <f aca="false">C_KPI_Benchmark!F379</f>
        <v>D6</v>
      </c>
      <c r="E379" s="51" t="str">
        <f aca="false">C_KPI_Benchmark!J379</f>
        <v>Solution code test coverage</v>
      </c>
      <c r="F379" s="52" t="str">
        <f aca="false">C_KPI_Benchmark!K379</f>
        <v>%</v>
      </c>
      <c r="G379" s="51" t="str">
        <f aca="false">C_KPI_Benchmark!L379</f>
        <v>Higher is better</v>
      </c>
      <c r="H379" s="53" t="n">
        <f aca="false">C_KPI_Benchmark!N379</f>
        <v>0.8</v>
      </c>
      <c r="I379" s="54" t="n">
        <f aca="false">IF(C_KPI_Benchmark!O379&lt;&gt;"",C_KPI_Benchmark!O379,IF(G379="Higher is better",H379*(1-A_Scoring_Model!$C$16),H379*(1+A_Scoring_Model!$C$16)))</f>
        <v>0.6</v>
      </c>
      <c r="J379" s="55"/>
      <c r="K379" s="55"/>
      <c r="L379" s="55"/>
      <c r="M379" s="55"/>
      <c r="N379" s="56" t="str">
        <f aca="false">IF(J379="","",IF($H379=$I379,IF(OR(AND($G379="Higher is better",J379&gt;=$H379),AND($G379="Lower is better",J379&lt;=$H379)),A_Scoring_Model!$C$14,0),IF($G379="Higher is better",IF(J379&gt;=$H379,A_Scoring_Model!$C$14,IF(J379&lt;$I379,0,A_Scoring_Model!$C$15+(A_Scoring_Model!$C$14-A_Scoring_Model!$C$15)*(J379-$I379)/($H379-$I379))),IF(J379&lt;=$H379,A_Scoring_Model!$C$14,IF(J379&gt;$I379,0,A_Scoring_Model!$C$15+(A_Scoring_Model!$C$14-A_Scoring_Model!$C$15)*($I379-J379)/($I379-$H379))))))</f>
        <v/>
      </c>
      <c r="O379" s="56" t="str">
        <f aca="false">IF(K379="","",IF($H379=$I379,IF(OR(AND($G379="Higher is better",K379&gt;=$H379),AND($G379="Lower is better",K379&lt;=$H379)),A_Scoring_Model!$C$14,0),IF($G379="Higher is better",IF(K379&gt;=$H379,A_Scoring_Model!$C$14,IF(K379&lt;$I379,0,A_Scoring_Model!$C$15+(A_Scoring_Model!$C$14-A_Scoring_Model!$C$15)*(K379-$I379)/($H379-$I379))),IF(K379&lt;=$H379,A_Scoring_Model!$C$14,IF(K379&gt;$I379,0,A_Scoring_Model!$C$15+(A_Scoring_Model!$C$14-A_Scoring_Model!$C$15)*($I379-K379)/($I379-$H379))))))</f>
        <v/>
      </c>
      <c r="P379" s="56" t="str">
        <f aca="false">IF(L379="","",IF($H379=$I379,IF(OR(AND($G379="Higher is better",L379&gt;=$H379),AND($G379="Lower is better",L379&lt;=$H379)),A_Scoring_Model!$C$14,0),IF($G379="Higher is better",IF(L379&gt;=$H379,A_Scoring_Model!$C$14,IF(L379&lt;$I379,0,A_Scoring_Model!$C$15+(A_Scoring_Model!$C$14-A_Scoring_Model!$C$15)*(L379-$I379)/($H379-$I379))),IF(L379&lt;=$H379,A_Scoring_Model!$C$14,IF(L379&gt;$I379,0,A_Scoring_Model!$C$15+(A_Scoring_Model!$C$14-A_Scoring_Model!$C$15)*($I379-L379)/($I379-$H379))))))</f>
        <v/>
      </c>
      <c r="Q379" s="56" t="str">
        <f aca="false">IF(M379="","",IF($H379=$I379,IF(OR(AND($G379="Higher is better",M379&gt;=$H379),AND($G379="Lower is better",M379&lt;=$H379)),A_Scoring_Model!$C$14,0),IF($G379="Higher is better",IF(M379&gt;=$H379,A_Scoring_Model!$C$14,IF(M379&lt;$I379,0,A_Scoring_Model!$C$15+(A_Scoring_Model!$C$14-A_Scoring_Model!$C$15)*(M379-$I379)/($H379-$I379))),IF(M379&lt;=$H379,A_Scoring_Model!$C$14,IF(M379&gt;$I379,0,A_Scoring_Model!$C$15+(A_Scoring_Model!$C$14-A_Scoring_Model!$C$15)*($I379-M379)/($I379-$H379))))))</f>
        <v/>
      </c>
    </row>
    <row r="380" customFormat="false" ht="15" hidden="false" customHeight="false" outlineLevel="0" collapsed="false">
      <c r="A380" s="51" t="str">
        <f aca="false">C_KPI_Benchmark!A380</f>
        <v>7.b-D6-13</v>
      </c>
      <c r="B380" s="52" t="str">
        <f aca="false">C_KPI_Benchmark!D380</f>
        <v>7.b</v>
      </c>
      <c r="C380" s="51" t="str">
        <f aca="false">C_KPI_Benchmark!E380</f>
        <v>Predictive QA ML Model</v>
      </c>
      <c r="D380" s="52" t="str">
        <f aca="false">C_KPI_Benchmark!F380</f>
        <v>D6</v>
      </c>
      <c r="E380" s="51" t="str">
        <f aca="false">C_KPI_Benchmark!J380</f>
        <v>Review Shield critical findings</v>
      </c>
      <c r="F380" s="52" t="str">
        <f aca="false">C_KPI_Benchmark!K380</f>
        <v>count</v>
      </c>
      <c r="G380" s="51" t="str">
        <f aca="false">C_KPI_Benchmark!L380</f>
        <v>Lower is better</v>
      </c>
      <c r="H380" s="62" t="n">
        <f aca="false">C_KPI_Benchmark!N380</f>
        <v>0</v>
      </c>
      <c r="I380" s="63" t="n">
        <f aca="false">IF(C_KPI_Benchmark!O380&lt;&gt;"",C_KPI_Benchmark!O380,IF(G380="Higher is better",H380*(1-A_Scoring_Model!$C$16),H380*(1+A_Scoring_Model!$C$16)))</f>
        <v>0</v>
      </c>
      <c r="J380" s="64"/>
      <c r="K380" s="64"/>
      <c r="L380" s="64"/>
      <c r="M380" s="64"/>
      <c r="N380" s="56" t="str">
        <f aca="false">IF(J380="","",IF($H380=$I380,IF(OR(AND($G380="Higher is better",J380&gt;=$H380),AND($G380="Lower is better",J380&lt;=$H380)),A_Scoring_Model!$C$14,0),IF($G380="Higher is better",IF(J380&gt;=$H380,A_Scoring_Model!$C$14,IF(J380&lt;$I380,0,A_Scoring_Model!$C$15+(A_Scoring_Model!$C$14-A_Scoring_Model!$C$15)*(J380-$I380)/($H380-$I380))),IF(J380&lt;=$H380,A_Scoring_Model!$C$14,IF(J380&gt;$I380,0,A_Scoring_Model!$C$15+(A_Scoring_Model!$C$14-A_Scoring_Model!$C$15)*($I380-J380)/($I380-$H380))))))</f>
        <v/>
      </c>
      <c r="O380" s="56" t="str">
        <f aca="false">IF(K380="","",IF($H380=$I380,IF(OR(AND($G380="Higher is better",K380&gt;=$H380),AND($G380="Lower is better",K380&lt;=$H380)),A_Scoring_Model!$C$14,0),IF($G380="Higher is better",IF(K380&gt;=$H380,A_Scoring_Model!$C$14,IF(K380&lt;$I380,0,A_Scoring_Model!$C$15+(A_Scoring_Model!$C$14-A_Scoring_Model!$C$15)*(K380-$I380)/($H380-$I380))),IF(K380&lt;=$H380,A_Scoring_Model!$C$14,IF(K380&gt;$I380,0,A_Scoring_Model!$C$15+(A_Scoring_Model!$C$14-A_Scoring_Model!$C$15)*($I380-K380)/($I380-$H380))))))</f>
        <v/>
      </c>
      <c r="P380" s="56" t="str">
        <f aca="false">IF(L380="","",IF($H380=$I380,IF(OR(AND($G380="Higher is better",L380&gt;=$H380),AND($G380="Lower is better",L380&lt;=$H380)),A_Scoring_Model!$C$14,0),IF($G380="Higher is better",IF(L380&gt;=$H380,A_Scoring_Model!$C$14,IF(L380&lt;$I380,0,A_Scoring_Model!$C$15+(A_Scoring_Model!$C$14-A_Scoring_Model!$C$15)*(L380-$I380)/($H380-$I380))),IF(L380&lt;=$H380,A_Scoring_Model!$C$14,IF(L380&gt;$I380,0,A_Scoring_Model!$C$15+(A_Scoring_Model!$C$14-A_Scoring_Model!$C$15)*($I380-L380)/($I380-$H380))))))</f>
        <v/>
      </c>
      <c r="Q380" s="56" t="str">
        <f aca="false">IF(M380="","",IF($H380=$I380,IF(OR(AND($G380="Higher is better",M380&gt;=$H380),AND($G380="Lower is better",M380&lt;=$H380)),A_Scoring_Model!$C$14,0),IF($G380="Higher is better",IF(M380&gt;=$H380,A_Scoring_Model!$C$14,IF(M380&lt;$I380,0,A_Scoring_Model!$C$15+(A_Scoring_Model!$C$14-A_Scoring_Model!$C$15)*(M380-$I380)/($H380-$I380))),IF(M380&lt;=$H380,A_Scoring_Model!$C$14,IF(M380&gt;$I380,0,A_Scoring_Model!$C$15+(A_Scoring_Model!$C$14-A_Scoring_Model!$C$15)*($I380-M380)/($I380-$H380))))))</f>
        <v/>
      </c>
    </row>
    <row r="381" customFormat="false" ht="15" hidden="false" customHeight="false" outlineLevel="0" collapsed="false">
      <c r="A381" s="51" t="str">
        <f aca="false">C_KPI_Benchmark!A381</f>
        <v>7.b-D6-14</v>
      </c>
      <c r="B381" s="52" t="str">
        <f aca="false">C_KPI_Benchmark!D381</f>
        <v>7.b</v>
      </c>
      <c r="C381" s="51" t="str">
        <f aca="false">C_KPI_Benchmark!E381</f>
        <v>Predictive QA ML Model</v>
      </c>
      <c r="D381" s="52" t="str">
        <f aca="false">C_KPI_Benchmark!F381</f>
        <v>D6</v>
      </c>
      <c r="E381" s="51" t="str">
        <f aca="false">C_KPI_Benchmark!J381</f>
        <v>SAST high findings and exposed secrets</v>
      </c>
      <c r="F381" s="52" t="str">
        <f aca="false">C_KPI_Benchmark!K381</f>
        <v>count</v>
      </c>
      <c r="G381" s="51" t="str">
        <f aca="false">C_KPI_Benchmark!L381</f>
        <v>Lower is better</v>
      </c>
      <c r="H381" s="62" t="n">
        <f aca="false">C_KPI_Benchmark!N381</f>
        <v>0</v>
      </c>
      <c r="I381" s="63" t="n">
        <f aca="false">IF(C_KPI_Benchmark!O381&lt;&gt;"",C_KPI_Benchmark!O381,IF(G381="Higher is better",H381*(1-A_Scoring_Model!$C$16),H381*(1+A_Scoring_Model!$C$16)))</f>
        <v>0</v>
      </c>
      <c r="J381" s="64"/>
      <c r="K381" s="64"/>
      <c r="L381" s="64"/>
      <c r="M381" s="64"/>
      <c r="N381" s="56" t="str">
        <f aca="false">IF(J381="","",IF($H381=$I381,IF(OR(AND($G381="Higher is better",J381&gt;=$H381),AND($G381="Lower is better",J381&lt;=$H381)),A_Scoring_Model!$C$14,0),IF($G381="Higher is better",IF(J381&gt;=$H381,A_Scoring_Model!$C$14,IF(J381&lt;$I381,0,A_Scoring_Model!$C$15+(A_Scoring_Model!$C$14-A_Scoring_Model!$C$15)*(J381-$I381)/($H381-$I381))),IF(J381&lt;=$H381,A_Scoring_Model!$C$14,IF(J381&gt;$I381,0,A_Scoring_Model!$C$15+(A_Scoring_Model!$C$14-A_Scoring_Model!$C$15)*($I381-J381)/($I381-$H381))))))</f>
        <v/>
      </c>
      <c r="O381" s="56" t="str">
        <f aca="false">IF(K381="","",IF($H381=$I381,IF(OR(AND($G381="Higher is better",K381&gt;=$H381),AND($G381="Lower is better",K381&lt;=$H381)),A_Scoring_Model!$C$14,0),IF($G381="Higher is better",IF(K381&gt;=$H381,A_Scoring_Model!$C$14,IF(K381&lt;$I381,0,A_Scoring_Model!$C$15+(A_Scoring_Model!$C$14-A_Scoring_Model!$C$15)*(K381-$I381)/($H381-$I381))),IF(K381&lt;=$H381,A_Scoring_Model!$C$14,IF(K381&gt;$I381,0,A_Scoring_Model!$C$15+(A_Scoring_Model!$C$14-A_Scoring_Model!$C$15)*($I381-K381)/($I381-$H381))))))</f>
        <v/>
      </c>
      <c r="P381" s="56" t="str">
        <f aca="false">IF(L381="","",IF($H381=$I381,IF(OR(AND($G381="Higher is better",L381&gt;=$H381),AND($G381="Lower is better",L381&lt;=$H381)),A_Scoring_Model!$C$14,0),IF($G381="Higher is better",IF(L381&gt;=$H381,A_Scoring_Model!$C$14,IF(L381&lt;$I381,0,A_Scoring_Model!$C$15+(A_Scoring_Model!$C$14-A_Scoring_Model!$C$15)*(L381-$I381)/($H381-$I381))),IF(L381&lt;=$H381,A_Scoring_Model!$C$14,IF(L381&gt;$I381,0,A_Scoring_Model!$C$15+(A_Scoring_Model!$C$14-A_Scoring_Model!$C$15)*($I381-L381)/($I381-$H381))))))</f>
        <v/>
      </c>
      <c r="Q381" s="56" t="str">
        <f aca="false">IF(M381="","",IF($H381=$I381,IF(OR(AND($G381="Higher is better",M381&gt;=$H381),AND($G381="Lower is better",M381&lt;=$H381)),A_Scoring_Model!$C$14,0),IF($G381="Higher is better",IF(M381&gt;=$H381,A_Scoring_Model!$C$14,IF(M381&lt;$I381,0,A_Scoring_Model!$C$15+(A_Scoring_Model!$C$14-A_Scoring_Model!$C$15)*(M381-$I381)/($H381-$I381))),IF(M381&lt;=$H381,A_Scoring_Model!$C$14,IF(M381&gt;$I381,0,A_Scoring_Model!$C$15+(A_Scoring_Model!$C$14-A_Scoring_Model!$C$15)*($I381-M381)/($I381-$H381))))))</f>
        <v/>
      </c>
    </row>
    <row r="382" customFormat="false" ht="23.85" hidden="false" customHeight="false" outlineLevel="0" collapsed="false">
      <c r="A382" s="51" t="str">
        <f aca="false">C_KPI_Benchmark!A382</f>
        <v>7.b-D6-15</v>
      </c>
      <c r="B382" s="52" t="str">
        <f aca="false">C_KPI_Benchmark!D382</f>
        <v>7.b</v>
      </c>
      <c r="C382" s="51" t="str">
        <f aca="false">C_KPI_Benchmark!E382</f>
        <v>Predictive QA ML Model</v>
      </c>
      <c r="D382" s="52" t="str">
        <f aca="false">C_KPI_Benchmark!F382</f>
        <v>D6</v>
      </c>
      <c r="E382" s="51" t="str">
        <f aca="false">C_KPI_Benchmark!J382</f>
        <v>Documentation pack complete (README, I/O contract, model card, runbook)</v>
      </c>
      <c r="F382" s="52" t="str">
        <f aca="false">C_KPI_Benchmark!K382</f>
        <v>Yes/No</v>
      </c>
      <c r="G382" s="51" t="str">
        <f aca="false">C_KPI_Benchmark!L382</f>
        <v>Higher is better</v>
      </c>
      <c r="H382" s="60" t="n">
        <f aca="false">C_KPI_Benchmark!N382</f>
        <v>1</v>
      </c>
      <c r="I382" s="56" t="n">
        <f aca="false">IF(C_KPI_Benchmark!O382&lt;&gt;"",C_KPI_Benchmark!O382,IF(G382="Higher is better",H382*(1-A_Scoring_Model!$C$16),H382*(1+A_Scoring_Model!$C$16)))</f>
        <v>0.8</v>
      </c>
      <c r="J382" s="61"/>
      <c r="K382" s="61"/>
      <c r="L382" s="61"/>
      <c r="M382" s="61"/>
      <c r="N382" s="56" t="str">
        <f aca="false">IF(J382="","",IF($H382=$I382,IF(OR(AND($G382="Higher is better",J382&gt;=$H382),AND($G382="Lower is better",J382&lt;=$H382)),A_Scoring_Model!$C$14,0),IF($G382="Higher is better",IF(J382&gt;=$H382,A_Scoring_Model!$C$14,IF(J382&lt;$I382,0,A_Scoring_Model!$C$15+(A_Scoring_Model!$C$14-A_Scoring_Model!$C$15)*(J382-$I382)/($H382-$I382))),IF(J382&lt;=$H382,A_Scoring_Model!$C$14,IF(J382&gt;$I382,0,A_Scoring_Model!$C$15+(A_Scoring_Model!$C$14-A_Scoring_Model!$C$15)*($I382-J382)/($I382-$H382))))))</f>
        <v/>
      </c>
      <c r="O382" s="56" t="str">
        <f aca="false">IF(K382="","",IF($H382=$I382,IF(OR(AND($G382="Higher is better",K382&gt;=$H382),AND($G382="Lower is better",K382&lt;=$H382)),A_Scoring_Model!$C$14,0),IF($G382="Higher is better",IF(K382&gt;=$H382,A_Scoring_Model!$C$14,IF(K382&lt;$I382,0,A_Scoring_Model!$C$15+(A_Scoring_Model!$C$14-A_Scoring_Model!$C$15)*(K382-$I382)/($H382-$I382))),IF(K382&lt;=$H382,A_Scoring_Model!$C$14,IF(K382&gt;$I382,0,A_Scoring_Model!$C$15+(A_Scoring_Model!$C$14-A_Scoring_Model!$C$15)*($I382-K382)/($I382-$H382))))))</f>
        <v/>
      </c>
      <c r="P382" s="56" t="str">
        <f aca="false">IF(L382="","",IF($H382=$I382,IF(OR(AND($G382="Higher is better",L382&gt;=$H382),AND($G382="Lower is better",L382&lt;=$H382)),A_Scoring_Model!$C$14,0),IF($G382="Higher is better",IF(L382&gt;=$H382,A_Scoring_Model!$C$14,IF(L382&lt;$I382,0,A_Scoring_Model!$C$15+(A_Scoring_Model!$C$14-A_Scoring_Model!$C$15)*(L382-$I382)/($H382-$I382))),IF(L382&lt;=$H382,A_Scoring_Model!$C$14,IF(L382&gt;$I382,0,A_Scoring_Model!$C$15+(A_Scoring_Model!$C$14-A_Scoring_Model!$C$15)*($I382-L382)/($I382-$H382))))))</f>
        <v/>
      </c>
      <c r="Q382" s="56" t="str">
        <f aca="false">IF(M382="","",IF($H382=$I382,IF(OR(AND($G382="Higher is better",M382&gt;=$H382),AND($G382="Lower is better",M382&lt;=$H382)),A_Scoring_Model!$C$14,0),IF($G382="Higher is better",IF(M382&gt;=$H382,A_Scoring_Model!$C$14,IF(M382&lt;$I382,0,A_Scoring_Model!$C$15+(A_Scoring_Model!$C$14-A_Scoring_Model!$C$15)*(M382-$I382)/($H382-$I382))),IF(M382&lt;=$H382,A_Scoring_Model!$C$14,IF(M382&gt;$I382,0,A_Scoring_Model!$C$15+(A_Scoring_Model!$C$14-A_Scoring_Model!$C$15)*($I382-M382)/($I382-$H382))))))</f>
        <v/>
      </c>
    </row>
    <row r="383" customFormat="false" ht="15" hidden="false" customHeight="false" outlineLevel="0" collapsed="false">
      <c r="A383" s="51" t="str">
        <f aca="false">C_KPI_Benchmark!A383</f>
        <v>7.b-D6-16</v>
      </c>
      <c r="B383" s="52" t="str">
        <f aca="false">C_KPI_Benchmark!D383</f>
        <v>7.b</v>
      </c>
      <c r="C383" s="51" t="str">
        <f aca="false">C_KPI_Benchmark!E383</f>
        <v>Predictive QA ML Model</v>
      </c>
      <c r="D383" s="52" t="str">
        <f aca="false">C_KPI_Benchmark!F383</f>
        <v>D6</v>
      </c>
      <c r="E383" s="51" t="str">
        <f aca="false">C_KPI_Benchmark!J383</f>
        <v>Named owner and support SLA</v>
      </c>
      <c r="F383" s="52" t="str">
        <f aca="false">C_KPI_Benchmark!K383</f>
        <v>Yes/No</v>
      </c>
      <c r="G383" s="51" t="str">
        <f aca="false">C_KPI_Benchmark!L383</f>
        <v>Higher is better</v>
      </c>
      <c r="H383" s="60" t="n">
        <f aca="false">C_KPI_Benchmark!N383</f>
        <v>1</v>
      </c>
      <c r="I383" s="56" t="n">
        <f aca="false">IF(C_KPI_Benchmark!O383&lt;&gt;"",C_KPI_Benchmark!O383,IF(G383="Higher is better",H383*(1-A_Scoring_Model!$C$16),H383*(1+A_Scoring_Model!$C$16)))</f>
        <v>0.8</v>
      </c>
      <c r="J383" s="61"/>
      <c r="K383" s="61"/>
      <c r="L383" s="61"/>
      <c r="M383" s="61"/>
      <c r="N383" s="56" t="str">
        <f aca="false">IF(J383="","",IF($H383=$I383,IF(OR(AND($G383="Higher is better",J383&gt;=$H383),AND($G383="Lower is better",J383&lt;=$H383)),A_Scoring_Model!$C$14,0),IF($G383="Higher is better",IF(J383&gt;=$H383,A_Scoring_Model!$C$14,IF(J383&lt;$I383,0,A_Scoring_Model!$C$15+(A_Scoring_Model!$C$14-A_Scoring_Model!$C$15)*(J383-$I383)/($H383-$I383))),IF(J383&lt;=$H383,A_Scoring_Model!$C$14,IF(J383&gt;$I383,0,A_Scoring_Model!$C$15+(A_Scoring_Model!$C$14-A_Scoring_Model!$C$15)*($I383-J383)/($I383-$H383))))))</f>
        <v/>
      </c>
      <c r="O383" s="56" t="str">
        <f aca="false">IF(K383="","",IF($H383=$I383,IF(OR(AND($G383="Higher is better",K383&gt;=$H383),AND($G383="Lower is better",K383&lt;=$H383)),A_Scoring_Model!$C$14,0),IF($G383="Higher is better",IF(K383&gt;=$H383,A_Scoring_Model!$C$14,IF(K383&lt;$I383,0,A_Scoring_Model!$C$15+(A_Scoring_Model!$C$14-A_Scoring_Model!$C$15)*(K383-$I383)/($H383-$I383))),IF(K383&lt;=$H383,A_Scoring_Model!$C$14,IF(K383&gt;$I383,0,A_Scoring_Model!$C$15+(A_Scoring_Model!$C$14-A_Scoring_Model!$C$15)*($I383-K383)/($I383-$H383))))))</f>
        <v/>
      </c>
      <c r="P383" s="56" t="str">
        <f aca="false">IF(L383="","",IF($H383=$I383,IF(OR(AND($G383="Higher is better",L383&gt;=$H383),AND($G383="Lower is better",L383&lt;=$H383)),A_Scoring_Model!$C$14,0),IF($G383="Higher is better",IF(L383&gt;=$H383,A_Scoring_Model!$C$14,IF(L383&lt;$I383,0,A_Scoring_Model!$C$15+(A_Scoring_Model!$C$14-A_Scoring_Model!$C$15)*(L383-$I383)/($H383-$I383))),IF(L383&lt;=$H383,A_Scoring_Model!$C$14,IF(L383&gt;$I383,0,A_Scoring_Model!$C$15+(A_Scoring_Model!$C$14-A_Scoring_Model!$C$15)*($I383-L383)/($I383-$H383))))))</f>
        <v/>
      </c>
      <c r="Q383" s="56" t="str">
        <f aca="false">IF(M383="","",IF($H383=$I383,IF(OR(AND($G383="Higher is better",M383&gt;=$H383),AND($G383="Lower is better",M383&lt;=$H383)),A_Scoring_Model!$C$14,0),IF($G383="Higher is better",IF(M383&gt;=$H383,A_Scoring_Model!$C$14,IF(M383&lt;$I383,0,A_Scoring_Model!$C$15+(A_Scoring_Model!$C$14-A_Scoring_Model!$C$15)*(M383-$I383)/($H383-$I383))),IF(M383&lt;=$H383,A_Scoring_Model!$C$14,IF(M383&gt;$I383,0,A_Scoring_Model!$C$15+(A_Scoring_Model!$C$14-A_Scoring_Model!$C$15)*($I383-M383)/($I383-$H383))))))</f>
        <v/>
      </c>
    </row>
    <row r="384" customFormat="false" ht="15" hidden="false" customHeight="false" outlineLevel="0" collapsed="false">
      <c r="A384" s="51" t="str">
        <f aca="false">C_KPI_Benchmark!A384</f>
        <v>7.c-D1-01</v>
      </c>
      <c r="B384" s="52" t="str">
        <f aca="false">C_KPI_Benchmark!D384</f>
        <v>7.c</v>
      </c>
      <c r="C384" s="51" t="str">
        <f aca="false">C_KPI_Benchmark!E384</f>
        <v>Auto Report Generator Agent</v>
      </c>
      <c r="D384" s="52" t="str">
        <f aca="false">C_KPI_Benchmark!F384</f>
        <v>D1</v>
      </c>
      <c r="E384" s="51" t="str">
        <f aca="false">C_KPI_Benchmark!J384</f>
        <v>Numeric consistency with source data</v>
      </c>
      <c r="F384" s="52" t="str">
        <f aca="false">C_KPI_Benchmark!K384</f>
        <v>%</v>
      </c>
      <c r="G384" s="51" t="str">
        <f aca="false">C_KPI_Benchmark!L384</f>
        <v>Higher is better</v>
      </c>
      <c r="H384" s="53" t="n">
        <f aca="false">C_KPI_Benchmark!N384</f>
        <v>1</v>
      </c>
      <c r="I384" s="54" t="n">
        <f aca="false">IF(C_KPI_Benchmark!O384&lt;&gt;"",C_KPI_Benchmark!O384,IF(G384="Higher is better",H384*(1-A_Scoring_Model!$C$16),H384*(1+A_Scoring_Model!$C$16)))</f>
        <v>1</v>
      </c>
      <c r="J384" s="55"/>
      <c r="K384" s="55"/>
      <c r="L384" s="55"/>
      <c r="M384" s="55"/>
      <c r="N384" s="56" t="str">
        <f aca="false">IF(J384="","",IF($H384=$I384,IF(OR(AND($G384="Higher is better",J384&gt;=$H384),AND($G384="Lower is better",J384&lt;=$H384)),A_Scoring_Model!$C$14,0),IF($G384="Higher is better",IF(J384&gt;=$H384,A_Scoring_Model!$C$14,IF(J384&lt;$I384,0,A_Scoring_Model!$C$15+(A_Scoring_Model!$C$14-A_Scoring_Model!$C$15)*(J384-$I384)/($H384-$I384))),IF(J384&lt;=$H384,A_Scoring_Model!$C$14,IF(J384&gt;$I384,0,A_Scoring_Model!$C$15+(A_Scoring_Model!$C$14-A_Scoring_Model!$C$15)*($I384-J384)/($I384-$H384))))))</f>
        <v/>
      </c>
      <c r="O384" s="56" t="str">
        <f aca="false">IF(K384="","",IF($H384=$I384,IF(OR(AND($G384="Higher is better",K384&gt;=$H384),AND($G384="Lower is better",K384&lt;=$H384)),A_Scoring_Model!$C$14,0),IF($G384="Higher is better",IF(K384&gt;=$H384,A_Scoring_Model!$C$14,IF(K384&lt;$I384,0,A_Scoring_Model!$C$15+(A_Scoring_Model!$C$14-A_Scoring_Model!$C$15)*(K384-$I384)/($H384-$I384))),IF(K384&lt;=$H384,A_Scoring_Model!$C$14,IF(K384&gt;$I384,0,A_Scoring_Model!$C$15+(A_Scoring_Model!$C$14-A_Scoring_Model!$C$15)*($I384-K384)/($I384-$H384))))))</f>
        <v/>
      </c>
      <c r="P384" s="56" t="str">
        <f aca="false">IF(L384="","",IF($H384=$I384,IF(OR(AND($G384="Higher is better",L384&gt;=$H384),AND($G384="Lower is better",L384&lt;=$H384)),A_Scoring_Model!$C$14,0),IF($G384="Higher is better",IF(L384&gt;=$H384,A_Scoring_Model!$C$14,IF(L384&lt;$I384,0,A_Scoring_Model!$C$15+(A_Scoring_Model!$C$14-A_Scoring_Model!$C$15)*(L384-$I384)/($H384-$I384))),IF(L384&lt;=$H384,A_Scoring_Model!$C$14,IF(L384&gt;$I384,0,A_Scoring_Model!$C$15+(A_Scoring_Model!$C$14-A_Scoring_Model!$C$15)*($I384-L384)/($I384-$H384))))))</f>
        <v/>
      </c>
      <c r="Q384" s="56" t="str">
        <f aca="false">IF(M384="","",IF($H384=$I384,IF(OR(AND($G384="Higher is better",M384&gt;=$H384),AND($G384="Lower is better",M384&lt;=$H384)),A_Scoring_Model!$C$14,0),IF($G384="Higher is better",IF(M384&gt;=$H384,A_Scoring_Model!$C$14,IF(M384&lt;$I384,0,A_Scoring_Model!$C$15+(A_Scoring_Model!$C$14-A_Scoring_Model!$C$15)*(M384-$I384)/($H384-$I384))),IF(M384&lt;=$H384,A_Scoring_Model!$C$14,IF(M384&gt;$I384,0,A_Scoring_Model!$C$15+(A_Scoring_Model!$C$14-A_Scoring_Model!$C$15)*($I384-M384)/($I384-$H384))))))</f>
        <v/>
      </c>
    </row>
    <row r="385" customFormat="false" ht="15" hidden="false" customHeight="false" outlineLevel="0" collapsed="false">
      <c r="A385" s="51" t="str">
        <f aca="false">C_KPI_Benchmark!A385</f>
        <v>7.c-D1-02</v>
      </c>
      <c r="B385" s="52" t="str">
        <f aca="false">C_KPI_Benchmark!D385</f>
        <v>7.c</v>
      </c>
      <c r="C385" s="51" t="str">
        <f aca="false">C_KPI_Benchmark!E385</f>
        <v>Auto Report Generator Agent</v>
      </c>
      <c r="D385" s="52" t="str">
        <f aca="false">C_KPI_Benchmark!F385</f>
        <v>D1</v>
      </c>
      <c r="E385" s="51" t="str">
        <f aca="false">C_KPI_Benchmark!J385</f>
        <v>Template compliance</v>
      </c>
      <c r="F385" s="52" t="str">
        <f aca="false">C_KPI_Benchmark!K385</f>
        <v>%</v>
      </c>
      <c r="G385" s="51" t="str">
        <f aca="false">C_KPI_Benchmark!L385</f>
        <v>Higher is better</v>
      </c>
      <c r="H385" s="53" t="n">
        <f aca="false">C_KPI_Benchmark!N385</f>
        <v>0.98</v>
      </c>
      <c r="I385" s="54" t="n">
        <f aca="false">IF(C_KPI_Benchmark!O385&lt;&gt;"",C_KPI_Benchmark!O385,IF(G385="Higher is better",H385*(1-A_Scoring_Model!$C$16),H385*(1+A_Scoring_Model!$C$16)))</f>
        <v>0.92</v>
      </c>
      <c r="J385" s="55"/>
      <c r="K385" s="55"/>
      <c r="L385" s="55"/>
      <c r="M385" s="55"/>
      <c r="N385" s="56" t="str">
        <f aca="false">IF(J385="","",IF($H385=$I385,IF(OR(AND($G385="Higher is better",J385&gt;=$H385),AND($G385="Lower is better",J385&lt;=$H385)),A_Scoring_Model!$C$14,0),IF($G385="Higher is better",IF(J385&gt;=$H385,A_Scoring_Model!$C$14,IF(J385&lt;$I385,0,A_Scoring_Model!$C$15+(A_Scoring_Model!$C$14-A_Scoring_Model!$C$15)*(J385-$I385)/($H385-$I385))),IF(J385&lt;=$H385,A_Scoring_Model!$C$14,IF(J385&gt;$I385,0,A_Scoring_Model!$C$15+(A_Scoring_Model!$C$14-A_Scoring_Model!$C$15)*($I385-J385)/($I385-$H385))))))</f>
        <v/>
      </c>
      <c r="O385" s="56" t="str">
        <f aca="false">IF(K385="","",IF($H385=$I385,IF(OR(AND($G385="Higher is better",K385&gt;=$H385),AND($G385="Lower is better",K385&lt;=$H385)),A_Scoring_Model!$C$14,0),IF($G385="Higher is better",IF(K385&gt;=$H385,A_Scoring_Model!$C$14,IF(K385&lt;$I385,0,A_Scoring_Model!$C$15+(A_Scoring_Model!$C$14-A_Scoring_Model!$C$15)*(K385-$I385)/($H385-$I385))),IF(K385&lt;=$H385,A_Scoring_Model!$C$14,IF(K385&gt;$I385,0,A_Scoring_Model!$C$15+(A_Scoring_Model!$C$14-A_Scoring_Model!$C$15)*($I385-K385)/($I385-$H385))))))</f>
        <v/>
      </c>
      <c r="P385" s="56" t="str">
        <f aca="false">IF(L385="","",IF($H385=$I385,IF(OR(AND($G385="Higher is better",L385&gt;=$H385),AND($G385="Lower is better",L385&lt;=$H385)),A_Scoring_Model!$C$14,0),IF($G385="Higher is better",IF(L385&gt;=$H385,A_Scoring_Model!$C$14,IF(L385&lt;$I385,0,A_Scoring_Model!$C$15+(A_Scoring_Model!$C$14-A_Scoring_Model!$C$15)*(L385-$I385)/($H385-$I385))),IF(L385&lt;=$H385,A_Scoring_Model!$C$14,IF(L385&gt;$I385,0,A_Scoring_Model!$C$15+(A_Scoring_Model!$C$14-A_Scoring_Model!$C$15)*($I385-L385)/($I385-$H385))))))</f>
        <v/>
      </c>
      <c r="Q385" s="56" t="str">
        <f aca="false">IF(M385="","",IF($H385=$I385,IF(OR(AND($G385="Higher is better",M385&gt;=$H385),AND($G385="Lower is better",M385&lt;=$H385)),A_Scoring_Model!$C$14,0),IF($G385="Higher is better",IF(M385&gt;=$H385,A_Scoring_Model!$C$14,IF(M385&lt;$I385,0,A_Scoring_Model!$C$15+(A_Scoring_Model!$C$14-A_Scoring_Model!$C$15)*(M385-$I385)/($H385-$I385))),IF(M385&lt;=$H385,A_Scoring_Model!$C$14,IF(M385&gt;$I385,0,A_Scoring_Model!$C$15+(A_Scoring_Model!$C$14-A_Scoring_Model!$C$15)*($I385-M385)/($I385-$H385))))))</f>
        <v/>
      </c>
    </row>
    <row r="386" customFormat="false" ht="15" hidden="false" customHeight="false" outlineLevel="0" collapsed="false">
      <c r="A386" s="51" t="str">
        <f aca="false">C_KPI_Benchmark!A386</f>
        <v>7.c-D1-03</v>
      </c>
      <c r="B386" s="52" t="str">
        <f aca="false">C_KPI_Benchmark!D386</f>
        <v>7.c</v>
      </c>
      <c r="C386" s="51" t="str">
        <f aca="false">C_KPI_Benchmark!E386</f>
        <v>Auto Report Generator Agent</v>
      </c>
      <c r="D386" s="52" t="str">
        <f aca="false">C_KPI_Benchmark!F386</f>
        <v>D1</v>
      </c>
      <c r="E386" s="51" t="str">
        <f aca="false">C_KPI_Benchmark!J386</f>
        <v>Stakeholder rating</v>
      </c>
      <c r="F386" s="52" t="str">
        <f aca="false">C_KPI_Benchmark!K386</f>
        <v>/5</v>
      </c>
      <c r="G386" s="51" t="str">
        <f aca="false">C_KPI_Benchmark!L386</f>
        <v>Higher is better</v>
      </c>
      <c r="H386" s="65" t="n">
        <f aca="false">C_KPI_Benchmark!N386</f>
        <v>4</v>
      </c>
      <c r="I386" s="66" t="n">
        <f aca="false">IF(C_KPI_Benchmark!O386&lt;&gt;"",C_KPI_Benchmark!O386,IF(G386="Higher is better",H386*(1-A_Scoring_Model!$C$16),H386*(1+A_Scoring_Model!$C$16)))</f>
        <v>3.3</v>
      </c>
      <c r="J386" s="67"/>
      <c r="K386" s="67"/>
      <c r="L386" s="67"/>
      <c r="M386" s="67"/>
      <c r="N386" s="56" t="str">
        <f aca="false">IF(J386="","",IF($H386=$I386,IF(OR(AND($G386="Higher is better",J386&gt;=$H386),AND($G386="Lower is better",J386&lt;=$H386)),A_Scoring_Model!$C$14,0),IF($G386="Higher is better",IF(J386&gt;=$H386,A_Scoring_Model!$C$14,IF(J386&lt;$I386,0,A_Scoring_Model!$C$15+(A_Scoring_Model!$C$14-A_Scoring_Model!$C$15)*(J386-$I386)/($H386-$I386))),IF(J386&lt;=$H386,A_Scoring_Model!$C$14,IF(J386&gt;$I386,0,A_Scoring_Model!$C$15+(A_Scoring_Model!$C$14-A_Scoring_Model!$C$15)*($I386-J386)/($I386-$H386))))))</f>
        <v/>
      </c>
      <c r="O386" s="56" t="str">
        <f aca="false">IF(K386="","",IF($H386=$I386,IF(OR(AND($G386="Higher is better",K386&gt;=$H386),AND($G386="Lower is better",K386&lt;=$H386)),A_Scoring_Model!$C$14,0),IF($G386="Higher is better",IF(K386&gt;=$H386,A_Scoring_Model!$C$14,IF(K386&lt;$I386,0,A_Scoring_Model!$C$15+(A_Scoring_Model!$C$14-A_Scoring_Model!$C$15)*(K386-$I386)/($H386-$I386))),IF(K386&lt;=$H386,A_Scoring_Model!$C$14,IF(K386&gt;$I386,0,A_Scoring_Model!$C$15+(A_Scoring_Model!$C$14-A_Scoring_Model!$C$15)*($I386-K386)/($I386-$H386))))))</f>
        <v/>
      </c>
      <c r="P386" s="56" t="str">
        <f aca="false">IF(L386="","",IF($H386=$I386,IF(OR(AND($G386="Higher is better",L386&gt;=$H386),AND($G386="Lower is better",L386&lt;=$H386)),A_Scoring_Model!$C$14,0),IF($G386="Higher is better",IF(L386&gt;=$H386,A_Scoring_Model!$C$14,IF(L386&lt;$I386,0,A_Scoring_Model!$C$15+(A_Scoring_Model!$C$14-A_Scoring_Model!$C$15)*(L386-$I386)/($H386-$I386))),IF(L386&lt;=$H386,A_Scoring_Model!$C$14,IF(L386&gt;$I386,0,A_Scoring_Model!$C$15+(A_Scoring_Model!$C$14-A_Scoring_Model!$C$15)*($I386-L386)/($I386-$H386))))))</f>
        <v/>
      </c>
      <c r="Q386" s="56" t="str">
        <f aca="false">IF(M386="","",IF($H386=$I386,IF(OR(AND($G386="Higher is better",M386&gt;=$H386),AND($G386="Lower is better",M386&lt;=$H386)),A_Scoring_Model!$C$14,0),IF($G386="Higher is better",IF(M386&gt;=$H386,A_Scoring_Model!$C$14,IF(M386&lt;$I386,0,A_Scoring_Model!$C$15+(A_Scoring_Model!$C$14-A_Scoring_Model!$C$15)*(M386-$I386)/($H386-$I386))),IF(M386&lt;=$H386,A_Scoring_Model!$C$14,IF(M386&gt;$I386,0,A_Scoring_Model!$C$15+(A_Scoring_Model!$C$14-A_Scoring_Model!$C$15)*($I386-M386)/($I386-$H386))))))</f>
        <v/>
      </c>
    </row>
    <row r="387" customFormat="false" ht="15" hidden="false" customHeight="false" outlineLevel="0" collapsed="false">
      <c r="A387" s="51" t="str">
        <f aca="false">C_KPI_Benchmark!A387</f>
        <v>7.c-D2-04</v>
      </c>
      <c r="B387" s="52" t="str">
        <f aca="false">C_KPI_Benchmark!D387</f>
        <v>7.c</v>
      </c>
      <c r="C387" s="51" t="str">
        <f aca="false">C_KPI_Benchmark!E387</f>
        <v>Auto Report Generator Agent</v>
      </c>
      <c r="D387" s="52" t="str">
        <f aca="false">C_KPI_Benchmark!F387</f>
        <v>D2</v>
      </c>
      <c r="E387" s="51" t="str">
        <f aca="false">C_KPI_Benchmark!J387</f>
        <v>Output formats supported (DOCX, PPTX, Confluence, email)</v>
      </c>
      <c r="F387" s="52" t="str">
        <f aca="false">C_KPI_Benchmark!K387</f>
        <v>count</v>
      </c>
      <c r="G387" s="51" t="str">
        <f aca="false">C_KPI_Benchmark!L387</f>
        <v>Higher is better</v>
      </c>
      <c r="H387" s="62" t="n">
        <f aca="false">C_KPI_Benchmark!N387</f>
        <v>4</v>
      </c>
      <c r="I387" s="63" t="n">
        <f aca="false">IF(C_KPI_Benchmark!O387&lt;&gt;"",C_KPI_Benchmark!O387,IF(G387="Higher is better",H387*(1-A_Scoring_Model!$C$16),H387*(1+A_Scoring_Model!$C$16)))</f>
        <v>3.2</v>
      </c>
      <c r="J387" s="64"/>
      <c r="K387" s="64"/>
      <c r="L387" s="64"/>
      <c r="M387" s="64"/>
      <c r="N387" s="56" t="str">
        <f aca="false">IF(J387="","",IF($H387=$I387,IF(OR(AND($G387="Higher is better",J387&gt;=$H387),AND($G387="Lower is better",J387&lt;=$H387)),A_Scoring_Model!$C$14,0),IF($G387="Higher is better",IF(J387&gt;=$H387,A_Scoring_Model!$C$14,IF(J387&lt;$I387,0,A_Scoring_Model!$C$15+(A_Scoring_Model!$C$14-A_Scoring_Model!$C$15)*(J387-$I387)/($H387-$I387))),IF(J387&lt;=$H387,A_Scoring_Model!$C$14,IF(J387&gt;$I387,0,A_Scoring_Model!$C$15+(A_Scoring_Model!$C$14-A_Scoring_Model!$C$15)*($I387-J387)/($I387-$H387))))))</f>
        <v/>
      </c>
      <c r="O387" s="56" t="str">
        <f aca="false">IF(K387="","",IF($H387=$I387,IF(OR(AND($G387="Higher is better",K387&gt;=$H387),AND($G387="Lower is better",K387&lt;=$H387)),A_Scoring_Model!$C$14,0),IF($G387="Higher is better",IF(K387&gt;=$H387,A_Scoring_Model!$C$14,IF(K387&lt;$I387,0,A_Scoring_Model!$C$15+(A_Scoring_Model!$C$14-A_Scoring_Model!$C$15)*(K387-$I387)/($H387-$I387))),IF(K387&lt;=$H387,A_Scoring_Model!$C$14,IF(K387&gt;$I387,0,A_Scoring_Model!$C$15+(A_Scoring_Model!$C$14-A_Scoring_Model!$C$15)*($I387-K387)/($I387-$H387))))))</f>
        <v/>
      </c>
      <c r="P387" s="56" t="str">
        <f aca="false">IF(L387="","",IF($H387=$I387,IF(OR(AND($G387="Higher is better",L387&gt;=$H387),AND($G387="Lower is better",L387&lt;=$H387)),A_Scoring_Model!$C$14,0),IF($G387="Higher is better",IF(L387&gt;=$H387,A_Scoring_Model!$C$14,IF(L387&lt;$I387,0,A_Scoring_Model!$C$15+(A_Scoring_Model!$C$14-A_Scoring_Model!$C$15)*(L387-$I387)/($H387-$I387))),IF(L387&lt;=$H387,A_Scoring_Model!$C$14,IF(L387&gt;$I387,0,A_Scoring_Model!$C$15+(A_Scoring_Model!$C$14-A_Scoring_Model!$C$15)*($I387-L387)/($I387-$H387))))))</f>
        <v/>
      </c>
      <c r="Q387" s="56" t="str">
        <f aca="false">IF(M387="","",IF($H387=$I387,IF(OR(AND($G387="Higher is better",M387&gt;=$H387),AND($G387="Lower is better",M387&lt;=$H387)),A_Scoring_Model!$C$14,0),IF($G387="Higher is better",IF(M387&gt;=$H387,A_Scoring_Model!$C$14,IF(M387&lt;$I387,0,A_Scoring_Model!$C$15+(A_Scoring_Model!$C$14-A_Scoring_Model!$C$15)*(M387-$I387)/($H387-$I387))),IF(M387&lt;=$H387,A_Scoring_Model!$C$14,IF(M387&gt;$I387,0,A_Scoring_Model!$C$15+(A_Scoring_Model!$C$14-A_Scoring_Model!$C$15)*($I387-M387)/($I387-$H387))))))</f>
        <v/>
      </c>
    </row>
    <row r="388" customFormat="false" ht="23.85" hidden="false" customHeight="false" outlineLevel="0" collapsed="false">
      <c r="A388" s="51" t="str">
        <f aca="false">C_KPI_Benchmark!A388</f>
        <v>7.c-D2-05</v>
      </c>
      <c r="B388" s="52" t="str">
        <f aca="false">C_KPI_Benchmark!D388</f>
        <v>7.c</v>
      </c>
      <c r="C388" s="51" t="str">
        <f aca="false">C_KPI_Benchmark!E388</f>
        <v>Auto Report Generator Agent</v>
      </c>
      <c r="D388" s="52" t="str">
        <f aca="false">C_KPI_Benchmark!F388</f>
        <v>D2</v>
      </c>
      <c r="E388" s="51" t="str">
        <f aca="false">C_KPI_Benchmark!J388</f>
        <v>Product lines supported with ≤10% efficacy drop (NVMe SSD, UFS, eMMC/uSD, PSSD)</v>
      </c>
      <c r="F388" s="52" t="str">
        <f aca="false">C_KPI_Benchmark!K388</f>
        <v>count</v>
      </c>
      <c r="G388" s="51" t="str">
        <f aca="false">C_KPI_Benchmark!L388</f>
        <v>Higher is better</v>
      </c>
      <c r="H388" s="62" t="n">
        <f aca="false">C_KPI_Benchmark!N388</f>
        <v>3</v>
      </c>
      <c r="I388" s="63" t="n">
        <f aca="false">IF(C_KPI_Benchmark!O388&lt;&gt;"",C_KPI_Benchmark!O388,IF(G388="Higher is better",H388*(1-A_Scoring_Model!$C$16),H388*(1+A_Scoring_Model!$C$16)))</f>
        <v>2</v>
      </c>
      <c r="J388" s="64"/>
      <c r="K388" s="64"/>
      <c r="L388" s="64"/>
      <c r="M388" s="64"/>
      <c r="N388" s="56" t="str">
        <f aca="false">IF(J388="","",IF($H388=$I388,IF(OR(AND($G388="Higher is better",J388&gt;=$H388),AND($G388="Lower is better",J388&lt;=$H388)),A_Scoring_Model!$C$14,0),IF($G388="Higher is better",IF(J388&gt;=$H388,A_Scoring_Model!$C$14,IF(J388&lt;$I388,0,A_Scoring_Model!$C$15+(A_Scoring_Model!$C$14-A_Scoring_Model!$C$15)*(J388-$I388)/($H388-$I388))),IF(J388&lt;=$H388,A_Scoring_Model!$C$14,IF(J388&gt;$I388,0,A_Scoring_Model!$C$15+(A_Scoring_Model!$C$14-A_Scoring_Model!$C$15)*($I388-J388)/($I388-$H388))))))</f>
        <v/>
      </c>
      <c r="O388" s="56" t="str">
        <f aca="false">IF(K388="","",IF($H388=$I388,IF(OR(AND($G388="Higher is better",K388&gt;=$H388),AND($G388="Lower is better",K388&lt;=$H388)),A_Scoring_Model!$C$14,0),IF($G388="Higher is better",IF(K388&gt;=$H388,A_Scoring_Model!$C$14,IF(K388&lt;$I388,0,A_Scoring_Model!$C$15+(A_Scoring_Model!$C$14-A_Scoring_Model!$C$15)*(K388-$I388)/($H388-$I388))),IF(K388&lt;=$H388,A_Scoring_Model!$C$14,IF(K388&gt;$I388,0,A_Scoring_Model!$C$15+(A_Scoring_Model!$C$14-A_Scoring_Model!$C$15)*($I388-K388)/($I388-$H388))))))</f>
        <v/>
      </c>
      <c r="P388" s="56" t="str">
        <f aca="false">IF(L388="","",IF($H388=$I388,IF(OR(AND($G388="Higher is better",L388&gt;=$H388),AND($G388="Lower is better",L388&lt;=$H388)),A_Scoring_Model!$C$14,0),IF($G388="Higher is better",IF(L388&gt;=$H388,A_Scoring_Model!$C$14,IF(L388&lt;$I388,0,A_Scoring_Model!$C$15+(A_Scoring_Model!$C$14-A_Scoring_Model!$C$15)*(L388-$I388)/($H388-$I388))),IF(L388&lt;=$H388,A_Scoring_Model!$C$14,IF(L388&gt;$I388,0,A_Scoring_Model!$C$15+(A_Scoring_Model!$C$14-A_Scoring_Model!$C$15)*($I388-L388)/($I388-$H388))))))</f>
        <v/>
      </c>
      <c r="Q388" s="56" t="str">
        <f aca="false">IF(M388="","",IF($H388=$I388,IF(OR(AND($G388="Higher is better",M388&gt;=$H388),AND($G388="Lower is better",M388&lt;=$H388)),A_Scoring_Model!$C$14,0),IF($G388="Higher is better",IF(M388&gt;=$H388,A_Scoring_Model!$C$14,IF(M388&lt;$I388,0,A_Scoring_Model!$C$15+(A_Scoring_Model!$C$14-A_Scoring_Model!$C$15)*(M388-$I388)/($H388-$I388))),IF(M388&lt;=$H388,A_Scoring_Model!$C$14,IF(M388&gt;$I388,0,A_Scoring_Model!$C$15+(A_Scoring_Model!$C$14-A_Scoring_Model!$C$15)*($I388-M388)/($I388-$H388))))))</f>
        <v/>
      </c>
    </row>
    <row r="389" customFormat="false" ht="15" hidden="false" customHeight="false" outlineLevel="0" collapsed="false">
      <c r="A389" s="51" t="str">
        <f aca="false">C_KPI_Benchmark!A389</f>
        <v>7.c-D2-06</v>
      </c>
      <c r="B389" s="52" t="str">
        <f aca="false">C_KPI_Benchmark!D389</f>
        <v>7.c</v>
      </c>
      <c r="C389" s="51" t="str">
        <f aca="false">C_KPI_Benchmark!E389</f>
        <v>Auto Report Generator Agent</v>
      </c>
      <c r="D389" s="52" t="str">
        <f aca="false">C_KPI_Benchmark!F389</f>
        <v>D2</v>
      </c>
      <c r="E389" s="51" t="str">
        <f aca="false">C_KPI_Benchmark!J389</f>
        <v>Uses Zion shared services instead of re-implementing them</v>
      </c>
      <c r="F389" s="52" t="str">
        <f aca="false">C_KPI_Benchmark!K389</f>
        <v>Yes/No</v>
      </c>
      <c r="G389" s="51" t="str">
        <f aca="false">C_KPI_Benchmark!L389</f>
        <v>Higher is better</v>
      </c>
      <c r="H389" s="60" t="n">
        <f aca="false">C_KPI_Benchmark!N389</f>
        <v>1</v>
      </c>
      <c r="I389" s="56" t="n">
        <f aca="false">IF(C_KPI_Benchmark!O389&lt;&gt;"",C_KPI_Benchmark!O389,IF(G389="Higher is better",H389*(1-A_Scoring_Model!$C$16),H389*(1+A_Scoring_Model!$C$16)))</f>
        <v>0.8</v>
      </c>
      <c r="J389" s="61"/>
      <c r="K389" s="61"/>
      <c r="L389" s="61"/>
      <c r="M389" s="61"/>
      <c r="N389" s="56" t="str">
        <f aca="false">IF(J389="","",IF($H389=$I389,IF(OR(AND($G389="Higher is better",J389&gt;=$H389),AND($G389="Lower is better",J389&lt;=$H389)),A_Scoring_Model!$C$14,0),IF($G389="Higher is better",IF(J389&gt;=$H389,A_Scoring_Model!$C$14,IF(J389&lt;$I389,0,A_Scoring_Model!$C$15+(A_Scoring_Model!$C$14-A_Scoring_Model!$C$15)*(J389-$I389)/($H389-$I389))),IF(J389&lt;=$H389,A_Scoring_Model!$C$14,IF(J389&gt;$I389,0,A_Scoring_Model!$C$15+(A_Scoring_Model!$C$14-A_Scoring_Model!$C$15)*($I389-J389)/($I389-$H389))))))</f>
        <v/>
      </c>
      <c r="O389" s="56" t="str">
        <f aca="false">IF(K389="","",IF($H389=$I389,IF(OR(AND($G389="Higher is better",K389&gt;=$H389),AND($G389="Lower is better",K389&lt;=$H389)),A_Scoring_Model!$C$14,0),IF($G389="Higher is better",IF(K389&gt;=$H389,A_Scoring_Model!$C$14,IF(K389&lt;$I389,0,A_Scoring_Model!$C$15+(A_Scoring_Model!$C$14-A_Scoring_Model!$C$15)*(K389-$I389)/($H389-$I389))),IF(K389&lt;=$H389,A_Scoring_Model!$C$14,IF(K389&gt;$I389,0,A_Scoring_Model!$C$15+(A_Scoring_Model!$C$14-A_Scoring_Model!$C$15)*($I389-K389)/($I389-$H389))))))</f>
        <v/>
      </c>
      <c r="P389" s="56" t="str">
        <f aca="false">IF(L389="","",IF($H389=$I389,IF(OR(AND($G389="Higher is better",L389&gt;=$H389),AND($G389="Lower is better",L389&lt;=$H389)),A_Scoring_Model!$C$14,0),IF($G389="Higher is better",IF(L389&gt;=$H389,A_Scoring_Model!$C$14,IF(L389&lt;$I389,0,A_Scoring_Model!$C$15+(A_Scoring_Model!$C$14-A_Scoring_Model!$C$15)*(L389-$I389)/($H389-$I389))),IF(L389&lt;=$H389,A_Scoring_Model!$C$14,IF(L389&gt;$I389,0,A_Scoring_Model!$C$15+(A_Scoring_Model!$C$14-A_Scoring_Model!$C$15)*($I389-L389)/($I389-$H389))))))</f>
        <v/>
      </c>
      <c r="Q389" s="56" t="str">
        <f aca="false">IF(M389="","",IF($H389=$I389,IF(OR(AND($G389="Higher is better",M389&gt;=$H389),AND($G389="Lower is better",M389&lt;=$H389)),A_Scoring_Model!$C$14,0),IF($G389="Higher is better",IF(M389&gt;=$H389,A_Scoring_Model!$C$14,IF(M389&lt;$I389,0,A_Scoring_Model!$C$15+(A_Scoring_Model!$C$14-A_Scoring_Model!$C$15)*(M389-$I389)/($H389-$I389))),IF(M389&lt;=$H389,A_Scoring_Model!$C$14,IF(M389&gt;$I389,0,A_Scoring_Model!$C$15+(A_Scoring_Model!$C$14-A_Scoring_Model!$C$15)*($I389-M389)/($I389-$H389))))))</f>
        <v/>
      </c>
    </row>
    <row r="390" customFormat="false" ht="15" hidden="false" customHeight="false" outlineLevel="0" collapsed="false">
      <c r="A390" s="51" t="str">
        <f aca="false">C_KPI_Benchmark!A390</f>
        <v>7.c-D3-07</v>
      </c>
      <c r="B390" s="52" t="str">
        <f aca="false">C_KPI_Benchmark!D390</f>
        <v>7.c</v>
      </c>
      <c r="C390" s="51" t="str">
        <f aca="false">C_KPI_Benchmark!E390</f>
        <v>Auto Report Generator Agent</v>
      </c>
      <c r="D390" s="52" t="str">
        <f aca="false">C_KPI_Benchmark!F390</f>
        <v>D3</v>
      </c>
      <c r="E390" s="51" t="str">
        <f aca="false">C_KPI_Benchmark!J390</f>
        <v>Generation time per report</v>
      </c>
      <c r="F390" s="52" t="str">
        <f aca="false">C_KPI_Benchmark!K390</f>
        <v>min</v>
      </c>
      <c r="G390" s="51" t="str">
        <f aca="false">C_KPI_Benchmark!L390</f>
        <v>Lower is better</v>
      </c>
      <c r="H390" s="62" t="n">
        <f aca="false">C_KPI_Benchmark!N390</f>
        <v>2</v>
      </c>
      <c r="I390" s="63" t="n">
        <f aca="false">IF(C_KPI_Benchmark!O390&lt;&gt;"",C_KPI_Benchmark!O390,IF(G390="Higher is better",H390*(1-A_Scoring_Model!$C$16),H390*(1+A_Scoring_Model!$C$16)))</f>
        <v>2.4</v>
      </c>
      <c r="J390" s="64"/>
      <c r="K390" s="64"/>
      <c r="L390" s="64"/>
      <c r="M390" s="64"/>
      <c r="N390" s="56" t="str">
        <f aca="false">IF(J390="","",IF($H390=$I390,IF(OR(AND($G390="Higher is better",J390&gt;=$H390),AND($G390="Lower is better",J390&lt;=$H390)),A_Scoring_Model!$C$14,0),IF($G390="Higher is better",IF(J390&gt;=$H390,A_Scoring_Model!$C$14,IF(J390&lt;$I390,0,A_Scoring_Model!$C$15+(A_Scoring_Model!$C$14-A_Scoring_Model!$C$15)*(J390-$I390)/($H390-$I390))),IF(J390&lt;=$H390,A_Scoring_Model!$C$14,IF(J390&gt;$I390,0,A_Scoring_Model!$C$15+(A_Scoring_Model!$C$14-A_Scoring_Model!$C$15)*($I390-J390)/($I390-$H390))))))</f>
        <v/>
      </c>
      <c r="O390" s="56" t="str">
        <f aca="false">IF(K390="","",IF($H390=$I390,IF(OR(AND($G390="Higher is better",K390&gt;=$H390),AND($G390="Lower is better",K390&lt;=$H390)),A_Scoring_Model!$C$14,0),IF($G390="Higher is better",IF(K390&gt;=$H390,A_Scoring_Model!$C$14,IF(K390&lt;$I390,0,A_Scoring_Model!$C$15+(A_Scoring_Model!$C$14-A_Scoring_Model!$C$15)*(K390-$I390)/($H390-$I390))),IF(K390&lt;=$H390,A_Scoring_Model!$C$14,IF(K390&gt;$I390,0,A_Scoring_Model!$C$15+(A_Scoring_Model!$C$14-A_Scoring_Model!$C$15)*($I390-K390)/($I390-$H390))))))</f>
        <v/>
      </c>
      <c r="P390" s="56" t="str">
        <f aca="false">IF(L390="","",IF($H390=$I390,IF(OR(AND($G390="Higher is better",L390&gt;=$H390),AND($G390="Lower is better",L390&lt;=$H390)),A_Scoring_Model!$C$14,0),IF($G390="Higher is better",IF(L390&gt;=$H390,A_Scoring_Model!$C$14,IF(L390&lt;$I390,0,A_Scoring_Model!$C$15+(A_Scoring_Model!$C$14-A_Scoring_Model!$C$15)*(L390-$I390)/($H390-$I390))),IF(L390&lt;=$H390,A_Scoring_Model!$C$14,IF(L390&gt;$I390,0,A_Scoring_Model!$C$15+(A_Scoring_Model!$C$14-A_Scoring_Model!$C$15)*($I390-L390)/($I390-$H390))))))</f>
        <v/>
      </c>
      <c r="Q390" s="56" t="str">
        <f aca="false">IF(M390="","",IF($H390=$I390,IF(OR(AND($G390="Higher is better",M390&gt;=$H390),AND($G390="Lower is better",M390&lt;=$H390)),A_Scoring_Model!$C$14,0),IF($G390="Higher is better",IF(M390&gt;=$H390,A_Scoring_Model!$C$14,IF(M390&lt;$I390,0,A_Scoring_Model!$C$15+(A_Scoring_Model!$C$14-A_Scoring_Model!$C$15)*(M390-$I390)/($H390-$I390))),IF(M390&lt;=$H390,A_Scoring_Model!$C$14,IF(M390&gt;$I390,0,A_Scoring_Model!$C$15+(A_Scoring_Model!$C$14-A_Scoring_Model!$C$15)*($I390-M390)/($I390-$H390))))))</f>
        <v/>
      </c>
    </row>
    <row r="391" customFormat="false" ht="15" hidden="false" customHeight="false" outlineLevel="0" collapsed="false">
      <c r="A391" s="51" t="str">
        <f aca="false">C_KPI_Benchmark!A391</f>
        <v>7.c-D3-08</v>
      </c>
      <c r="B391" s="52" t="str">
        <f aca="false">C_KPI_Benchmark!D391</f>
        <v>7.c</v>
      </c>
      <c r="C391" s="51" t="str">
        <f aca="false">C_KPI_Benchmark!E391</f>
        <v>Auto Report Generator Agent</v>
      </c>
      <c r="D391" s="52" t="str">
        <f aca="false">C_KPI_Benchmark!F391</f>
        <v>D3</v>
      </c>
      <c r="E391" s="51" t="str">
        <f aca="false">C_KPI_Benchmark!J391</f>
        <v>Latency degradation at 10× load</v>
      </c>
      <c r="F391" s="52" t="str">
        <f aca="false">C_KPI_Benchmark!K391</f>
        <v>%</v>
      </c>
      <c r="G391" s="51" t="str">
        <f aca="false">C_KPI_Benchmark!L391</f>
        <v>Lower is better</v>
      </c>
      <c r="H391" s="53" t="n">
        <f aca="false">C_KPI_Benchmark!N391</f>
        <v>0.2</v>
      </c>
      <c r="I391" s="54" t="n">
        <f aca="false">IF(C_KPI_Benchmark!O391&lt;&gt;"",C_KPI_Benchmark!O391,IF(G391="Higher is better",H391*(1-A_Scoring_Model!$C$16),H391*(1+A_Scoring_Model!$C$16)))</f>
        <v>0.4</v>
      </c>
      <c r="J391" s="55"/>
      <c r="K391" s="55"/>
      <c r="L391" s="55"/>
      <c r="M391" s="55"/>
      <c r="N391" s="56" t="str">
        <f aca="false">IF(J391="","",IF($H391=$I391,IF(OR(AND($G391="Higher is better",J391&gt;=$H391),AND($G391="Lower is better",J391&lt;=$H391)),A_Scoring_Model!$C$14,0),IF($G391="Higher is better",IF(J391&gt;=$H391,A_Scoring_Model!$C$14,IF(J391&lt;$I391,0,A_Scoring_Model!$C$15+(A_Scoring_Model!$C$14-A_Scoring_Model!$C$15)*(J391-$I391)/($H391-$I391))),IF(J391&lt;=$H391,A_Scoring_Model!$C$14,IF(J391&gt;$I391,0,A_Scoring_Model!$C$15+(A_Scoring_Model!$C$14-A_Scoring_Model!$C$15)*($I391-J391)/($I391-$H391))))))</f>
        <v/>
      </c>
      <c r="O391" s="56" t="str">
        <f aca="false">IF(K391="","",IF($H391=$I391,IF(OR(AND($G391="Higher is better",K391&gt;=$H391),AND($G391="Lower is better",K391&lt;=$H391)),A_Scoring_Model!$C$14,0),IF($G391="Higher is better",IF(K391&gt;=$H391,A_Scoring_Model!$C$14,IF(K391&lt;$I391,0,A_Scoring_Model!$C$15+(A_Scoring_Model!$C$14-A_Scoring_Model!$C$15)*(K391-$I391)/($H391-$I391))),IF(K391&lt;=$H391,A_Scoring_Model!$C$14,IF(K391&gt;$I391,0,A_Scoring_Model!$C$15+(A_Scoring_Model!$C$14-A_Scoring_Model!$C$15)*($I391-K391)/($I391-$H391))))))</f>
        <v/>
      </c>
      <c r="P391" s="56" t="str">
        <f aca="false">IF(L391="","",IF($H391=$I391,IF(OR(AND($G391="Higher is better",L391&gt;=$H391),AND($G391="Lower is better",L391&lt;=$H391)),A_Scoring_Model!$C$14,0),IF($G391="Higher is better",IF(L391&gt;=$H391,A_Scoring_Model!$C$14,IF(L391&lt;$I391,0,A_Scoring_Model!$C$15+(A_Scoring_Model!$C$14-A_Scoring_Model!$C$15)*(L391-$I391)/($H391-$I391))),IF(L391&lt;=$H391,A_Scoring_Model!$C$14,IF(L391&gt;$I391,0,A_Scoring_Model!$C$15+(A_Scoring_Model!$C$14-A_Scoring_Model!$C$15)*($I391-L391)/($I391-$H391))))))</f>
        <v/>
      </c>
      <c r="Q391" s="56" t="str">
        <f aca="false">IF(M391="","",IF($H391=$I391,IF(OR(AND($G391="Higher is better",M391&gt;=$H391),AND($G391="Lower is better",M391&lt;=$H391)),A_Scoring_Model!$C$14,0),IF($G391="Higher is better",IF(M391&gt;=$H391,A_Scoring_Model!$C$14,IF(M391&lt;$I391,0,A_Scoring_Model!$C$15+(A_Scoring_Model!$C$14-A_Scoring_Model!$C$15)*(M391-$I391)/($H391-$I391))),IF(M391&lt;=$H391,A_Scoring_Model!$C$14,IF(M391&gt;$I391,0,A_Scoring_Model!$C$15+(A_Scoring_Model!$C$14-A_Scoring_Model!$C$15)*($I391-M391)/($I391-$H391))))))</f>
        <v/>
      </c>
    </row>
    <row r="392" customFormat="false" ht="15" hidden="false" customHeight="false" outlineLevel="0" collapsed="false">
      <c r="A392" s="51" t="str">
        <f aca="false">C_KPI_Benchmark!A392</f>
        <v>7.c-D4-09</v>
      </c>
      <c r="B392" s="52" t="str">
        <f aca="false">C_KPI_Benchmark!D392</f>
        <v>7.c</v>
      </c>
      <c r="C392" s="51" t="str">
        <f aca="false">C_KPI_Benchmark!E392</f>
        <v>Auto Report Generator Agent</v>
      </c>
      <c r="D392" s="52" t="str">
        <f aca="false">C_KPI_Benchmark!F392</f>
        <v>D4</v>
      </c>
      <c r="E392" s="51" t="str">
        <f aca="false">C_KPI_Benchmark!J392</f>
        <v>Numeric claims auto-verified against source</v>
      </c>
      <c r="F392" s="52" t="str">
        <f aca="false">C_KPI_Benchmark!K392</f>
        <v>%</v>
      </c>
      <c r="G392" s="51" t="str">
        <f aca="false">C_KPI_Benchmark!L392</f>
        <v>Higher is better</v>
      </c>
      <c r="H392" s="53" t="n">
        <f aca="false">C_KPI_Benchmark!N392</f>
        <v>1</v>
      </c>
      <c r="I392" s="54" t="n">
        <f aca="false">IF(C_KPI_Benchmark!O392&lt;&gt;"",C_KPI_Benchmark!O392,IF(G392="Higher is better",H392*(1-A_Scoring_Model!$C$16),H392*(1+A_Scoring_Model!$C$16)))</f>
        <v>0.8</v>
      </c>
      <c r="J392" s="55"/>
      <c r="K392" s="55"/>
      <c r="L392" s="55"/>
      <c r="M392" s="55"/>
      <c r="N392" s="56" t="str">
        <f aca="false">IF(J392="","",IF($H392=$I392,IF(OR(AND($G392="Higher is better",J392&gt;=$H392),AND($G392="Lower is better",J392&lt;=$H392)),A_Scoring_Model!$C$14,0),IF($G392="Higher is better",IF(J392&gt;=$H392,A_Scoring_Model!$C$14,IF(J392&lt;$I392,0,A_Scoring_Model!$C$15+(A_Scoring_Model!$C$14-A_Scoring_Model!$C$15)*(J392-$I392)/($H392-$I392))),IF(J392&lt;=$H392,A_Scoring_Model!$C$14,IF(J392&gt;$I392,0,A_Scoring_Model!$C$15+(A_Scoring_Model!$C$14-A_Scoring_Model!$C$15)*($I392-J392)/($I392-$H392))))))</f>
        <v/>
      </c>
      <c r="O392" s="56" t="str">
        <f aca="false">IF(K392="","",IF($H392=$I392,IF(OR(AND($G392="Higher is better",K392&gt;=$H392),AND($G392="Lower is better",K392&lt;=$H392)),A_Scoring_Model!$C$14,0),IF($G392="Higher is better",IF(K392&gt;=$H392,A_Scoring_Model!$C$14,IF(K392&lt;$I392,0,A_Scoring_Model!$C$15+(A_Scoring_Model!$C$14-A_Scoring_Model!$C$15)*(K392-$I392)/($H392-$I392))),IF(K392&lt;=$H392,A_Scoring_Model!$C$14,IF(K392&gt;$I392,0,A_Scoring_Model!$C$15+(A_Scoring_Model!$C$14-A_Scoring_Model!$C$15)*($I392-K392)/($I392-$H392))))))</f>
        <v/>
      </c>
      <c r="P392" s="56" t="str">
        <f aca="false">IF(L392="","",IF($H392=$I392,IF(OR(AND($G392="Higher is better",L392&gt;=$H392),AND($G392="Lower is better",L392&lt;=$H392)),A_Scoring_Model!$C$14,0),IF($G392="Higher is better",IF(L392&gt;=$H392,A_Scoring_Model!$C$14,IF(L392&lt;$I392,0,A_Scoring_Model!$C$15+(A_Scoring_Model!$C$14-A_Scoring_Model!$C$15)*(L392-$I392)/($H392-$I392))),IF(L392&lt;=$H392,A_Scoring_Model!$C$14,IF(L392&gt;$I392,0,A_Scoring_Model!$C$15+(A_Scoring_Model!$C$14-A_Scoring_Model!$C$15)*($I392-L392)/($I392-$H392))))))</f>
        <v/>
      </c>
      <c r="Q392" s="56" t="str">
        <f aca="false">IF(M392="","",IF($H392=$I392,IF(OR(AND($G392="Higher is better",M392&gt;=$H392),AND($G392="Lower is better",M392&lt;=$H392)),A_Scoring_Model!$C$14,0),IF($G392="Higher is better",IF(M392&gt;=$H392,A_Scoring_Model!$C$14,IF(M392&lt;$I392,0,A_Scoring_Model!$C$15+(A_Scoring_Model!$C$14-A_Scoring_Model!$C$15)*(M392-$I392)/($H392-$I392))),IF(M392&lt;=$H392,A_Scoring_Model!$C$14,IF(M392&gt;$I392,0,A_Scoring_Model!$C$15+(A_Scoring_Model!$C$14-A_Scoring_Model!$C$15)*($I392-M392)/($I392-$H392))))))</f>
        <v/>
      </c>
    </row>
    <row r="393" customFormat="false" ht="15" hidden="false" customHeight="false" outlineLevel="0" collapsed="false">
      <c r="A393" s="51" t="str">
        <f aca="false">C_KPI_Benchmark!A393</f>
        <v>7.c-D4-10</v>
      </c>
      <c r="B393" s="52" t="str">
        <f aca="false">C_KPI_Benchmark!D393</f>
        <v>7.c</v>
      </c>
      <c r="C393" s="51" t="str">
        <f aca="false">C_KPI_Benchmark!E393</f>
        <v>Auto Report Generator Agent</v>
      </c>
      <c r="D393" s="52" t="str">
        <f aca="false">C_KPI_Benchmark!F393</f>
        <v>D4</v>
      </c>
      <c r="E393" s="51" t="str">
        <f aca="false">C_KPI_Benchmark!J393</f>
        <v>Service availability</v>
      </c>
      <c r="F393" s="52" t="str">
        <f aca="false">C_KPI_Benchmark!K393</f>
        <v>%</v>
      </c>
      <c r="G393" s="51" t="str">
        <f aca="false">C_KPI_Benchmark!L393</f>
        <v>Higher is better</v>
      </c>
      <c r="H393" s="53" t="n">
        <f aca="false">C_KPI_Benchmark!N393</f>
        <v>0.995</v>
      </c>
      <c r="I393" s="54" t="n">
        <f aca="false">IF(C_KPI_Benchmark!O393&lt;&gt;"",C_KPI_Benchmark!O393,IF(G393="Higher is better",H393*(1-A_Scoring_Model!$C$16),H393*(1+A_Scoring_Model!$C$16)))</f>
        <v>0.99</v>
      </c>
      <c r="J393" s="55"/>
      <c r="K393" s="55"/>
      <c r="L393" s="55"/>
      <c r="M393" s="55"/>
      <c r="N393" s="56" t="str">
        <f aca="false">IF(J393="","",IF($H393=$I393,IF(OR(AND($G393="Higher is better",J393&gt;=$H393),AND($G393="Lower is better",J393&lt;=$H393)),A_Scoring_Model!$C$14,0),IF($G393="Higher is better",IF(J393&gt;=$H393,A_Scoring_Model!$C$14,IF(J393&lt;$I393,0,A_Scoring_Model!$C$15+(A_Scoring_Model!$C$14-A_Scoring_Model!$C$15)*(J393-$I393)/($H393-$I393))),IF(J393&lt;=$H393,A_Scoring_Model!$C$14,IF(J393&gt;$I393,0,A_Scoring_Model!$C$15+(A_Scoring_Model!$C$14-A_Scoring_Model!$C$15)*($I393-J393)/($I393-$H393))))))</f>
        <v/>
      </c>
      <c r="O393" s="56" t="str">
        <f aca="false">IF(K393="","",IF($H393=$I393,IF(OR(AND($G393="Higher is better",K393&gt;=$H393),AND($G393="Lower is better",K393&lt;=$H393)),A_Scoring_Model!$C$14,0),IF($G393="Higher is better",IF(K393&gt;=$H393,A_Scoring_Model!$C$14,IF(K393&lt;$I393,0,A_Scoring_Model!$C$15+(A_Scoring_Model!$C$14-A_Scoring_Model!$C$15)*(K393-$I393)/($H393-$I393))),IF(K393&lt;=$H393,A_Scoring_Model!$C$14,IF(K393&gt;$I393,0,A_Scoring_Model!$C$15+(A_Scoring_Model!$C$14-A_Scoring_Model!$C$15)*($I393-K393)/($I393-$H393))))))</f>
        <v/>
      </c>
      <c r="P393" s="56" t="str">
        <f aca="false">IF(L393="","",IF($H393=$I393,IF(OR(AND($G393="Higher is better",L393&gt;=$H393),AND($G393="Lower is better",L393&lt;=$H393)),A_Scoring_Model!$C$14,0),IF($G393="Higher is better",IF(L393&gt;=$H393,A_Scoring_Model!$C$14,IF(L393&lt;$I393,0,A_Scoring_Model!$C$15+(A_Scoring_Model!$C$14-A_Scoring_Model!$C$15)*(L393-$I393)/($H393-$I393))),IF(L393&lt;=$H393,A_Scoring_Model!$C$14,IF(L393&gt;$I393,0,A_Scoring_Model!$C$15+(A_Scoring_Model!$C$14-A_Scoring_Model!$C$15)*($I393-L393)/($I393-$H393))))))</f>
        <v/>
      </c>
      <c r="Q393" s="56" t="str">
        <f aca="false">IF(M393="","",IF($H393=$I393,IF(OR(AND($G393="Higher is better",M393&gt;=$H393),AND($G393="Lower is better",M393&lt;=$H393)),A_Scoring_Model!$C$14,0),IF($G393="Higher is better",IF(M393&gt;=$H393,A_Scoring_Model!$C$14,IF(M393&lt;$I393,0,A_Scoring_Model!$C$15+(A_Scoring_Model!$C$14-A_Scoring_Model!$C$15)*(M393-$I393)/($H393-$I393))),IF(M393&lt;=$H393,A_Scoring_Model!$C$14,IF(M393&gt;$I393,0,A_Scoring_Model!$C$15+(A_Scoring_Model!$C$14-A_Scoring_Model!$C$15)*($I393-M393)/($I393-$H393))))))</f>
        <v/>
      </c>
    </row>
    <row r="394" customFormat="false" ht="15" hidden="false" customHeight="false" outlineLevel="0" collapsed="false">
      <c r="A394" s="51" t="str">
        <f aca="false">C_KPI_Benchmark!A394</f>
        <v>7.c-D5-11</v>
      </c>
      <c r="B394" s="52" t="str">
        <f aca="false">C_KPI_Benchmark!D394</f>
        <v>7.c</v>
      </c>
      <c r="C394" s="51" t="str">
        <f aca="false">C_KPI_Benchmark!E394</f>
        <v>Auto Report Generator Agent</v>
      </c>
      <c r="D394" s="52" t="str">
        <f aca="false">C_KPI_Benchmark!F394</f>
        <v>D5</v>
      </c>
      <c r="E394" s="51" t="str">
        <f aca="false">C_KPI_Benchmark!J394</f>
        <v>Report prep effort reduction</v>
      </c>
      <c r="F394" s="52" t="str">
        <f aca="false">C_KPI_Benchmark!K394</f>
        <v>%</v>
      </c>
      <c r="G394" s="51" t="str">
        <f aca="false">C_KPI_Benchmark!L394</f>
        <v>Higher is better</v>
      </c>
      <c r="H394" s="53" t="n">
        <f aca="false">C_KPI_Benchmark!N394</f>
        <v>0.8</v>
      </c>
      <c r="I394" s="54" t="n">
        <f aca="false">IF(C_KPI_Benchmark!O394&lt;&gt;"",C_KPI_Benchmark!O394,IF(G394="Higher is better",H394*(1-A_Scoring_Model!$C$16),H394*(1+A_Scoring_Model!$C$16)))</f>
        <v>0.64</v>
      </c>
      <c r="J394" s="55"/>
      <c r="K394" s="55"/>
      <c r="L394" s="55"/>
      <c r="M394" s="55"/>
      <c r="N394" s="56" t="str">
        <f aca="false">IF(J394="","",IF($H394=$I394,IF(OR(AND($G394="Higher is better",J394&gt;=$H394),AND($G394="Lower is better",J394&lt;=$H394)),A_Scoring_Model!$C$14,0),IF($G394="Higher is better",IF(J394&gt;=$H394,A_Scoring_Model!$C$14,IF(J394&lt;$I394,0,A_Scoring_Model!$C$15+(A_Scoring_Model!$C$14-A_Scoring_Model!$C$15)*(J394-$I394)/($H394-$I394))),IF(J394&lt;=$H394,A_Scoring_Model!$C$14,IF(J394&gt;$I394,0,A_Scoring_Model!$C$15+(A_Scoring_Model!$C$14-A_Scoring_Model!$C$15)*($I394-J394)/($I394-$H394))))))</f>
        <v/>
      </c>
      <c r="O394" s="56" t="str">
        <f aca="false">IF(K394="","",IF($H394=$I394,IF(OR(AND($G394="Higher is better",K394&gt;=$H394),AND($G394="Lower is better",K394&lt;=$H394)),A_Scoring_Model!$C$14,0),IF($G394="Higher is better",IF(K394&gt;=$H394,A_Scoring_Model!$C$14,IF(K394&lt;$I394,0,A_Scoring_Model!$C$15+(A_Scoring_Model!$C$14-A_Scoring_Model!$C$15)*(K394-$I394)/($H394-$I394))),IF(K394&lt;=$H394,A_Scoring_Model!$C$14,IF(K394&gt;$I394,0,A_Scoring_Model!$C$15+(A_Scoring_Model!$C$14-A_Scoring_Model!$C$15)*($I394-K394)/($I394-$H394))))))</f>
        <v/>
      </c>
      <c r="P394" s="56" t="str">
        <f aca="false">IF(L394="","",IF($H394=$I394,IF(OR(AND($G394="Higher is better",L394&gt;=$H394),AND($G394="Lower is better",L394&lt;=$H394)),A_Scoring_Model!$C$14,0),IF($G394="Higher is better",IF(L394&gt;=$H394,A_Scoring_Model!$C$14,IF(L394&lt;$I394,0,A_Scoring_Model!$C$15+(A_Scoring_Model!$C$14-A_Scoring_Model!$C$15)*(L394-$I394)/($H394-$I394))),IF(L394&lt;=$H394,A_Scoring_Model!$C$14,IF(L394&gt;$I394,0,A_Scoring_Model!$C$15+(A_Scoring_Model!$C$14-A_Scoring_Model!$C$15)*($I394-L394)/($I394-$H394))))))</f>
        <v/>
      </c>
      <c r="Q394" s="56" t="str">
        <f aca="false">IF(M394="","",IF($H394=$I394,IF(OR(AND($G394="Higher is better",M394&gt;=$H394),AND($G394="Lower is better",M394&lt;=$H394)),A_Scoring_Model!$C$14,0),IF($G394="Higher is better",IF(M394&gt;=$H394,A_Scoring_Model!$C$14,IF(M394&lt;$I394,0,A_Scoring_Model!$C$15+(A_Scoring_Model!$C$14-A_Scoring_Model!$C$15)*(M394-$I394)/($H394-$I394))),IF(M394&lt;=$H394,A_Scoring_Model!$C$14,IF(M394&gt;$I394,0,A_Scoring_Model!$C$15+(A_Scoring_Model!$C$14-A_Scoring_Model!$C$15)*($I394-M394)/($I394-$H394))))))</f>
        <v/>
      </c>
    </row>
    <row r="395" customFormat="false" ht="15" hidden="false" customHeight="false" outlineLevel="0" collapsed="false">
      <c r="A395" s="51" t="str">
        <f aca="false">C_KPI_Benchmark!A395</f>
        <v>7.c-D6-12</v>
      </c>
      <c r="B395" s="52" t="str">
        <f aca="false">C_KPI_Benchmark!D395</f>
        <v>7.c</v>
      </c>
      <c r="C395" s="51" t="str">
        <f aca="false">C_KPI_Benchmark!E395</f>
        <v>Auto Report Generator Agent</v>
      </c>
      <c r="D395" s="52" t="str">
        <f aca="false">C_KPI_Benchmark!F395</f>
        <v>D6</v>
      </c>
      <c r="E395" s="51" t="str">
        <f aca="false">C_KPI_Benchmark!J395</f>
        <v>Solution code test coverage</v>
      </c>
      <c r="F395" s="52" t="str">
        <f aca="false">C_KPI_Benchmark!K395</f>
        <v>%</v>
      </c>
      <c r="G395" s="51" t="str">
        <f aca="false">C_KPI_Benchmark!L395</f>
        <v>Higher is better</v>
      </c>
      <c r="H395" s="53" t="n">
        <f aca="false">C_KPI_Benchmark!N395</f>
        <v>0.8</v>
      </c>
      <c r="I395" s="54" t="n">
        <f aca="false">IF(C_KPI_Benchmark!O395&lt;&gt;"",C_KPI_Benchmark!O395,IF(G395="Higher is better",H395*(1-A_Scoring_Model!$C$16),H395*(1+A_Scoring_Model!$C$16)))</f>
        <v>0.6</v>
      </c>
      <c r="J395" s="55"/>
      <c r="K395" s="55"/>
      <c r="L395" s="55"/>
      <c r="M395" s="55"/>
      <c r="N395" s="56" t="str">
        <f aca="false">IF(J395="","",IF($H395=$I395,IF(OR(AND($G395="Higher is better",J395&gt;=$H395),AND($G395="Lower is better",J395&lt;=$H395)),A_Scoring_Model!$C$14,0),IF($G395="Higher is better",IF(J395&gt;=$H395,A_Scoring_Model!$C$14,IF(J395&lt;$I395,0,A_Scoring_Model!$C$15+(A_Scoring_Model!$C$14-A_Scoring_Model!$C$15)*(J395-$I395)/($H395-$I395))),IF(J395&lt;=$H395,A_Scoring_Model!$C$14,IF(J395&gt;$I395,0,A_Scoring_Model!$C$15+(A_Scoring_Model!$C$14-A_Scoring_Model!$C$15)*($I395-J395)/($I395-$H395))))))</f>
        <v/>
      </c>
      <c r="O395" s="56" t="str">
        <f aca="false">IF(K395="","",IF($H395=$I395,IF(OR(AND($G395="Higher is better",K395&gt;=$H395),AND($G395="Lower is better",K395&lt;=$H395)),A_Scoring_Model!$C$14,0),IF($G395="Higher is better",IF(K395&gt;=$H395,A_Scoring_Model!$C$14,IF(K395&lt;$I395,0,A_Scoring_Model!$C$15+(A_Scoring_Model!$C$14-A_Scoring_Model!$C$15)*(K395-$I395)/($H395-$I395))),IF(K395&lt;=$H395,A_Scoring_Model!$C$14,IF(K395&gt;$I395,0,A_Scoring_Model!$C$15+(A_Scoring_Model!$C$14-A_Scoring_Model!$C$15)*($I395-K395)/($I395-$H395))))))</f>
        <v/>
      </c>
      <c r="P395" s="56" t="str">
        <f aca="false">IF(L395="","",IF($H395=$I395,IF(OR(AND($G395="Higher is better",L395&gt;=$H395),AND($G395="Lower is better",L395&lt;=$H395)),A_Scoring_Model!$C$14,0),IF($G395="Higher is better",IF(L395&gt;=$H395,A_Scoring_Model!$C$14,IF(L395&lt;$I395,0,A_Scoring_Model!$C$15+(A_Scoring_Model!$C$14-A_Scoring_Model!$C$15)*(L395-$I395)/($H395-$I395))),IF(L395&lt;=$H395,A_Scoring_Model!$C$14,IF(L395&gt;$I395,0,A_Scoring_Model!$C$15+(A_Scoring_Model!$C$14-A_Scoring_Model!$C$15)*($I395-L395)/($I395-$H395))))))</f>
        <v/>
      </c>
      <c r="Q395" s="56" t="str">
        <f aca="false">IF(M395="","",IF($H395=$I395,IF(OR(AND($G395="Higher is better",M395&gt;=$H395),AND($G395="Lower is better",M395&lt;=$H395)),A_Scoring_Model!$C$14,0),IF($G395="Higher is better",IF(M395&gt;=$H395,A_Scoring_Model!$C$14,IF(M395&lt;$I395,0,A_Scoring_Model!$C$15+(A_Scoring_Model!$C$14-A_Scoring_Model!$C$15)*(M395-$I395)/($H395-$I395))),IF(M395&lt;=$H395,A_Scoring_Model!$C$14,IF(M395&gt;$I395,0,A_Scoring_Model!$C$15+(A_Scoring_Model!$C$14-A_Scoring_Model!$C$15)*($I395-M395)/($I395-$H395))))))</f>
        <v/>
      </c>
    </row>
    <row r="396" customFormat="false" ht="15" hidden="false" customHeight="false" outlineLevel="0" collapsed="false">
      <c r="A396" s="51" t="str">
        <f aca="false">C_KPI_Benchmark!A396</f>
        <v>7.c-D6-13</v>
      </c>
      <c r="B396" s="52" t="str">
        <f aca="false">C_KPI_Benchmark!D396</f>
        <v>7.c</v>
      </c>
      <c r="C396" s="51" t="str">
        <f aca="false">C_KPI_Benchmark!E396</f>
        <v>Auto Report Generator Agent</v>
      </c>
      <c r="D396" s="52" t="str">
        <f aca="false">C_KPI_Benchmark!F396</f>
        <v>D6</v>
      </c>
      <c r="E396" s="51" t="str">
        <f aca="false">C_KPI_Benchmark!J396</f>
        <v>Review Shield critical findings</v>
      </c>
      <c r="F396" s="52" t="str">
        <f aca="false">C_KPI_Benchmark!K396</f>
        <v>count</v>
      </c>
      <c r="G396" s="51" t="str">
        <f aca="false">C_KPI_Benchmark!L396</f>
        <v>Lower is better</v>
      </c>
      <c r="H396" s="62" t="n">
        <f aca="false">C_KPI_Benchmark!N396</f>
        <v>0</v>
      </c>
      <c r="I396" s="63" t="n">
        <f aca="false">IF(C_KPI_Benchmark!O396&lt;&gt;"",C_KPI_Benchmark!O396,IF(G396="Higher is better",H396*(1-A_Scoring_Model!$C$16),H396*(1+A_Scoring_Model!$C$16)))</f>
        <v>0</v>
      </c>
      <c r="J396" s="64"/>
      <c r="K396" s="64"/>
      <c r="L396" s="64"/>
      <c r="M396" s="64"/>
      <c r="N396" s="56" t="str">
        <f aca="false">IF(J396="","",IF($H396=$I396,IF(OR(AND($G396="Higher is better",J396&gt;=$H396),AND($G396="Lower is better",J396&lt;=$H396)),A_Scoring_Model!$C$14,0),IF($G396="Higher is better",IF(J396&gt;=$H396,A_Scoring_Model!$C$14,IF(J396&lt;$I396,0,A_Scoring_Model!$C$15+(A_Scoring_Model!$C$14-A_Scoring_Model!$C$15)*(J396-$I396)/($H396-$I396))),IF(J396&lt;=$H396,A_Scoring_Model!$C$14,IF(J396&gt;$I396,0,A_Scoring_Model!$C$15+(A_Scoring_Model!$C$14-A_Scoring_Model!$C$15)*($I396-J396)/($I396-$H396))))))</f>
        <v/>
      </c>
      <c r="O396" s="56" t="str">
        <f aca="false">IF(K396="","",IF($H396=$I396,IF(OR(AND($G396="Higher is better",K396&gt;=$H396),AND($G396="Lower is better",K396&lt;=$H396)),A_Scoring_Model!$C$14,0),IF($G396="Higher is better",IF(K396&gt;=$H396,A_Scoring_Model!$C$14,IF(K396&lt;$I396,0,A_Scoring_Model!$C$15+(A_Scoring_Model!$C$14-A_Scoring_Model!$C$15)*(K396-$I396)/($H396-$I396))),IF(K396&lt;=$H396,A_Scoring_Model!$C$14,IF(K396&gt;$I396,0,A_Scoring_Model!$C$15+(A_Scoring_Model!$C$14-A_Scoring_Model!$C$15)*($I396-K396)/($I396-$H396))))))</f>
        <v/>
      </c>
      <c r="P396" s="56" t="str">
        <f aca="false">IF(L396="","",IF($H396=$I396,IF(OR(AND($G396="Higher is better",L396&gt;=$H396),AND($G396="Lower is better",L396&lt;=$H396)),A_Scoring_Model!$C$14,0),IF($G396="Higher is better",IF(L396&gt;=$H396,A_Scoring_Model!$C$14,IF(L396&lt;$I396,0,A_Scoring_Model!$C$15+(A_Scoring_Model!$C$14-A_Scoring_Model!$C$15)*(L396-$I396)/($H396-$I396))),IF(L396&lt;=$H396,A_Scoring_Model!$C$14,IF(L396&gt;$I396,0,A_Scoring_Model!$C$15+(A_Scoring_Model!$C$14-A_Scoring_Model!$C$15)*($I396-L396)/($I396-$H396))))))</f>
        <v/>
      </c>
      <c r="Q396" s="56" t="str">
        <f aca="false">IF(M396="","",IF($H396=$I396,IF(OR(AND($G396="Higher is better",M396&gt;=$H396),AND($G396="Lower is better",M396&lt;=$H396)),A_Scoring_Model!$C$14,0),IF($G396="Higher is better",IF(M396&gt;=$H396,A_Scoring_Model!$C$14,IF(M396&lt;$I396,0,A_Scoring_Model!$C$15+(A_Scoring_Model!$C$14-A_Scoring_Model!$C$15)*(M396-$I396)/($H396-$I396))),IF(M396&lt;=$H396,A_Scoring_Model!$C$14,IF(M396&gt;$I396,0,A_Scoring_Model!$C$15+(A_Scoring_Model!$C$14-A_Scoring_Model!$C$15)*($I396-M396)/($I396-$H396))))))</f>
        <v/>
      </c>
    </row>
    <row r="397" customFormat="false" ht="15" hidden="false" customHeight="false" outlineLevel="0" collapsed="false">
      <c r="A397" s="51" t="str">
        <f aca="false">C_KPI_Benchmark!A397</f>
        <v>7.c-D6-14</v>
      </c>
      <c r="B397" s="52" t="str">
        <f aca="false">C_KPI_Benchmark!D397</f>
        <v>7.c</v>
      </c>
      <c r="C397" s="51" t="str">
        <f aca="false">C_KPI_Benchmark!E397</f>
        <v>Auto Report Generator Agent</v>
      </c>
      <c r="D397" s="52" t="str">
        <f aca="false">C_KPI_Benchmark!F397</f>
        <v>D6</v>
      </c>
      <c r="E397" s="51" t="str">
        <f aca="false">C_KPI_Benchmark!J397</f>
        <v>SAST high findings and exposed secrets</v>
      </c>
      <c r="F397" s="52" t="str">
        <f aca="false">C_KPI_Benchmark!K397</f>
        <v>count</v>
      </c>
      <c r="G397" s="51" t="str">
        <f aca="false">C_KPI_Benchmark!L397</f>
        <v>Lower is better</v>
      </c>
      <c r="H397" s="62" t="n">
        <f aca="false">C_KPI_Benchmark!N397</f>
        <v>0</v>
      </c>
      <c r="I397" s="63" t="n">
        <f aca="false">IF(C_KPI_Benchmark!O397&lt;&gt;"",C_KPI_Benchmark!O397,IF(G397="Higher is better",H397*(1-A_Scoring_Model!$C$16),H397*(1+A_Scoring_Model!$C$16)))</f>
        <v>0</v>
      </c>
      <c r="J397" s="64"/>
      <c r="K397" s="64"/>
      <c r="L397" s="64"/>
      <c r="M397" s="64"/>
      <c r="N397" s="56" t="str">
        <f aca="false">IF(J397="","",IF($H397=$I397,IF(OR(AND($G397="Higher is better",J397&gt;=$H397),AND($G397="Lower is better",J397&lt;=$H397)),A_Scoring_Model!$C$14,0),IF($G397="Higher is better",IF(J397&gt;=$H397,A_Scoring_Model!$C$14,IF(J397&lt;$I397,0,A_Scoring_Model!$C$15+(A_Scoring_Model!$C$14-A_Scoring_Model!$C$15)*(J397-$I397)/($H397-$I397))),IF(J397&lt;=$H397,A_Scoring_Model!$C$14,IF(J397&gt;$I397,0,A_Scoring_Model!$C$15+(A_Scoring_Model!$C$14-A_Scoring_Model!$C$15)*($I397-J397)/($I397-$H397))))))</f>
        <v/>
      </c>
      <c r="O397" s="56" t="str">
        <f aca="false">IF(K397="","",IF($H397=$I397,IF(OR(AND($G397="Higher is better",K397&gt;=$H397),AND($G397="Lower is better",K397&lt;=$H397)),A_Scoring_Model!$C$14,0),IF($G397="Higher is better",IF(K397&gt;=$H397,A_Scoring_Model!$C$14,IF(K397&lt;$I397,0,A_Scoring_Model!$C$15+(A_Scoring_Model!$C$14-A_Scoring_Model!$C$15)*(K397-$I397)/($H397-$I397))),IF(K397&lt;=$H397,A_Scoring_Model!$C$14,IF(K397&gt;$I397,0,A_Scoring_Model!$C$15+(A_Scoring_Model!$C$14-A_Scoring_Model!$C$15)*($I397-K397)/($I397-$H397))))))</f>
        <v/>
      </c>
      <c r="P397" s="56" t="str">
        <f aca="false">IF(L397="","",IF($H397=$I397,IF(OR(AND($G397="Higher is better",L397&gt;=$H397),AND($G397="Lower is better",L397&lt;=$H397)),A_Scoring_Model!$C$14,0),IF($G397="Higher is better",IF(L397&gt;=$H397,A_Scoring_Model!$C$14,IF(L397&lt;$I397,0,A_Scoring_Model!$C$15+(A_Scoring_Model!$C$14-A_Scoring_Model!$C$15)*(L397-$I397)/($H397-$I397))),IF(L397&lt;=$H397,A_Scoring_Model!$C$14,IF(L397&gt;$I397,0,A_Scoring_Model!$C$15+(A_Scoring_Model!$C$14-A_Scoring_Model!$C$15)*($I397-L397)/($I397-$H397))))))</f>
        <v/>
      </c>
      <c r="Q397" s="56" t="str">
        <f aca="false">IF(M397="","",IF($H397=$I397,IF(OR(AND($G397="Higher is better",M397&gt;=$H397),AND($G397="Lower is better",M397&lt;=$H397)),A_Scoring_Model!$C$14,0),IF($G397="Higher is better",IF(M397&gt;=$H397,A_Scoring_Model!$C$14,IF(M397&lt;$I397,0,A_Scoring_Model!$C$15+(A_Scoring_Model!$C$14-A_Scoring_Model!$C$15)*(M397-$I397)/($H397-$I397))),IF(M397&lt;=$H397,A_Scoring_Model!$C$14,IF(M397&gt;$I397,0,A_Scoring_Model!$C$15+(A_Scoring_Model!$C$14-A_Scoring_Model!$C$15)*($I397-M397)/($I397-$H397))))))</f>
        <v/>
      </c>
    </row>
    <row r="398" customFormat="false" ht="23.85" hidden="false" customHeight="false" outlineLevel="0" collapsed="false">
      <c r="A398" s="51" t="str">
        <f aca="false">C_KPI_Benchmark!A398</f>
        <v>7.c-D6-15</v>
      </c>
      <c r="B398" s="52" t="str">
        <f aca="false">C_KPI_Benchmark!D398</f>
        <v>7.c</v>
      </c>
      <c r="C398" s="51" t="str">
        <f aca="false">C_KPI_Benchmark!E398</f>
        <v>Auto Report Generator Agent</v>
      </c>
      <c r="D398" s="52" t="str">
        <f aca="false">C_KPI_Benchmark!F398</f>
        <v>D6</v>
      </c>
      <c r="E398" s="51" t="str">
        <f aca="false">C_KPI_Benchmark!J398</f>
        <v>Documentation pack complete (README, I/O contract, model card, runbook)</v>
      </c>
      <c r="F398" s="52" t="str">
        <f aca="false">C_KPI_Benchmark!K398</f>
        <v>Yes/No</v>
      </c>
      <c r="G398" s="51" t="str">
        <f aca="false">C_KPI_Benchmark!L398</f>
        <v>Higher is better</v>
      </c>
      <c r="H398" s="60" t="n">
        <f aca="false">C_KPI_Benchmark!N398</f>
        <v>1</v>
      </c>
      <c r="I398" s="56" t="n">
        <f aca="false">IF(C_KPI_Benchmark!O398&lt;&gt;"",C_KPI_Benchmark!O398,IF(G398="Higher is better",H398*(1-A_Scoring_Model!$C$16),H398*(1+A_Scoring_Model!$C$16)))</f>
        <v>0.8</v>
      </c>
      <c r="J398" s="61"/>
      <c r="K398" s="61"/>
      <c r="L398" s="61"/>
      <c r="M398" s="61"/>
      <c r="N398" s="56" t="str">
        <f aca="false">IF(J398="","",IF($H398=$I398,IF(OR(AND($G398="Higher is better",J398&gt;=$H398),AND($G398="Lower is better",J398&lt;=$H398)),A_Scoring_Model!$C$14,0),IF($G398="Higher is better",IF(J398&gt;=$H398,A_Scoring_Model!$C$14,IF(J398&lt;$I398,0,A_Scoring_Model!$C$15+(A_Scoring_Model!$C$14-A_Scoring_Model!$C$15)*(J398-$I398)/($H398-$I398))),IF(J398&lt;=$H398,A_Scoring_Model!$C$14,IF(J398&gt;$I398,0,A_Scoring_Model!$C$15+(A_Scoring_Model!$C$14-A_Scoring_Model!$C$15)*($I398-J398)/($I398-$H398))))))</f>
        <v/>
      </c>
      <c r="O398" s="56" t="str">
        <f aca="false">IF(K398="","",IF($H398=$I398,IF(OR(AND($G398="Higher is better",K398&gt;=$H398),AND($G398="Lower is better",K398&lt;=$H398)),A_Scoring_Model!$C$14,0),IF($G398="Higher is better",IF(K398&gt;=$H398,A_Scoring_Model!$C$14,IF(K398&lt;$I398,0,A_Scoring_Model!$C$15+(A_Scoring_Model!$C$14-A_Scoring_Model!$C$15)*(K398-$I398)/($H398-$I398))),IF(K398&lt;=$H398,A_Scoring_Model!$C$14,IF(K398&gt;$I398,0,A_Scoring_Model!$C$15+(A_Scoring_Model!$C$14-A_Scoring_Model!$C$15)*($I398-K398)/($I398-$H398))))))</f>
        <v/>
      </c>
      <c r="P398" s="56" t="str">
        <f aca="false">IF(L398="","",IF($H398=$I398,IF(OR(AND($G398="Higher is better",L398&gt;=$H398),AND($G398="Lower is better",L398&lt;=$H398)),A_Scoring_Model!$C$14,0),IF($G398="Higher is better",IF(L398&gt;=$H398,A_Scoring_Model!$C$14,IF(L398&lt;$I398,0,A_Scoring_Model!$C$15+(A_Scoring_Model!$C$14-A_Scoring_Model!$C$15)*(L398-$I398)/($H398-$I398))),IF(L398&lt;=$H398,A_Scoring_Model!$C$14,IF(L398&gt;$I398,0,A_Scoring_Model!$C$15+(A_Scoring_Model!$C$14-A_Scoring_Model!$C$15)*($I398-L398)/($I398-$H398))))))</f>
        <v/>
      </c>
      <c r="Q398" s="56" t="str">
        <f aca="false">IF(M398="","",IF($H398=$I398,IF(OR(AND($G398="Higher is better",M398&gt;=$H398),AND($G398="Lower is better",M398&lt;=$H398)),A_Scoring_Model!$C$14,0),IF($G398="Higher is better",IF(M398&gt;=$H398,A_Scoring_Model!$C$14,IF(M398&lt;$I398,0,A_Scoring_Model!$C$15+(A_Scoring_Model!$C$14-A_Scoring_Model!$C$15)*(M398-$I398)/($H398-$I398))),IF(M398&lt;=$H398,A_Scoring_Model!$C$14,IF(M398&gt;$I398,0,A_Scoring_Model!$C$15+(A_Scoring_Model!$C$14-A_Scoring_Model!$C$15)*($I398-M398)/($I398-$H398))))))</f>
        <v/>
      </c>
    </row>
    <row r="399" customFormat="false" ht="15" hidden="false" customHeight="false" outlineLevel="0" collapsed="false">
      <c r="A399" s="51" t="str">
        <f aca="false">C_KPI_Benchmark!A399</f>
        <v>7.c-D6-16</v>
      </c>
      <c r="B399" s="52" t="str">
        <f aca="false">C_KPI_Benchmark!D399</f>
        <v>7.c</v>
      </c>
      <c r="C399" s="51" t="str">
        <f aca="false">C_KPI_Benchmark!E399</f>
        <v>Auto Report Generator Agent</v>
      </c>
      <c r="D399" s="52" t="str">
        <f aca="false">C_KPI_Benchmark!F399</f>
        <v>D6</v>
      </c>
      <c r="E399" s="51" t="str">
        <f aca="false">C_KPI_Benchmark!J399</f>
        <v>Named owner and support SLA</v>
      </c>
      <c r="F399" s="52" t="str">
        <f aca="false">C_KPI_Benchmark!K399</f>
        <v>Yes/No</v>
      </c>
      <c r="G399" s="51" t="str">
        <f aca="false">C_KPI_Benchmark!L399</f>
        <v>Higher is better</v>
      </c>
      <c r="H399" s="60" t="n">
        <f aca="false">C_KPI_Benchmark!N399</f>
        <v>1</v>
      </c>
      <c r="I399" s="56" t="n">
        <f aca="false">IF(C_KPI_Benchmark!O399&lt;&gt;"",C_KPI_Benchmark!O399,IF(G399="Higher is better",H399*(1-A_Scoring_Model!$C$16),H399*(1+A_Scoring_Model!$C$16)))</f>
        <v>0.8</v>
      </c>
      <c r="J399" s="61"/>
      <c r="K399" s="61"/>
      <c r="L399" s="61"/>
      <c r="M399" s="61"/>
      <c r="N399" s="56" t="str">
        <f aca="false">IF(J399="","",IF($H399=$I399,IF(OR(AND($G399="Higher is better",J399&gt;=$H399),AND($G399="Lower is better",J399&lt;=$H399)),A_Scoring_Model!$C$14,0),IF($G399="Higher is better",IF(J399&gt;=$H399,A_Scoring_Model!$C$14,IF(J399&lt;$I399,0,A_Scoring_Model!$C$15+(A_Scoring_Model!$C$14-A_Scoring_Model!$C$15)*(J399-$I399)/($H399-$I399))),IF(J399&lt;=$H399,A_Scoring_Model!$C$14,IF(J399&gt;$I399,0,A_Scoring_Model!$C$15+(A_Scoring_Model!$C$14-A_Scoring_Model!$C$15)*($I399-J399)/($I399-$H399))))))</f>
        <v/>
      </c>
      <c r="O399" s="56" t="str">
        <f aca="false">IF(K399="","",IF($H399=$I399,IF(OR(AND($G399="Higher is better",K399&gt;=$H399),AND($G399="Lower is better",K399&lt;=$H399)),A_Scoring_Model!$C$14,0),IF($G399="Higher is better",IF(K399&gt;=$H399,A_Scoring_Model!$C$14,IF(K399&lt;$I399,0,A_Scoring_Model!$C$15+(A_Scoring_Model!$C$14-A_Scoring_Model!$C$15)*(K399-$I399)/($H399-$I399))),IF(K399&lt;=$H399,A_Scoring_Model!$C$14,IF(K399&gt;$I399,0,A_Scoring_Model!$C$15+(A_Scoring_Model!$C$14-A_Scoring_Model!$C$15)*($I399-K399)/($I399-$H399))))))</f>
        <v/>
      </c>
      <c r="P399" s="56" t="str">
        <f aca="false">IF(L399="","",IF($H399=$I399,IF(OR(AND($G399="Higher is better",L399&gt;=$H399),AND($G399="Lower is better",L399&lt;=$H399)),A_Scoring_Model!$C$14,0),IF($G399="Higher is better",IF(L399&gt;=$H399,A_Scoring_Model!$C$14,IF(L399&lt;$I399,0,A_Scoring_Model!$C$15+(A_Scoring_Model!$C$14-A_Scoring_Model!$C$15)*(L399-$I399)/($H399-$I399))),IF(L399&lt;=$H399,A_Scoring_Model!$C$14,IF(L399&gt;$I399,0,A_Scoring_Model!$C$15+(A_Scoring_Model!$C$14-A_Scoring_Model!$C$15)*($I399-L399)/($I399-$H399))))))</f>
        <v/>
      </c>
      <c r="Q399" s="56" t="str">
        <f aca="false">IF(M399="","",IF($H399=$I399,IF(OR(AND($G399="Higher is better",M399&gt;=$H399),AND($G399="Lower is better",M399&lt;=$H399)),A_Scoring_Model!$C$14,0),IF($G399="Higher is better",IF(M399&gt;=$H399,A_Scoring_Model!$C$14,IF(M399&lt;$I399,0,A_Scoring_Model!$C$15+(A_Scoring_Model!$C$14-A_Scoring_Model!$C$15)*(M399-$I399)/($H399-$I399))),IF(M399&lt;=$H399,A_Scoring_Model!$C$14,IF(M399&gt;$I399,0,A_Scoring_Model!$C$15+(A_Scoring_Model!$C$14-A_Scoring_Model!$C$15)*($I399-M399)/($I399-$H399))))))</f>
        <v/>
      </c>
    </row>
    <row r="400" customFormat="false" ht="15" hidden="false" customHeight="false" outlineLevel="0" collapsed="false">
      <c r="A400" s="51" t="str">
        <f aca="false">C_KPI_Benchmark!A400</f>
        <v>8.a-D1-01</v>
      </c>
      <c r="B400" s="52" t="str">
        <f aca="false">C_KPI_Benchmark!D400</f>
        <v>8.a</v>
      </c>
      <c r="C400" s="51" t="str">
        <f aca="false">C_KPI_Benchmark!E400</f>
        <v>Exit Criteria Evaluator Agent</v>
      </c>
      <c r="D400" s="52" t="str">
        <f aca="false">C_KPI_Benchmark!F400</f>
        <v>D1</v>
      </c>
      <c r="E400" s="51" t="str">
        <f aca="false">C_KPI_Benchmark!J400</f>
        <v>Deterministic criterion evaluation accuracy</v>
      </c>
      <c r="F400" s="52" t="str">
        <f aca="false">C_KPI_Benchmark!K400</f>
        <v>%</v>
      </c>
      <c r="G400" s="51" t="str">
        <f aca="false">C_KPI_Benchmark!L400</f>
        <v>Higher is better</v>
      </c>
      <c r="H400" s="53" t="n">
        <f aca="false">C_KPI_Benchmark!N400</f>
        <v>1</v>
      </c>
      <c r="I400" s="54" t="n">
        <f aca="false">IF(C_KPI_Benchmark!O400&lt;&gt;"",C_KPI_Benchmark!O400,IF(G400="Higher is better",H400*(1-A_Scoring_Model!$C$16),H400*(1+A_Scoring_Model!$C$16)))</f>
        <v>1</v>
      </c>
      <c r="J400" s="55"/>
      <c r="K400" s="55"/>
      <c r="L400" s="55"/>
      <c r="M400" s="55"/>
      <c r="N400" s="56" t="str">
        <f aca="false">IF(J400="","",IF($H400=$I400,IF(OR(AND($G400="Higher is better",J400&gt;=$H400),AND($G400="Lower is better",J400&lt;=$H400)),A_Scoring_Model!$C$14,0),IF($G400="Higher is better",IF(J400&gt;=$H400,A_Scoring_Model!$C$14,IF(J400&lt;$I400,0,A_Scoring_Model!$C$15+(A_Scoring_Model!$C$14-A_Scoring_Model!$C$15)*(J400-$I400)/($H400-$I400))),IF(J400&lt;=$H400,A_Scoring_Model!$C$14,IF(J400&gt;$I400,0,A_Scoring_Model!$C$15+(A_Scoring_Model!$C$14-A_Scoring_Model!$C$15)*($I400-J400)/($I400-$H400))))))</f>
        <v/>
      </c>
      <c r="O400" s="56" t="str">
        <f aca="false">IF(K400="","",IF($H400=$I400,IF(OR(AND($G400="Higher is better",K400&gt;=$H400),AND($G400="Lower is better",K400&lt;=$H400)),A_Scoring_Model!$C$14,0),IF($G400="Higher is better",IF(K400&gt;=$H400,A_Scoring_Model!$C$14,IF(K400&lt;$I400,0,A_Scoring_Model!$C$15+(A_Scoring_Model!$C$14-A_Scoring_Model!$C$15)*(K400-$I400)/($H400-$I400))),IF(K400&lt;=$H400,A_Scoring_Model!$C$14,IF(K400&gt;$I400,0,A_Scoring_Model!$C$15+(A_Scoring_Model!$C$14-A_Scoring_Model!$C$15)*($I400-K400)/($I400-$H400))))))</f>
        <v/>
      </c>
      <c r="P400" s="56" t="str">
        <f aca="false">IF(L400="","",IF($H400=$I400,IF(OR(AND($G400="Higher is better",L400&gt;=$H400),AND($G400="Lower is better",L400&lt;=$H400)),A_Scoring_Model!$C$14,0),IF($G400="Higher is better",IF(L400&gt;=$H400,A_Scoring_Model!$C$14,IF(L400&lt;$I400,0,A_Scoring_Model!$C$15+(A_Scoring_Model!$C$14-A_Scoring_Model!$C$15)*(L400-$I400)/($H400-$I400))),IF(L400&lt;=$H400,A_Scoring_Model!$C$14,IF(L400&gt;$I400,0,A_Scoring_Model!$C$15+(A_Scoring_Model!$C$14-A_Scoring_Model!$C$15)*($I400-L400)/($I400-$H400))))))</f>
        <v/>
      </c>
      <c r="Q400" s="56" t="str">
        <f aca="false">IF(M400="","",IF($H400=$I400,IF(OR(AND($G400="Higher is better",M400&gt;=$H400),AND($G400="Lower is better",M400&lt;=$H400)),A_Scoring_Model!$C$14,0),IF($G400="Higher is better",IF(M400&gt;=$H400,A_Scoring_Model!$C$14,IF(M400&lt;$I400,0,A_Scoring_Model!$C$15+(A_Scoring_Model!$C$14-A_Scoring_Model!$C$15)*(M400-$I400)/($H400-$I400))),IF(M400&lt;=$H400,A_Scoring_Model!$C$14,IF(M400&gt;$I400,0,A_Scoring_Model!$C$15+(A_Scoring_Model!$C$14-A_Scoring_Model!$C$15)*($I400-M400)/($I400-$H400))))))</f>
        <v/>
      </c>
    </row>
    <row r="401" customFormat="false" ht="15" hidden="false" customHeight="false" outlineLevel="0" collapsed="false">
      <c r="A401" s="51" t="str">
        <f aca="false">C_KPI_Benchmark!A401</f>
        <v>8.a-D1-02</v>
      </c>
      <c r="B401" s="52" t="str">
        <f aca="false">C_KPI_Benchmark!D401</f>
        <v>8.a</v>
      </c>
      <c r="C401" s="51" t="str">
        <f aca="false">C_KPI_Benchmark!E401</f>
        <v>Exit Criteria Evaluator Agent</v>
      </c>
      <c r="D401" s="52" t="str">
        <f aca="false">C_KPI_Benchmark!F401</f>
        <v>D1</v>
      </c>
      <c r="E401" s="51" t="str">
        <f aca="false">C_KPI_Benchmark!J401</f>
        <v>Waiver recommendation agreement with CCB</v>
      </c>
      <c r="F401" s="52" t="str">
        <f aca="false">C_KPI_Benchmark!K401</f>
        <v>%</v>
      </c>
      <c r="G401" s="51" t="str">
        <f aca="false">C_KPI_Benchmark!L401</f>
        <v>Higher is better</v>
      </c>
      <c r="H401" s="53" t="n">
        <f aca="false">C_KPI_Benchmark!N401</f>
        <v>0.85</v>
      </c>
      <c r="I401" s="54" t="n">
        <f aca="false">IF(C_KPI_Benchmark!O401&lt;&gt;"",C_KPI_Benchmark!O401,IF(G401="Higher is better",H401*(1-A_Scoring_Model!$C$16),H401*(1+A_Scoring_Model!$C$16)))</f>
        <v>0.7</v>
      </c>
      <c r="J401" s="55"/>
      <c r="K401" s="55"/>
      <c r="L401" s="55"/>
      <c r="M401" s="55"/>
      <c r="N401" s="56" t="str">
        <f aca="false">IF(J401="","",IF($H401=$I401,IF(OR(AND($G401="Higher is better",J401&gt;=$H401),AND($G401="Lower is better",J401&lt;=$H401)),A_Scoring_Model!$C$14,0),IF($G401="Higher is better",IF(J401&gt;=$H401,A_Scoring_Model!$C$14,IF(J401&lt;$I401,0,A_Scoring_Model!$C$15+(A_Scoring_Model!$C$14-A_Scoring_Model!$C$15)*(J401-$I401)/($H401-$I401))),IF(J401&lt;=$H401,A_Scoring_Model!$C$14,IF(J401&gt;$I401,0,A_Scoring_Model!$C$15+(A_Scoring_Model!$C$14-A_Scoring_Model!$C$15)*($I401-J401)/($I401-$H401))))))</f>
        <v/>
      </c>
      <c r="O401" s="56" t="str">
        <f aca="false">IF(K401="","",IF($H401=$I401,IF(OR(AND($G401="Higher is better",K401&gt;=$H401),AND($G401="Lower is better",K401&lt;=$H401)),A_Scoring_Model!$C$14,0),IF($G401="Higher is better",IF(K401&gt;=$H401,A_Scoring_Model!$C$14,IF(K401&lt;$I401,0,A_Scoring_Model!$C$15+(A_Scoring_Model!$C$14-A_Scoring_Model!$C$15)*(K401-$I401)/($H401-$I401))),IF(K401&lt;=$H401,A_Scoring_Model!$C$14,IF(K401&gt;$I401,0,A_Scoring_Model!$C$15+(A_Scoring_Model!$C$14-A_Scoring_Model!$C$15)*($I401-K401)/($I401-$H401))))))</f>
        <v/>
      </c>
      <c r="P401" s="56" t="str">
        <f aca="false">IF(L401="","",IF($H401=$I401,IF(OR(AND($G401="Higher is better",L401&gt;=$H401),AND($G401="Lower is better",L401&lt;=$H401)),A_Scoring_Model!$C$14,0),IF($G401="Higher is better",IF(L401&gt;=$H401,A_Scoring_Model!$C$14,IF(L401&lt;$I401,0,A_Scoring_Model!$C$15+(A_Scoring_Model!$C$14-A_Scoring_Model!$C$15)*(L401-$I401)/($H401-$I401))),IF(L401&lt;=$H401,A_Scoring_Model!$C$14,IF(L401&gt;$I401,0,A_Scoring_Model!$C$15+(A_Scoring_Model!$C$14-A_Scoring_Model!$C$15)*($I401-L401)/($I401-$H401))))))</f>
        <v/>
      </c>
      <c r="Q401" s="56" t="str">
        <f aca="false">IF(M401="","",IF($H401=$I401,IF(OR(AND($G401="Higher is better",M401&gt;=$H401),AND($G401="Lower is better",M401&lt;=$H401)),A_Scoring_Model!$C$14,0),IF($G401="Higher is better",IF(M401&gt;=$H401,A_Scoring_Model!$C$14,IF(M401&lt;$I401,0,A_Scoring_Model!$C$15+(A_Scoring_Model!$C$14-A_Scoring_Model!$C$15)*(M401-$I401)/($H401-$I401))),IF(M401&lt;=$H401,A_Scoring_Model!$C$14,IF(M401&gt;$I401,0,A_Scoring_Model!$C$15+(A_Scoring_Model!$C$14-A_Scoring_Model!$C$15)*($I401-M401)/($I401-$H401))))))</f>
        <v/>
      </c>
    </row>
    <row r="402" customFormat="false" ht="15" hidden="false" customHeight="false" outlineLevel="0" collapsed="false">
      <c r="A402" s="51" t="str">
        <f aca="false">C_KPI_Benchmark!A402</f>
        <v>8.a-D2-03</v>
      </c>
      <c r="B402" s="52" t="str">
        <f aca="false">C_KPI_Benchmark!D402</f>
        <v>8.a</v>
      </c>
      <c r="C402" s="51" t="str">
        <f aca="false">C_KPI_Benchmark!E402</f>
        <v>Exit Criteria Evaluator Agent</v>
      </c>
      <c r="D402" s="52" t="str">
        <f aca="false">C_KPI_Benchmark!F402</f>
        <v>D2</v>
      </c>
      <c r="E402" s="51" t="str">
        <f aca="false">C_KPI_Benchmark!J402</f>
        <v>Criteria DSL shared; per-program YAML</v>
      </c>
      <c r="F402" s="52" t="str">
        <f aca="false">C_KPI_Benchmark!K402</f>
        <v>Yes/No</v>
      </c>
      <c r="G402" s="51" t="str">
        <f aca="false">C_KPI_Benchmark!L402</f>
        <v>Higher is better</v>
      </c>
      <c r="H402" s="60" t="n">
        <f aca="false">C_KPI_Benchmark!N402</f>
        <v>1</v>
      </c>
      <c r="I402" s="56" t="n">
        <f aca="false">IF(C_KPI_Benchmark!O402&lt;&gt;"",C_KPI_Benchmark!O402,IF(G402="Higher is better",H402*(1-A_Scoring_Model!$C$16),H402*(1+A_Scoring_Model!$C$16)))</f>
        <v>0.8</v>
      </c>
      <c r="J402" s="61"/>
      <c r="K402" s="61"/>
      <c r="L402" s="61"/>
      <c r="M402" s="61"/>
      <c r="N402" s="56" t="str">
        <f aca="false">IF(J402="","",IF($H402=$I402,IF(OR(AND($G402="Higher is better",J402&gt;=$H402),AND($G402="Lower is better",J402&lt;=$H402)),A_Scoring_Model!$C$14,0),IF($G402="Higher is better",IF(J402&gt;=$H402,A_Scoring_Model!$C$14,IF(J402&lt;$I402,0,A_Scoring_Model!$C$15+(A_Scoring_Model!$C$14-A_Scoring_Model!$C$15)*(J402-$I402)/($H402-$I402))),IF(J402&lt;=$H402,A_Scoring_Model!$C$14,IF(J402&gt;$I402,0,A_Scoring_Model!$C$15+(A_Scoring_Model!$C$14-A_Scoring_Model!$C$15)*($I402-J402)/($I402-$H402))))))</f>
        <v/>
      </c>
      <c r="O402" s="56" t="str">
        <f aca="false">IF(K402="","",IF($H402=$I402,IF(OR(AND($G402="Higher is better",K402&gt;=$H402),AND($G402="Lower is better",K402&lt;=$H402)),A_Scoring_Model!$C$14,0),IF($G402="Higher is better",IF(K402&gt;=$H402,A_Scoring_Model!$C$14,IF(K402&lt;$I402,0,A_Scoring_Model!$C$15+(A_Scoring_Model!$C$14-A_Scoring_Model!$C$15)*(K402-$I402)/($H402-$I402))),IF(K402&lt;=$H402,A_Scoring_Model!$C$14,IF(K402&gt;$I402,0,A_Scoring_Model!$C$15+(A_Scoring_Model!$C$14-A_Scoring_Model!$C$15)*($I402-K402)/($I402-$H402))))))</f>
        <v/>
      </c>
      <c r="P402" s="56" t="str">
        <f aca="false">IF(L402="","",IF($H402=$I402,IF(OR(AND($G402="Higher is better",L402&gt;=$H402),AND($G402="Lower is better",L402&lt;=$H402)),A_Scoring_Model!$C$14,0),IF($G402="Higher is better",IF(L402&gt;=$H402,A_Scoring_Model!$C$14,IF(L402&lt;$I402,0,A_Scoring_Model!$C$15+(A_Scoring_Model!$C$14-A_Scoring_Model!$C$15)*(L402-$I402)/($H402-$I402))),IF(L402&lt;=$H402,A_Scoring_Model!$C$14,IF(L402&gt;$I402,0,A_Scoring_Model!$C$15+(A_Scoring_Model!$C$14-A_Scoring_Model!$C$15)*($I402-L402)/($I402-$H402))))))</f>
        <v/>
      </c>
      <c r="Q402" s="56" t="str">
        <f aca="false">IF(M402="","",IF($H402=$I402,IF(OR(AND($G402="Higher is better",M402&gt;=$H402),AND($G402="Lower is better",M402&lt;=$H402)),A_Scoring_Model!$C$14,0),IF($G402="Higher is better",IF(M402&gt;=$H402,A_Scoring_Model!$C$14,IF(M402&lt;$I402,0,A_Scoring_Model!$C$15+(A_Scoring_Model!$C$14-A_Scoring_Model!$C$15)*(M402-$I402)/($H402-$I402))),IF(M402&lt;=$H402,A_Scoring_Model!$C$14,IF(M402&gt;$I402,0,A_Scoring_Model!$C$15+(A_Scoring_Model!$C$14-A_Scoring_Model!$C$15)*($I402-M402)/($I402-$H402))))))</f>
        <v/>
      </c>
    </row>
    <row r="403" customFormat="false" ht="23.85" hidden="false" customHeight="false" outlineLevel="0" collapsed="false">
      <c r="A403" s="51" t="str">
        <f aca="false">C_KPI_Benchmark!A403</f>
        <v>8.a-D2-04</v>
      </c>
      <c r="B403" s="52" t="str">
        <f aca="false">C_KPI_Benchmark!D403</f>
        <v>8.a</v>
      </c>
      <c r="C403" s="51" t="str">
        <f aca="false">C_KPI_Benchmark!E403</f>
        <v>Exit Criteria Evaluator Agent</v>
      </c>
      <c r="D403" s="52" t="str">
        <f aca="false">C_KPI_Benchmark!F403</f>
        <v>D2</v>
      </c>
      <c r="E403" s="51" t="str">
        <f aca="false">C_KPI_Benchmark!J403</f>
        <v>Product lines supported with ≤10% efficacy drop (NVMe SSD, UFS, eMMC/uSD, PSSD)</v>
      </c>
      <c r="F403" s="52" t="str">
        <f aca="false">C_KPI_Benchmark!K403</f>
        <v>count</v>
      </c>
      <c r="G403" s="51" t="str">
        <f aca="false">C_KPI_Benchmark!L403</f>
        <v>Higher is better</v>
      </c>
      <c r="H403" s="62" t="n">
        <f aca="false">C_KPI_Benchmark!N403</f>
        <v>3</v>
      </c>
      <c r="I403" s="63" t="n">
        <f aca="false">IF(C_KPI_Benchmark!O403&lt;&gt;"",C_KPI_Benchmark!O403,IF(G403="Higher is better",H403*(1-A_Scoring_Model!$C$16),H403*(1+A_Scoring_Model!$C$16)))</f>
        <v>2</v>
      </c>
      <c r="J403" s="64"/>
      <c r="K403" s="64"/>
      <c r="L403" s="64"/>
      <c r="M403" s="64"/>
      <c r="N403" s="56" t="str">
        <f aca="false">IF(J403="","",IF($H403=$I403,IF(OR(AND($G403="Higher is better",J403&gt;=$H403),AND($G403="Lower is better",J403&lt;=$H403)),A_Scoring_Model!$C$14,0),IF($G403="Higher is better",IF(J403&gt;=$H403,A_Scoring_Model!$C$14,IF(J403&lt;$I403,0,A_Scoring_Model!$C$15+(A_Scoring_Model!$C$14-A_Scoring_Model!$C$15)*(J403-$I403)/($H403-$I403))),IF(J403&lt;=$H403,A_Scoring_Model!$C$14,IF(J403&gt;$I403,0,A_Scoring_Model!$C$15+(A_Scoring_Model!$C$14-A_Scoring_Model!$C$15)*($I403-J403)/($I403-$H403))))))</f>
        <v/>
      </c>
      <c r="O403" s="56" t="str">
        <f aca="false">IF(K403="","",IF($H403=$I403,IF(OR(AND($G403="Higher is better",K403&gt;=$H403),AND($G403="Lower is better",K403&lt;=$H403)),A_Scoring_Model!$C$14,0),IF($G403="Higher is better",IF(K403&gt;=$H403,A_Scoring_Model!$C$14,IF(K403&lt;$I403,0,A_Scoring_Model!$C$15+(A_Scoring_Model!$C$14-A_Scoring_Model!$C$15)*(K403-$I403)/($H403-$I403))),IF(K403&lt;=$H403,A_Scoring_Model!$C$14,IF(K403&gt;$I403,0,A_Scoring_Model!$C$15+(A_Scoring_Model!$C$14-A_Scoring_Model!$C$15)*($I403-K403)/($I403-$H403))))))</f>
        <v/>
      </c>
      <c r="P403" s="56" t="str">
        <f aca="false">IF(L403="","",IF($H403=$I403,IF(OR(AND($G403="Higher is better",L403&gt;=$H403),AND($G403="Lower is better",L403&lt;=$H403)),A_Scoring_Model!$C$14,0),IF($G403="Higher is better",IF(L403&gt;=$H403,A_Scoring_Model!$C$14,IF(L403&lt;$I403,0,A_Scoring_Model!$C$15+(A_Scoring_Model!$C$14-A_Scoring_Model!$C$15)*(L403-$I403)/($H403-$I403))),IF(L403&lt;=$H403,A_Scoring_Model!$C$14,IF(L403&gt;$I403,0,A_Scoring_Model!$C$15+(A_Scoring_Model!$C$14-A_Scoring_Model!$C$15)*($I403-L403)/($I403-$H403))))))</f>
        <v/>
      </c>
      <c r="Q403" s="56" t="str">
        <f aca="false">IF(M403="","",IF($H403=$I403,IF(OR(AND($G403="Higher is better",M403&gt;=$H403),AND($G403="Lower is better",M403&lt;=$H403)),A_Scoring_Model!$C$14,0),IF($G403="Higher is better",IF(M403&gt;=$H403,A_Scoring_Model!$C$14,IF(M403&lt;$I403,0,A_Scoring_Model!$C$15+(A_Scoring_Model!$C$14-A_Scoring_Model!$C$15)*(M403-$I403)/($H403-$I403))),IF(M403&lt;=$H403,A_Scoring_Model!$C$14,IF(M403&gt;$I403,0,A_Scoring_Model!$C$15+(A_Scoring_Model!$C$14-A_Scoring_Model!$C$15)*($I403-M403)/($I403-$H403))))))</f>
        <v/>
      </c>
    </row>
    <row r="404" customFormat="false" ht="15" hidden="false" customHeight="false" outlineLevel="0" collapsed="false">
      <c r="A404" s="51" t="str">
        <f aca="false">C_KPI_Benchmark!A404</f>
        <v>8.a-D2-05</v>
      </c>
      <c r="B404" s="52" t="str">
        <f aca="false">C_KPI_Benchmark!D404</f>
        <v>8.a</v>
      </c>
      <c r="C404" s="51" t="str">
        <f aca="false">C_KPI_Benchmark!E404</f>
        <v>Exit Criteria Evaluator Agent</v>
      </c>
      <c r="D404" s="52" t="str">
        <f aca="false">C_KPI_Benchmark!F404</f>
        <v>D2</v>
      </c>
      <c r="E404" s="51" t="str">
        <f aca="false">C_KPI_Benchmark!J404</f>
        <v>Uses Zion shared services instead of re-implementing them</v>
      </c>
      <c r="F404" s="52" t="str">
        <f aca="false">C_KPI_Benchmark!K404</f>
        <v>Yes/No</v>
      </c>
      <c r="G404" s="51" t="str">
        <f aca="false">C_KPI_Benchmark!L404</f>
        <v>Higher is better</v>
      </c>
      <c r="H404" s="60" t="n">
        <f aca="false">C_KPI_Benchmark!N404</f>
        <v>1</v>
      </c>
      <c r="I404" s="56" t="n">
        <f aca="false">IF(C_KPI_Benchmark!O404&lt;&gt;"",C_KPI_Benchmark!O404,IF(G404="Higher is better",H404*(1-A_Scoring_Model!$C$16),H404*(1+A_Scoring_Model!$C$16)))</f>
        <v>0.8</v>
      </c>
      <c r="J404" s="61"/>
      <c r="K404" s="61"/>
      <c r="L404" s="61"/>
      <c r="M404" s="61"/>
      <c r="N404" s="56" t="str">
        <f aca="false">IF(J404="","",IF($H404=$I404,IF(OR(AND($G404="Higher is better",J404&gt;=$H404),AND($G404="Lower is better",J404&lt;=$H404)),A_Scoring_Model!$C$14,0),IF($G404="Higher is better",IF(J404&gt;=$H404,A_Scoring_Model!$C$14,IF(J404&lt;$I404,0,A_Scoring_Model!$C$15+(A_Scoring_Model!$C$14-A_Scoring_Model!$C$15)*(J404-$I404)/($H404-$I404))),IF(J404&lt;=$H404,A_Scoring_Model!$C$14,IF(J404&gt;$I404,0,A_Scoring_Model!$C$15+(A_Scoring_Model!$C$14-A_Scoring_Model!$C$15)*($I404-J404)/($I404-$H404))))))</f>
        <v/>
      </c>
      <c r="O404" s="56" t="str">
        <f aca="false">IF(K404="","",IF($H404=$I404,IF(OR(AND($G404="Higher is better",K404&gt;=$H404),AND($G404="Lower is better",K404&lt;=$H404)),A_Scoring_Model!$C$14,0),IF($G404="Higher is better",IF(K404&gt;=$H404,A_Scoring_Model!$C$14,IF(K404&lt;$I404,0,A_Scoring_Model!$C$15+(A_Scoring_Model!$C$14-A_Scoring_Model!$C$15)*(K404-$I404)/($H404-$I404))),IF(K404&lt;=$H404,A_Scoring_Model!$C$14,IF(K404&gt;$I404,0,A_Scoring_Model!$C$15+(A_Scoring_Model!$C$14-A_Scoring_Model!$C$15)*($I404-K404)/($I404-$H404))))))</f>
        <v/>
      </c>
      <c r="P404" s="56" t="str">
        <f aca="false">IF(L404="","",IF($H404=$I404,IF(OR(AND($G404="Higher is better",L404&gt;=$H404),AND($G404="Lower is better",L404&lt;=$H404)),A_Scoring_Model!$C$14,0),IF($G404="Higher is better",IF(L404&gt;=$H404,A_Scoring_Model!$C$14,IF(L404&lt;$I404,0,A_Scoring_Model!$C$15+(A_Scoring_Model!$C$14-A_Scoring_Model!$C$15)*(L404-$I404)/($H404-$I404))),IF(L404&lt;=$H404,A_Scoring_Model!$C$14,IF(L404&gt;$I404,0,A_Scoring_Model!$C$15+(A_Scoring_Model!$C$14-A_Scoring_Model!$C$15)*($I404-L404)/($I404-$H404))))))</f>
        <v/>
      </c>
      <c r="Q404" s="56" t="str">
        <f aca="false">IF(M404="","",IF($H404=$I404,IF(OR(AND($G404="Higher is better",M404&gt;=$H404),AND($G404="Lower is better",M404&lt;=$H404)),A_Scoring_Model!$C$14,0),IF($G404="Higher is better",IF(M404&gt;=$H404,A_Scoring_Model!$C$14,IF(M404&lt;$I404,0,A_Scoring_Model!$C$15+(A_Scoring_Model!$C$14-A_Scoring_Model!$C$15)*(M404-$I404)/($H404-$I404))),IF(M404&lt;=$H404,A_Scoring_Model!$C$14,IF(M404&gt;$I404,0,A_Scoring_Model!$C$15+(A_Scoring_Model!$C$14-A_Scoring_Model!$C$15)*($I404-M404)/($I404-$H404))))))</f>
        <v/>
      </c>
    </row>
    <row r="405" customFormat="false" ht="15" hidden="false" customHeight="false" outlineLevel="0" collapsed="false">
      <c r="A405" s="51" t="str">
        <f aca="false">C_KPI_Benchmark!A405</f>
        <v>8.a-D3-06</v>
      </c>
      <c r="B405" s="52" t="str">
        <f aca="false">C_KPI_Benchmark!D405</f>
        <v>8.a</v>
      </c>
      <c r="C405" s="51" t="str">
        <f aca="false">C_KPI_Benchmark!E405</f>
        <v>Exit Criteria Evaluator Agent</v>
      </c>
      <c r="D405" s="52" t="str">
        <f aca="false">C_KPI_Benchmark!F405</f>
        <v>D3</v>
      </c>
      <c r="E405" s="51" t="str">
        <f aca="false">C_KPI_Benchmark!J405</f>
        <v>Evaluation time</v>
      </c>
      <c r="F405" s="52" t="str">
        <f aca="false">C_KPI_Benchmark!K405</f>
        <v>min</v>
      </c>
      <c r="G405" s="51" t="str">
        <f aca="false">C_KPI_Benchmark!L405</f>
        <v>Lower is better</v>
      </c>
      <c r="H405" s="62" t="n">
        <f aca="false">C_KPI_Benchmark!N405</f>
        <v>1</v>
      </c>
      <c r="I405" s="63" t="n">
        <f aca="false">IF(C_KPI_Benchmark!O405&lt;&gt;"",C_KPI_Benchmark!O405,IF(G405="Higher is better",H405*(1-A_Scoring_Model!$C$16),H405*(1+A_Scoring_Model!$C$16)))</f>
        <v>1.2</v>
      </c>
      <c r="J405" s="64"/>
      <c r="K405" s="64"/>
      <c r="L405" s="64"/>
      <c r="M405" s="64"/>
      <c r="N405" s="56" t="str">
        <f aca="false">IF(J405="","",IF($H405=$I405,IF(OR(AND($G405="Higher is better",J405&gt;=$H405),AND($G405="Lower is better",J405&lt;=$H405)),A_Scoring_Model!$C$14,0),IF($G405="Higher is better",IF(J405&gt;=$H405,A_Scoring_Model!$C$14,IF(J405&lt;$I405,0,A_Scoring_Model!$C$15+(A_Scoring_Model!$C$14-A_Scoring_Model!$C$15)*(J405-$I405)/($H405-$I405))),IF(J405&lt;=$H405,A_Scoring_Model!$C$14,IF(J405&gt;$I405,0,A_Scoring_Model!$C$15+(A_Scoring_Model!$C$14-A_Scoring_Model!$C$15)*($I405-J405)/($I405-$H405))))))</f>
        <v/>
      </c>
      <c r="O405" s="56" t="str">
        <f aca="false">IF(K405="","",IF($H405=$I405,IF(OR(AND($G405="Higher is better",K405&gt;=$H405),AND($G405="Lower is better",K405&lt;=$H405)),A_Scoring_Model!$C$14,0),IF($G405="Higher is better",IF(K405&gt;=$H405,A_Scoring_Model!$C$14,IF(K405&lt;$I405,0,A_Scoring_Model!$C$15+(A_Scoring_Model!$C$14-A_Scoring_Model!$C$15)*(K405-$I405)/($H405-$I405))),IF(K405&lt;=$H405,A_Scoring_Model!$C$14,IF(K405&gt;$I405,0,A_Scoring_Model!$C$15+(A_Scoring_Model!$C$14-A_Scoring_Model!$C$15)*($I405-K405)/($I405-$H405))))))</f>
        <v/>
      </c>
      <c r="P405" s="56" t="str">
        <f aca="false">IF(L405="","",IF($H405=$I405,IF(OR(AND($G405="Higher is better",L405&gt;=$H405),AND($G405="Lower is better",L405&lt;=$H405)),A_Scoring_Model!$C$14,0),IF($G405="Higher is better",IF(L405&gt;=$H405,A_Scoring_Model!$C$14,IF(L405&lt;$I405,0,A_Scoring_Model!$C$15+(A_Scoring_Model!$C$14-A_Scoring_Model!$C$15)*(L405-$I405)/($H405-$I405))),IF(L405&lt;=$H405,A_Scoring_Model!$C$14,IF(L405&gt;$I405,0,A_Scoring_Model!$C$15+(A_Scoring_Model!$C$14-A_Scoring_Model!$C$15)*($I405-L405)/($I405-$H405))))))</f>
        <v/>
      </c>
      <c r="Q405" s="56" t="str">
        <f aca="false">IF(M405="","",IF($H405=$I405,IF(OR(AND($G405="Higher is better",M405&gt;=$H405),AND($G405="Lower is better",M405&lt;=$H405)),A_Scoring_Model!$C$14,0),IF($G405="Higher is better",IF(M405&gt;=$H405,A_Scoring_Model!$C$14,IF(M405&lt;$I405,0,A_Scoring_Model!$C$15+(A_Scoring_Model!$C$14-A_Scoring_Model!$C$15)*(M405-$I405)/($H405-$I405))),IF(M405&lt;=$H405,A_Scoring_Model!$C$14,IF(M405&gt;$I405,0,A_Scoring_Model!$C$15+(A_Scoring_Model!$C$14-A_Scoring_Model!$C$15)*($I405-M405)/($I405-$H405))))))</f>
        <v/>
      </c>
    </row>
    <row r="406" customFormat="false" ht="15" hidden="false" customHeight="false" outlineLevel="0" collapsed="false">
      <c r="A406" s="51" t="str">
        <f aca="false">C_KPI_Benchmark!A406</f>
        <v>8.a-D3-07</v>
      </c>
      <c r="B406" s="52" t="str">
        <f aca="false">C_KPI_Benchmark!D406</f>
        <v>8.a</v>
      </c>
      <c r="C406" s="51" t="str">
        <f aca="false">C_KPI_Benchmark!E406</f>
        <v>Exit Criteria Evaluator Agent</v>
      </c>
      <c r="D406" s="52" t="str">
        <f aca="false">C_KPI_Benchmark!F406</f>
        <v>D3</v>
      </c>
      <c r="E406" s="51" t="str">
        <f aca="false">C_KPI_Benchmark!J406</f>
        <v>Latency degradation at 10× load</v>
      </c>
      <c r="F406" s="52" t="str">
        <f aca="false">C_KPI_Benchmark!K406</f>
        <v>%</v>
      </c>
      <c r="G406" s="51" t="str">
        <f aca="false">C_KPI_Benchmark!L406</f>
        <v>Lower is better</v>
      </c>
      <c r="H406" s="53" t="n">
        <f aca="false">C_KPI_Benchmark!N406</f>
        <v>0.2</v>
      </c>
      <c r="I406" s="54" t="n">
        <f aca="false">IF(C_KPI_Benchmark!O406&lt;&gt;"",C_KPI_Benchmark!O406,IF(G406="Higher is better",H406*(1-A_Scoring_Model!$C$16),H406*(1+A_Scoring_Model!$C$16)))</f>
        <v>0.4</v>
      </c>
      <c r="J406" s="55"/>
      <c r="K406" s="55"/>
      <c r="L406" s="55"/>
      <c r="M406" s="55"/>
      <c r="N406" s="56" t="str">
        <f aca="false">IF(J406="","",IF($H406=$I406,IF(OR(AND($G406="Higher is better",J406&gt;=$H406),AND($G406="Lower is better",J406&lt;=$H406)),A_Scoring_Model!$C$14,0),IF($G406="Higher is better",IF(J406&gt;=$H406,A_Scoring_Model!$C$14,IF(J406&lt;$I406,0,A_Scoring_Model!$C$15+(A_Scoring_Model!$C$14-A_Scoring_Model!$C$15)*(J406-$I406)/($H406-$I406))),IF(J406&lt;=$H406,A_Scoring_Model!$C$14,IF(J406&gt;$I406,0,A_Scoring_Model!$C$15+(A_Scoring_Model!$C$14-A_Scoring_Model!$C$15)*($I406-J406)/($I406-$H406))))))</f>
        <v/>
      </c>
      <c r="O406" s="56" t="str">
        <f aca="false">IF(K406="","",IF($H406=$I406,IF(OR(AND($G406="Higher is better",K406&gt;=$H406),AND($G406="Lower is better",K406&lt;=$H406)),A_Scoring_Model!$C$14,0),IF($G406="Higher is better",IF(K406&gt;=$H406,A_Scoring_Model!$C$14,IF(K406&lt;$I406,0,A_Scoring_Model!$C$15+(A_Scoring_Model!$C$14-A_Scoring_Model!$C$15)*(K406-$I406)/($H406-$I406))),IF(K406&lt;=$H406,A_Scoring_Model!$C$14,IF(K406&gt;$I406,0,A_Scoring_Model!$C$15+(A_Scoring_Model!$C$14-A_Scoring_Model!$C$15)*($I406-K406)/($I406-$H406))))))</f>
        <v/>
      </c>
      <c r="P406" s="56" t="str">
        <f aca="false">IF(L406="","",IF($H406=$I406,IF(OR(AND($G406="Higher is better",L406&gt;=$H406),AND($G406="Lower is better",L406&lt;=$H406)),A_Scoring_Model!$C$14,0),IF($G406="Higher is better",IF(L406&gt;=$H406,A_Scoring_Model!$C$14,IF(L406&lt;$I406,0,A_Scoring_Model!$C$15+(A_Scoring_Model!$C$14-A_Scoring_Model!$C$15)*(L406-$I406)/($H406-$I406))),IF(L406&lt;=$H406,A_Scoring_Model!$C$14,IF(L406&gt;$I406,0,A_Scoring_Model!$C$15+(A_Scoring_Model!$C$14-A_Scoring_Model!$C$15)*($I406-L406)/($I406-$H406))))))</f>
        <v/>
      </c>
      <c r="Q406" s="56" t="str">
        <f aca="false">IF(M406="","",IF($H406=$I406,IF(OR(AND($G406="Higher is better",M406&gt;=$H406),AND($G406="Lower is better",M406&lt;=$H406)),A_Scoring_Model!$C$14,0),IF($G406="Higher is better",IF(M406&gt;=$H406,A_Scoring_Model!$C$14,IF(M406&lt;$I406,0,A_Scoring_Model!$C$15+(A_Scoring_Model!$C$14-A_Scoring_Model!$C$15)*(M406-$I406)/($H406-$I406))),IF(M406&lt;=$H406,A_Scoring_Model!$C$14,IF(M406&gt;$I406,0,A_Scoring_Model!$C$15+(A_Scoring_Model!$C$14-A_Scoring_Model!$C$15)*($I406-M406)/($I406-$H406))))))</f>
        <v/>
      </c>
    </row>
    <row r="407" customFormat="false" ht="15" hidden="false" customHeight="false" outlineLevel="0" collapsed="false">
      <c r="A407" s="51" t="str">
        <f aca="false">C_KPI_Benchmark!A407</f>
        <v>8.a-D4-08</v>
      </c>
      <c r="B407" s="52" t="str">
        <f aca="false">C_KPI_Benchmark!D407</f>
        <v>8.a</v>
      </c>
      <c r="C407" s="51" t="str">
        <f aca="false">C_KPI_Benchmark!E407</f>
        <v>Exit Criteria Evaluator Agent</v>
      </c>
      <c r="D407" s="52" t="str">
        <f aca="false">C_KPI_Benchmark!F407</f>
        <v>D4</v>
      </c>
      <c r="E407" s="51" t="str">
        <f aca="false">C_KPI_Benchmark!J407</f>
        <v>Decisions with full audit trail</v>
      </c>
      <c r="F407" s="52" t="str">
        <f aca="false">C_KPI_Benchmark!K407</f>
        <v>%</v>
      </c>
      <c r="G407" s="51" t="str">
        <f aca="false">C_KPI_Benchmark!L407</f>
        <v>Higher is better</v>
      </c>
      <c r="H407" s="53" t="n">
        <f aca="false">C_KPI_Benchmark!N407</f>
        <v>1</v>
      </c>
      <c r="I407" s="54" t="n">
        <f aca="false">IF(C_KPI_Benchmark!O407&lt;&gt;"",C_KPI_Benchmark!O407,IF(G407="Higher is better",H407*(1-A_Scoring_Model!$C$16),H407*(1+A_Scoring_Model!$C$16)))</f>
        <v>0.8</v>
      </c>
      <c r="J407" s="55"/>
      <c r="K407" s="55"/>
      <c r="L407" s="55"/>
      <c r="M407" s="55"/>
      <c r="N407" s="56" t="str">
        <f aca="false">IF(J407="","",IF($H407=$I407,IF(OR(AND($G407="Higher is better",J407&gt;=$H407),AND($G407="Lower is better",J407&lt;=$H407)),A_Scoring_Model!$C$14,0),IF($G407="Higher is better",IF(J407&gt;=$H407,A_Scoring_Model!$C$14,IF(J407&lt;$I407,0,A_Scoring_Model!$C$15+(A_Scoring_Model!$C$14-A_Scoring_Model!$C$15)*(J407-$I407)/($H407-$I407))),IF(J407&lt;=$H407,A_Scoring_Model!$C$14,IF(J407&gt;$I407,0,A_Scoring_Model!$C$15+(A_Scoring_Model!$C$14-A_Scoring_Model!$C$15)*($I407-J407)/($I407-$H407))))))</f>
        <v/>
      </c>
      <c r="O407" s="56" t="str">
        <f aca="false">IF(K407="","",IF($H407=$I407,IF(OR(AND($G407="Higher is better",K407&gt;=$H407),AND($G407="Lower is better",K407&lt;=$H407)),A_Scoring_Model!$C$14,0),IF($G407="Higher is better",IF(K407&gt;=$H407,A_Scoring_Model!$C$14,IF(K407&lt;$I407,0,A_Scoring_Model!$C$15+(A_Scoring_Model!$C$14-A_Scoring_Model!$C$15)*(K407-$I407)/($H407-$I407))),IF(K407&lt;=$H407,A_Scoring_Model!$C$14,IF(K407&gt;$I407,0,A_Scoring_Model!$C$15+(A_Scoring_Model!$C$14-A_Scoring_Model!$C$15)*($I407-K407)/($I407-$H407))))))</f>
        <v/>
      </c>
      <c r="P407" s="56" t="str">
        <f aca="false">IF(L407="","",IF($H407=$I407,IF(OR(AND($G407="Higher is better",L407&gt;=$H407),AND($G407="Lower is better",L407&lt;=$H407)),A_Scoring_Model!$C$14,0),IF($G407="Higher is better",IF(L407&gt;=$H407,A_Scoring_Model!$C$14,IF(L407&lt;$I407,0,A_Scoring_Model!$C$15+(A_Scoring_Model!$C$14-A_Scoring_Model!$C$15)*(L407-$I407)/($H407-$I407))),IF(L407&lt;=$H407,A_Scoring_Model!$C$14,IF(L407&gt;$I407,0,A_Scoring_Model!$C$15+(A_Scoring_Model!$C$14-A_Scoring_Model!$C$15)*($I407-L407)/($I407-$H407))))))</f>
        <v/>
      </c>
      <c r="Q407" s="56" t="str">
        <f aca="false">IF(M407="","",IF($H407=$I407,IF(OR(AND($G407="Higher is better",M407&gt;=$H407),AND($G407="Lower is better",M407&lt;=$H407)),A_Scoring_Model!$C$14,0),IF($G407="Higher is better",IF(M407&gt;=$H407,A_Scoring_Model!$C$14,IF(M407&lt;$I407,0,A_Scoring_Model!$C$15+(A_Scoring_Model!$C$14-A_Scoring_Model!$C$15)*(M407-$I407)/($H407-$I407))),IF(M407&lt;=$H407,A_Scoring_Model!$C$14,IF(M407&gt;$I407,0,A_Scoring_Model!$C$15+(A_Scoring_Model!$C$14-A_Scoring_Model!$C$15)*($I407-M407)/($I407-$H407))))))</f>
        <v/>
      </c>
    </row>
    <row r="408" customFormat="false" ht="15" hidden="false" customHeight="false" outlineLevel="0" collapsed="false">
      <c r="A408" s="51" t="str">
        <f aca="false">C_KPI_Benchmark!A408</f>
        <v>8.a-D4-09</v>
      </c>
      <c r="B408" s="52" t="str">
        <f aca="false">C_KPI_Benchmark!D408</f>
        <v>8.a</v>
      </c>
      <c r="C408" s="51" t="str">
        <f aca="false">C_KPI_Benchmark!E408</f>
        <v>Exit Criteria Evaluator Agent</v>
      </c>
      <c r="D408" s="52" t="str">
        <f aca="false">C_KPI_Benchmark!F408</f>
        <v>D4</v>
      </c>
      <c r="E408" s="51" t="str">
        <f aca="false">C_KPI_Benchmark!J408</f>
        <v>Service availability</v>
      </c>
      <c r="F408" s="52" t="str">
        <f aca="false">C_KPI_Benchmark!K408</f>
        <v>%</v>
      </c>
      <c r="G408" s="51" t="str">
        <f aca="false">C_KPI_Benchmark!L408</f>
        <v>Higher is better</v>
      </c>
      <c r="H408" s="53" t="n">
        <f aca="false">C_KPI_Benchmark!N408</f>
        <v>0.995</v>
      </c>
      <c r="I408" s="54" t="n">
        <f aca="false">IF(C_KPI_Benchmark!O408&lt;&gt;"",C_KPI_Benchmark!O408,IF(G408="Higher is better",H408*(1-A_Scoring_Model!$C$16),H408*(1+A_Scoring_Model!$C$16)))</f>
        <v>0.99</v>
      </c>
      <c r="J408" s="55"/>
      <c r="K408" s="55"/>
      <c r="L408" s="55"/>
      <c r="M408" s="55"/>
      <c r="N408" s="56" t="str">
        <f aca="false">IF(J408="","",IF($H408=$I408,IF(OR(AND($G408="Higher is better",J408&gt;=$H408),AND($G408="Lower is better",J408&lt;=$H408)),A_Scoring_Model!$C$14,0),IF($G408="Higher is better",IF(J408&gt;=$H408,A_Scoring_Model!$C$14,IF(J408&lt;$I408,0,A_Scoring_Model!$C$15+(A_Scoring_Model!$C$14-A_Scoring_Model!$C$15)*(J408-$I408)/($H408-$I408))),IF(J408&lt;=$H408,A_Scoring_Model!$C$14,IF(J408&gt;$I408,0,A_Scoring_Model!$C$15+(A_Scoring_Model!$C$14-A_Scoring_Model!$C$15)*($I408-J408)/($I408-$H408))))))</f>
        <v/>
      </c>
      <c r="O408" s="56" t="str">
        <f aca="false">IF(K408="","",IF($H408=$I408,IF(OR(AND($G408="Higher is better",K408&gt;=$H408),AND($G408="Lower is better",K408&lt;=$H408)),A_Scoring_Model!$C$14,0),IF($G408="Higher is better",IF(K408&gt;=$H408,A_Scoring_Model!$C$14,IF(K408&lt;$I408,0,A_Scoring_Model!$C$15+(A_Scoring_Model!$C$14-A_Scoring_Model!$C$15)*(K408-$I408)/($H408-$I408))),IF(K408&lt;=$H408,A_Scoring_Model!$C$14,IF(K408&gt;$I408,0,A_Scoring_Model!$C$15+(A_Scoring_Model!$C$14-A_Scoring_Model!$C$15)*($I408-K408)/($I408-$H408))))))</f>
        <v/>
      </c>
      <c r="P408" s="56" t="str">
        <f aca="false">IF(L408="","",IF($H408=$I408,IF(OR(AND($G408="Higher is better",L408&gt;=$H408),AND($G408="Lower is better",L408&lt;=$H408)),A_Scoring_Model!$C$14,0),IF($G408="Higher is better",IF(L408&gt;=$H408,A_Scoring_Model!$C$14,IF(L408&lt;$I408,0,A_Scoring_Model!$C$15+(A_Scoring_Model!$C$14-A_Scoring_Model!$C$15)*(L408-$I408)/($H408-$I408))),IF(L408&lt;=$H408,A_Scoring_Model!$C$14,IF(L408&gt;$I408,0,A_Scoring_Model!$C$15+(A_Scoring_Model!$C$14-A_Scoring_Model!$C$15)*($I408-L408)/($I408-$H408))))))</f>
        <v/>
      </c>
      <c r="Q408" s="56" t="str">
        <f aca="false">IF(M408="","",IF($H408=$I408,IF(OR(AND($G408="Higher is better",M408&gt;=$H408),AND($G408="Lower is better",M408&lt;=$H408)),A_Scoring_Model!$C$14,0),IF($G408="Higher is better",IF(M408&gt;=$H408,A_Scoring_Model!$C$14,IF(M408&lt;$I408,0,A_Scoring_Model!$C$15+(A_Scoring_Model!$C$14-A_Scoring_Model!$C$15)*(M408-$I408)/($H408-$I408))),IF(M408&lt;=$H408,A_Scoring_Model!$C$14,IF(M408&gt;$I408,0,A_Scoring_Model!$C$15+(A_Scoring_Model!$C$14-A_Scoring_Model!$C$15)*($I408-M408)/($I408-$H408))))))</f>
        <v/>
      </c>
    </row>
    <row r="409" customFormat="false" ht="15" hidden="false" customHeight="false" outlineLevel="0" collapsed="false">
      <c r="A409" s="51" t="str">
        <f aca="false">C_KPI_Benchmark!A409</f>
        <v>8.a-D5-10</v>
      </c>
      <c r="B409" s="52" t="str">
        <f aca="false">C_KPI_Benchmark!D409</f>
        <v>8.a</v>
      </c>
      <c r="C409" s="51" t="str">
        <f aca="false">C_KPI_Benchmark!E409</f>
        <v>Exit Criteria Evaluator Agent</v>
      </c>
      <c r="D409" s="52" t="str">
        <f aca="false">C_KPI_Benchmark!F409</f>
        <v>D5</v>
      </c>
      <c r="E409" s="51" t="str">
        <f aca="false">C_KPI_Benchmark!J409</f>
        <v>Sign-off cycle reduction</v>
      </c>
      <c r="F409" s="52" t="str">
        <f aca="false">C_KPI_Benchmark!K409</f>
        <v>%</v>
      </c>
      <c r="G409" s="51" t="str">
        <f aca="false">C_KPI_Benchmark!L409</f>
        <v>Higher is better</v>
      </c>
      <c r="H409" s="53" t="n">
        <f aca="false">C_KPI_Benchmark!N409</f>
        <v>0.5</v>
      </c>
      <c r="I409" s="54" t="n">
        <f aca="false">IF(C_KPI_Benchmark!O409&lt;&gt;"",C_KPI_Benchmark!O409,IF(G409="Higher is better",H409*(1-A_Scoring_Model!$C$16),H409*(1+A_Scoring_Model!$C$16)))</f>
        <v>0.4</v>
      </c>
      <c r="J409" s="55"/>
      <c r="K409" s="55"/>
      <c r="L409" s="55"/>
      <c r="M409" s="55"/>
      <c r="N409" s="56" t="str">
        <f aca="false">IF(J409="","",IF($H409=$I409,IF(OR(AND($G409="Higher is better",J409&gt;=$H409),AND($G409="Lower is better",J409&lt;=$H409)),A_Scoring_Model!$C$14,0),IF($G409="Higher is better",IF(J409&gt;=$H409,A_Scoring_Model!$C$14,IF(J409&lt;$I409,0,A_Scoring_Model!$C$15+(A_Scoring_Model!$C$14-A_Scoring_Model!$C$15)*(J409-$I409)/($H409-$I409))),IF(J409&lt;=$H409,A_Scoring_Model!$C$14,IF(J409&gt;$I409,0,A_Scoring_Model!$C$15+(A_Scoring_Model!$C$14-A_Scoring_Model!$C$15)*($I409-J409)/($I409-$H409))))))</f>
        <v/>
      </c>
      <c r="O409" s="56" t="str">
        <f aca="false">IF(K409="","",IF($H409=$I409,IF(OR(AND($G409="Higher is better",K409&gt;=$H409),AND($G409="Lower is better",K409&lt;=$H409)),A_Scoring_Model!$C$14,0),IF($G409="Higher is better",IF(K409&gt;=$H409,A_Scoring_Model!$C$14,IF(K409&lt;$I409,0,A_Scoring_Model!$C$15+(A_Scoring_Model!$C$14-A_Scoring_Model!$C$15)*(K409-$I409)/($H409-$I409))),IF(K409&lt;=$H409,A_Scoring_Model!$C$14,IF(K409&gt;$I409,0,A_Scoring_Model!$C$15+(A_Scoring_Model!$C$14-A_Scoring_Model!$C$15)*($I409-K409)/($I409-$H409))))))</f>
        <v/>
      </c>
      <c r="P409" s="56" t="str">
        <f aca="false">IF(L409="","",IF($H409=$I409,IF(OR(AND($G409="Higher is better",L409&gt;=$H409),AND($G409="Lower is better",L409&lt;=$H409)),A_Scoring_Model!$C$14,0),IF($G409="Higher is better",IF(L409&gt;=$H409,A_Scoring_Model!$C$14,IF(L409&lt;$I409,0,A_Scoring_Model!$C$15+(A_Scoring_Model!$C$14-A_Scoring_Model!$C$15)*(L409-$I409)/($H409-$I409))),IF(L409&lt;=$H409,A_Scoring_Model!$C$14,IF(L409&gt;$I409,0,A_Scoring_Model!$C$15+(A_Scoring_Model!$C$14-A_Scoring_Model!$C$15)*($I409-L409)/($I409-$H409))))))</f>
        <v/>
      </c>
      <c r="Q409" s="56" t="str">
        <f aca="false">IF(M409="","",IF($H409=$I409,IF(OR(AND($G409="Higher is better",M409&gt;=$H409),AND($G409="Lower is better",M409&lt;=$H409)),A_Scoring_Model!$C$14,0),IF($G409="Higher is better",IF(M409&gt;=$H409,A_Scoring_Model!$C$14,IF(M409&lt;$I409,0,A_Scoring_Model!$C$15+(A_Scoring_Model!$C$14-A_Scoring_Model!$C$15)*(M409-$I409)/($H409-$I409))),IF(M409&lt;=$H409,A_Scoring_Model!$C$14,IF(M409&gt;$I409,0,A_Scoring_Model!$C$15+(A_Scoring_Model!$C$14-A_Scoring_Model!$C$15)*($I409-M409)/($I409-$H409))))))</f>
        <v/>
      </c>
    </row>
    <row r="410" customFormat="false" ht="15" hidden="false" customHeight="false" outlineLevel="0" collapsed="false">
      <c r="A410" s="51" t="str">
        <f aca="false">C_KPI_Benchmark!A410</f>
        <v>8.a-D6-11</v>
      </c>
      <c r="B410" s="52" t="str">
        <f aca="false">C_KPI_Benchmark!D410</f>
        <v>8.a</v>
      </c>
      <c r="C410" s="51" t="str">
        <f aca="false">C_KPI_Benchmark!E410</f>
        <v>Exit Criteria Evaluator Agent</v>
      </c>
      <c r="D410" s="52" t="str">
        <f aca="false">C_KPI_Benchmark!F410</f>
        <v>D6</v>
      </c>
      <c r="E410" s="51" t="str">
        <f aca="false">C_KPI_Benchmark!J410</f>
        <v>Solution code test coverage</v>
      </c>
      <c r="F410" s="52" t="str">
        <f aca="false">C_KPI_Benchmark!K410</f>
        <v>%</v>
      </c>
      <c r="G410" s="51" t="str">
        <f aca="false">C_KPI_Benchmark!L410</f>
        <v>Higher is better</v>
      </c>
      <c r="H410" s="53" t="n">
        <f aca="false">C_KPI_Benchmark!N410</f>
        <v>0.8</v>
      </c>
      <c r="I410" s="54" t="n">
        <f aca="false">IF(C_KPI_Benchmark!O410&lt;&gt;"",C_KPI_Benchmark!O410,IF(G410="Higher is better",H410*(1-A_Scoring_Model!$C$16),H410*(1+A_Scoring_Model!$C$16)))</f>
        <v>0.6</v>
      </c>
      <c r="J410" s="55"/>
      <c r="K410" s="55"/>
      <c r="L410" s="55"/>
      <c r="M410" s="55"/>
      <c r="N410" s="56" t="str">
        <f aca="false">IF(J410="","",IF($H410=$I410,IF(OR(AND($G410="Higher is better",J410&gt;=$H410),AND($G410="Lower is better",J410&lt;=$H410)),A_Scoring_Model!$C$14,0),IF($G410="Higher is better",IF(J410&gt;=$H410,A_Scoring_Model!$C$14,IF(J410&lt;$I410,0,A_Scoring_Model!$C$15+(A_Scoring_Model!$C$14-A_Scoring_Model!$C$15)*(J410-$I410)/($H410-$I410))),IF(J410&lt;=$H410,A_Scoring_Model!$C$14,IF(J410&gt;$I410,0,A_Scoring_Model!$C$15+(A_Scoring_Model!$C$14-A_Scoring_Model!$C$15)*($I410-J410)/($I410-$H410))))))</f>
        <v/>
      </c>
      <c r="O410" s="56" t="str">
        <f aca="false">IF(K410="","",IF($H410=$I410,IF(OR(AND($G410="Higher is better",K410&gt;=$H410),AND($G410="Lower is better",K410&lt;=$H410)),A_Scoring_Model!$C$14,0),IF($G410="Higher is better",IF(K410&gt;=$H410,A_Scoring_Model!$C$14,IF(K410&lt;$I410,0,A_Scoring_Model!$C$15+(A_Scoring_Model!$C$14-A_Scoring_Model!$C$15)*(K410-$I410)/($H410-$I410))),IF(K410&lt;=$H410,A_Scoring_Model!$C$14,IF(K410&gt;$I410,0,A_Scoring_Model!$C$15+(A_Scoring_Model!$C$14-A_Scoring_Model!$C$15)*($I410-K410)/($I410-$H410))))))</f>
        <v/>
      </c>
      <c r="P410" s="56" t="str">
        <f aca="false">IF(L410="","",IF($H410=$I410,IF(OR(AND($G410="Higher is better",L410&gt;=$H410),AND($G410="Lower is better",L410&lt;=$H410)),A_Scoring_Model!$C$14,0),IF($G410="Higher is better",IF(L410&gt;=$H410,A_Scoring_Model!$C$14,IF(L410&lt;$I410,0,A_Scoring_Model!$C$15+(A_Scoring_Model!$C$14-A_Scoring_Model!$C$15)*(L410-$I410)/($H410-$I410))),IF(L410&lt;=$H410,A_Scoring_Model!$C$14,IF(L410&gt;$I410,0,A_Scoring_Model!$C$15+(A_Scoring_Model!$C$14-A_Scoring_Model!$C$15)*($I410-L410)/($I410-$H410))))))</f>
        <v/>
      </c>
      <c r="Q410" s="56" t="str">
        <f aca="false">IF(M410="","",IF($H410=$I410,IF(OR(AND($G410="Higher is better",M410&gt;=$H410),AND($G410="Lower is better",M410&lt;=$H410)),A_Scoring_Model!$C$14,0),IF($G410="Higher is better",IF(M410&gt;=$H410,A_Scoring_Model!$C$14,IF(M410&lt;$I410,0,A_Scoring_Model!$C$15+(A_Scoring_Model!$C$14-A_Scoring_Model!$C$15)*(M410-$I410)/($H410-$I410))),IF(M410&lt;=$H410,A_Scoring_Model!$C$14,IF(M410&gt;$I410,0,A_Scoring_Model!$C$15+(A_Scoring_Model!$C$14-A_Scoring_Model!$C$15)*($I410-M410)/($I410-$H410))))))</f>
        <v/>
      </c>
    </row>
    <row r="411" customFormat="false" ht="15" hidden="false" customHeight="false" outlineLevel="0" collapsed="false">
      <c r="A411" s="51" t="str">
        <f aca="false">C_KPI_Benchmark!A411</f>
        <v>8.a-D6-12</v>
      </c>
      <c r="B411" s="52" t="str">
        <f aca="false">C_KPI_Benchmark!D411</f>
        <v>8.a</v>
      </c>
      <c r="C411" s="51" t="str">
        <f aca="false">C_KPI_Benchmark!E411</f>
        <v>Exit Criteria Evaluator Agent</v>
      </c>
      <c r="D411" s="52" t="str">
        <f aca="false">C_KPI_Benchmark!F411</f>
        <v>D6</v>
      </c>
      <c r="E411" s="51" t="str">
        <f aca="false">C_KPI_Benchmark!J411</f>
        <v>Review Shield critical findings</v>
      </c>
      <c r="F411" s="52" t="str">
        <f aca="false">C_KPI_Benchmark!K411</f>
        <v>count</v>
      </c>
      <c r="G411" s="51" t="str">
        <f aca="false">C_KPI_Benchmark!L411</f>
        <v>Lower is better</v>
      </c>
      <c r="H411" s="62" t="n">
        <f aca="false">C_KPI_Benchmark!N411</f>
        <v>0</v>
      </c>
      <c r="I411" s="63" t="n">
        <f aca="false">IF(C_KPI_Benchmark!O411&lt;&gt;"",C_KPI_Benchmark!O411,IF(G411="Higher is better",H411*(1-A_Scoring_Model!$C$16),H411*(1+A_Scoring_Model!$C$16)))</f>
        <v>0</v>
      </c>
      <c r="J411" s="64"/>
      <c r="K411" s="64"/>
      <c r="L411" s="64"/>
      <c r="M411" s="64"/>
      <c r="N411" s="56" t="str">
        <f aca="false">IF(J411="","",IF($H411=$I411,IF(OR(AND($G411="Higher is better",J411&gt;=$H411),AND($G411="Lower is better",J411&lt;=$H411)),A_Scoring_Model!$C$14,0),IF($G411="Higher is better",IF(J411&gt;=$H411,A_Scoring_Model!$C$14,IF(J411&lt;$I411,0,A_Scoring_Model!$C$15+(A_Scoring_Model!$C$14-A_Scoring_Model!$C$15)*(J411-$I411)/($H411-$I411))),IF(J411&lt;=$H411,A_Scoring_Model!$C$14,IF(J411&gt;$I411,0,A_Scoring_Model!$C$15+(A_Scoring_Model!$C$14-A_Scoring_Model!$C$15)*($I411-J411)/($I411-$H411))))))</f>
        <v/>
      </c>
      <c r="O411" s="56" t="str">
        <f aca="false">IF(K411="","",IF($H411=$I411,IF(OR(AND($G411="Higher is better",K411&gt;=$H411),AND($G411="Lower is better",K411&lt;=$H411)),A_Scoring_Model!$C$14,0),IF($G411="Higher is better",IF(K411&gt;=$H411,A_Scoring_Model!$C$14,IF(K411&lt;$I411,0,A_Scoring_Model!$C$15+(A_Scoring_Model!$C$14-A_Scoring_Model!$C$15)*(K411-$I411)/($H411-$I411))),IF(K411&lt;=$H411,A_Scoring_Model!$C$14,IF(K411&gt;$I411,0,A_Scoring_Model!$C$15+(A_Scoring_Model!$C$14-A_Scoring_Model!$C$15)*($I411-K411)/($I411-$H411))))))</f>
        <v/>
      </c>
      <c r="P411" s="56" t="str">
        <f aca="false">IF(L411="","",IF($H411=$I411,IF(OR(AND($G411="Higher is better",L411&gt;=$H411),AND($G411="Lower is better",L411&lt;=$H411)),A_Scoring_Model!$C$14,0),IF($G411="Higher is better",IF(L411&gt;=$H411,A_Scoring_Model!$C$14,IF(L411&lt;$I411,0,A_Scoring_Model!$C$15+(A_Scoring_Model!$C$14-A_Scoring_Model!$C$15)*(L411-$I411)/($H411-$I411))),IF(L411&lt;=$H411,A_Scoring_Model!$C$14,IF(L411&gt;$I411,0,A_Scoring_Model!$C$15+(A_Scoring_Model!$C$14-A_Scoring_Model!$C$15)*($I411-L411)/($I411-$H411))))))</f>
        <v/>
      </c>
      <c r="Q411" s="56" t="str">
        <f aca="false">IF(M411="","",IF($H411=$I411,IF(OR(AND($G411="Higher is better",M411&gt;=$H411),AND($G411="Lower is better",M411&lt;=$H411)),A_Scoring_Model!$C$14,0),IF($G411="Higher is better",IF(M411&gt;=$H411,A_Scoring_Model!$C$14,IF(M411&lt;$I411,0,A_Scoring_Model!$C$15+(A_Scoring_Model!$C$14-A_Scoring_Model!$C$15)*(M411-$I411)/($H411-$I411))),IF(M411&lt;=$H411,A_Scoring_Model!$C$14,IF(M411&gt;$I411,0,A_Scoring_Model!$C$15+(A_Scoring_Model!$C$14-A_Scoring_Model!$C$15)*($I411-M411)/($I411-$H411))))))</f>
        <v/>
      </c>
    </row>
    <row r="412" customFormat="false" ht="15" hidden="false" customHeight="false" outlineLevel="0" collapsed="false">
      <c r="A412" s="51" t="str">
        <f aca="false">C_KPI_Benchmark!A412</f>
        <v>8.a-D6-13</v>
      </c>
      <c r="B412" s="52" t="str">
        <f aca="false">C_KPI_Benchmark!D412</f>
        <v>8.a</v>
      </c>
      <c r="C412" s="51" t="str">
        <f aca="false">C_KPI_Benchmark!E412</f>
        <v>Exit Criteria Evaluator Agent</v>
      </c>
      <c r="D412" s="52" t="str">
        <f aca="false">C_KPI_Benchmark!F412</f>
        <v>D6</v>
      </c>
      <c r="E412" s="51" t="str">
        <f aca="false">C_KPI_Benchmark!J412</f>
        <v>SAST high findings and exposed secrets</v>
      </c>
      <c r="F412" s="52" t="str">
        <f aca="false">C_KPI_Benchmark!K412</f>
        <v>count</v>
      </c>
      <c r="G412" s="51" t="str">
        <f aca="false">C_KPI_Benchmark!L412</f>
        <v>Lower is better</v>
      </c>
      <c r="H412" s="62" t="n">
        <f aca="false">C_KPI_Benchmark!N412</f>
        <v>0</v>
      </c>
      <c r="I412" s="63" t="n">
        <f aca="false">IF(C_KPI_Benchmark!O412&lt;&gt;"",C_KPI_Benchmark!O412,IF(G412="Higher is better",H412*(1-A_Scoring_Model!$C$16),H412*(1+A_Scoring_Model!$C$16)))</f>
        <v>0</v>
      </c>
      <c r="J412" s="64"/>
      <c r="K412" s="64"/>
      <c r="L412" s="64"/>
      <c r="M412" s="64"/>
      <c r="N412" s="56" t="str">
        <f aca="false">IF(J412="","",IF($H412=$I412,IF(OR(AND($G412="Higher is better",J412&gt;=$H412),AND($G412="Lower is better",J412&lt;=$H412)),A_Scoring_Model!$C$14,0),IF($G412="Higher is better",IF(J412&gt;=$H412,A_Scoring_Model!$C$14,IF(J412&lt;$I412,0,A_Scoring_Model!$C$15+(A_Scoring_Model!$C$14-A_Scoring_Model!$C$15)*(J412-$I412)/($H412-$I412))),IF(J412&lt;=$H412,A_Scoring_Model!$C$14,IF(J412&gt;$I412,0,A_Scoring_Model!$C$15+(A_Scoring_Model!$C$14-A_Scoring_Model!$C$15)*($I412-J412)/($I412-$H412))))))</f>
        <v/>
      </c>
      <c r="O412" s="56" t="str">
        <f aca="false">IF(K412="","",IF($H412=$I412,IF(OR(AND($G412="Higher is better",K412&gt;=$H412),AND($G412="Lower is better",K412&lt;=$H412)),A_Scoring_Model!$C$14,0),IF($G412="Higher is better",IF(K412&gt;=$H412,A_Scoring_Model!$C$14,IF(K412&lt;$I412,0,A_Scoring_Model!$C$15+(A_Scoring_Model!$C$14-A_Scoring_Model!$C$15)*(K412-$I412)/($H412-$I412))),IF(K412&lt;=$H412,A_Scoring_Model!$C$14,IF(K412&gt;$I412,0,A_Scoring_Model!$C$15+(A_Scoring_Model!$C$14-A_Scoring_Model!$C$15)*($I412-K412)/($I412-$H412))))))</f>
        <v/>
      </c>
      <c r="P412" s="56" t="str">
        <f aca="false">IF(L412="","",IF($H412=$I412,IF(OR(AND($G412="Higher is better",L412&gt;=$H412),AND($G412="Lower is better",L412&lt;=$H412)),A_Scoring_Model!$C$14,0),IF($G412="Higher is better",IF(L412&gt;=$H412,A_Scoring_Model!$C$14,IF(L412&lt;$I412,0,A_Scoring_Model!$C$15+(A_Scoring_Model!$C$14-A_Scoring_Model!$C$15)*(L412-$I412)/($H412-$I412))),IF(L412&lt;=$H412,A_Scoring_Model!$C$14,IF(L412&gt;$I412,0,A_Scoring_Model!$C$15+(A_Scoring_Model!$C$14-A_Scoring_Model!$C$15)*($I412-L412)/($I412-$H412))))))</f>
        <v/>
      </c>
      <c r="Q412" s="56" t="str">
        <f aca="false">IF(M412="","",IF($H412=$I412,IF(OR(AND($G412="Higher is better",M412&gt;=$H412),AND($G412="Lower is better",M412&lt;=$H412)),A_Scoring_Model!$C$14,0),IF($G412="Higher is better",IF(M412&gt;=$H412,A_Scoring_Model!$C$14,IF(M412&lt;$I412,0,A_Scoring_Model!$C$15+(A_Scoring_Model!$C$14-A_Scoring_Model!$C$15)*(M412-$I412)/($H412-$I412))),IF(M412&lt;=$H412,A_Scoring_Model!$C$14,IF(M412&gt;$I412,0,A_Scoring_Model!$C$15+(A_Scoring_Model!$C$14-A_Scoring_Model!$C$15)*($I412-M412)/($I412-$H412))))))</f>
        <v/>
      </c>
    </row>
    <row r="413" customFormat="false" ht="23.85" hidden="false" customHeight="false" outlineLevel="0" collapsed="false">
      <c r="A413" s="51" t="str">
        <f aca="false">C_KPI_Benchmark!A413</f>
        <v>8.a-D6-14</v>
      </c>
      <c r="B413" s="52" t="str">
        <f aca="false">C_KPI_Benchmark!D413</f>
        <v>8.a</v>
      </c>
      <c r="C413" s="51" t="str">
        <f aca="false">C_KPI_Benchmark!E413</f>
        <v>Exit Criteria Evaluator Agent</v>
      </c>
      <c r="D413" s="52" t="str">
        <f aca="false">C_KPI_Benchmark!F413</f>
        <v>D6</v>
      </c>
      <c r="E413" s="51" t="str">
        <f aca="false">C_KPI_Benchmark!J413</f>
        <v>Documentation pack complete (README, I/O contract, model card, runbook)</v>
      </c>
      <c r="F413" s="52" t="str">
        <f aca="false">C_KPI_Benchmark!K413</f>
        <v>Yes/No</v>
      </c>
      <c r="G413" s="51" t="str">
        <f aca="false">C_KPI_Benchmark!L413</f>
        <v>Higher is better</v>
      </c>
      <c r="H413" s="60" t="n">
        <f aca="false">C_KPI_Benchmark!N413</f>
        <v>1</v>
      </c>
      <c r="I413" s="56" t="n">
        <f aca="false">IF(C_KPI_Benchmark!O413&lt;&gt;"",C_KPI_Benchmark!O413,IF(G413="Higher is better",H413*(1-A_Scoring_Model!$C$16),H413*(1+A_Scoring_Model!$C$16)))</f>
        <v>0.8</v>
      </c>
      <c r="J413" s="61"/>
      <c r="K413" s="61"/>
      <c r="L413" s="61"/>
      <c r="M413" s="61"/>
      <c r="N413" s="56" t="str">
        <f aca="false">IF(J413="","",IF($H413=$I413,IF(OR(AND($G413="Higher is better",J413&gt;=$H413),AND($G413="Lower is better",J413&lt;=$H413)),A_Scoring_Model!$C$14,0),IF($G413="Higher is better",IF(J413&gt;=$H413,A_Scoring_Model!$C$14,IF(J413&lt;$I413,0,A_Scoring_Model!$C$15+(A_Scoring_Model!$C$14-A_Scoring_Model!$C$15)*(J413-$I413)/($H413-$I413))),IF(J413&lt;=$H413,A_Scoring_Model!$C$14,IF(J413&gt;$I413,0,A_Scoring_Model!$C$15+(A_Scoring_Model!$C$14-A_Scoring_Model!$C$15)*($I413-J413)/($I413-$H413))))))</f>
        <v/>
      </c>
      <c r="O413" s="56" t="str">
        <f aca="false">IF(K413="","",IF($H413=$I413,IF(OR(AND($G413="Higher is better",K413&gt;=$H413),AND($G413="Lower is better",K413&lt;=$H413)),A_Scoring_Model!$C$14,0),IF($G413="Higher is better",IF(K413&gt;=$H413,A_Scoring_Model!$C$14,IF(K413&lt;$I413,0,A_Scoring_Model!$C$15+(A_Scoring_Model!$C$14-A_Scoring_Model!$C$15)*(K413-$I413)/($H413-$I413))),IF(K413&lt;=$H413,A_Scoring_Model!$C$14,IF(K413&gt;$I413,0,A_Scoring_Model!$C$15+(A_Scoring_Model!$C$14-A_Scoring_Model!$C$15)*($I413-K413)/($I413-$H413))))))</f>
        <v/>
      </c>
      <c r="P413" s="56" t="str">
        <f aca="false">IF(L413="","",IF($H413=$I413,IF(OR(AND($G413="Higher is better",L413&gt;=$H413),AND($G413="Lower is better",L413&lt;=$H413)),A_Scoring_Model!$C$14,0),IF($G413="Higher is better",IF(L413&gt;=$H413,A_Scoring_Model!$C$14,IF(L413&lt;$I413,0,A_Scoring_Model!$C$15+(A_Scoring_Model!$C$14-A_Scoring_Model!$C$15)*(L413-$I413)/($H413-$I413))),IF(L413&lt;=$H413,A_Scoring_Model!$C$14,IF(L413&gt;$I413,0,A_Scoring_Model!$C$15+(A_Scoring_Model!$C$14-A_Scoring_Model!$C$15)*($I413-L413)/($I413-$H413))))))</f>
        <v/>
      </c>
      <c r="Q413" s="56" t="str">
        <f aca="false">IF(M413="","",IF($H413=$I413,IF(OR(AND($G413="Higher is better",M413&gt;=$H413),AND($G413="Lower is better",M413&lt;=$H413)),A_Scoring_Model!$C$14,0),IF($G413="Higher is better",IF(M413&gt;=$H413,A_Scoring_Model!$C$14,IF(M413&lt;$I413,0,A_Scoring_Model!$C$15+(A_Scoring_Model!$C$14-A_Scoring_Model!$C$15)*(M413-$I413)/($H413-$I413))),IF(M413&lt;=$H413,A_Scoring_Model!$C$14,IF(M413&gt;$I413,0,A_Scoring_Model!$C$15+(A_Scoring_Model!$C$14-A_Scoring_Model!$C$15)*($I413-M413)/($I413-$H413))))))</f>
        <v/>
      </c>
    </row>
    <row r="414" customFormat="false" ht="15" hidden="false" customHeight="false" outlineLevel="0" collapsed="false">
      <c r="A414" s="51" t="str">
        <f aca="false">C_KPI_Benchmark!A414</f>
        <v>8.a-D6-15</v>
      </c>
      <c r="B414" s="52" t="str">
        <f aca="false">C_KPI_Benchmark!D414</f>
        <v>8.a</v>
      </c>
      <c r="C414" s="51" t="str">
        <f aca="false">C_KPI_Benchmark!E414</f>
        <v>Exit Criteria Evaluator Agent</v>
      </c>
      <c r="D414" s="52" t="str">
        <f aca="false">C_KPI_Benchmark!F414</f>
        <v>D6</v>
      </c>
      <c r="E414" s="51" t="str">
        <f aca="false">C_KPI_Benchmark!J414</f>
        <v>Named owner and support SLA</v>
      </c>
      <c r="F414" s="52" t="str">
        <f aca="false">C_KPI_Benchmark!K414</f>
        <v>Yes/No</v>
      </c>
      <c r="G414" s="51" t="str">
        <f aca="false">C_KPI_Benchmark!L414</f>
        <v>Higher is better</v>
      </c>
      <c r="H414" s="60" t="n">
        <f aca="false">C_KPI_Benchmark!N414</f>
        <v>1</v>
      </c>
      <c r="I414" s="56" t="n">
        <f aca="false">IF(C_KPI_Benchmark!O414&lt;&gt;"",C_KPI_Benchmark!O414,IF(G414="Higher is better",H414*(1-A_Scoring_Model!$C$16),H414*(1+A_Scoring_Model!$C$16)))</f>
        <v>0.8</v>
      </c>
      <c r="J414" s="61"/>
      <c r="K414" s="61"/>
      <c r="L414" s="61"/>
      <c r="M414" s="61"/>
      <c r="N414" s="56" t="str">
        <f aca="false">IF(J414="","",IF($H414=$I414,IF(OR(AND($G414="Higher is better",J414&gt;=$H414),AND($G414="Lower is better",J414&lt;=$H414)),A_Scoring_Model!$C$14,0),IF($G414="Higher is better",IF(J414&gt;=$H414,A_Scoring_Model!$C$14,IF(J414&lt;$I414,0,A_Scoring_Model!$C$15+(A_Scoring_Model!$C$14-A_Scoring_Model!$C$15)*(J414-$I414)/($H414-$I414))),IF(J414&lt;=$H414,A_Scoring_Model!$C$14,IF(J414&gt;$I414,0,A_Scoring_Model!$C$15+(A_Scoring_Model!$C$14-A_Scoring_Model!$C$15)*($I414-J414)/($I414-$H414))))))</f>
        <v/>
      </c>
      <c r="O414" s="56" t="str">
        <f aca="false">IF(K414="","",IF($H414=$I414,IF(OR(AND($G414="Higher is better",K414&gt;=$H414),AND($G414="Lower is better",K414&lt;=$H414)),A_Scoring_Model!$C$14,0),IF($G414="Higher is better",IF(K414&gt;=$H414,A_Scoring_Model!$C$14,IF(K414&lt;$I414,0,A_Scoring_Model!$C$15+(A_Scoring_Model!$C$14-A_Scoring_Model!$C$15)*(K414-$I414)/($H414-$I414))),IF(K414&lt;=$H414,A_Scoring_Model!$C$14,IF(K414&gt;$I414,0,A_Scoring_Model!$C$15+(A_Scoring_Model!$C$14-A_Scoring_Model!$C$15)*($I414-K414)/($I414-$H414))))))</f>
        <v/>
      </c>
      <c r="P414" s="56" t="str">
        <f aca="false">IF(L414="","",IF($H414=$I414,IF(OR(AND($G414="Higher is better",L414&gt;=$H414),AND($G414="Lower is better",L414&lt;=$H414)),A_Scoring_Model!$C$14,0),IF($G414="Higher is better",IF(L414&gt;=$H414,A_Scoring_Model!$C$14,IF(L414&lt;$I414,0,A_Scoring_Model!$C$15+(A_Scoring_Model!$C$14-A_Scoring_Model!$C$15)*(L414-$I414)/($H414-$I414))),IF(L414&lt;=$H414,A_Scoring_Model!$C$14,IF(L414&gt;$I414,0,A_Scoring_Model!$C$15+(A_Scoring_Model!$C$14-A_Scoring_Model!$C$15)*($I414-L414)/($I414-$H414))))))</f>
        <v/>
      </c>
      <c r="Q414" s="56" t="str">
        <f aca="false">IF(M414="","",IF($H414=$I414,IF(OR(AND($G414="Higher is better",M414&gt;=$H414),AND($G414="Lower is better",M414&lt;=$H414)),A_Scoring_Model!$C$14,0),IF($G414="Higher is better",IF(M414&gt;=$H414,A_Scoring_Model!$C$14,IF(M414&lt;$I414,0,A_Scoring_Model!$C$15+(A_Scoring_Model!$C$14-A_Scoring_Model!$C$15)*(M414-$I414)/($H414-$I414))),IF(M414&lt;=$H414,A_Scoring_Model!$C$14,IF(M414&gt;$I414,0,A_Scoring_Model!$C$15+(A_Scoring_Model!$C$14-A_Scoring_Model!$C$15)*($I414-M414)/($I414-$H414))))))</f>
        <v/>
      </c>
    </row>
    <row r="415" customFormat="false" ht="15" hidden="false" customHeight="false" outlineLevel="0" collapsed="false">
      <c r="A415" s="51" t="str">
        <f aca="false">C_KPI_Benchmark!A415</f>
        <v>8.b-D1-01</v>
      </c>
      <c r="B415" s="52" t="str">
        <f aca="false">C_KPI_Benchmark!D415</f>
        <v>8.b</v>
      </c>
      <c r="C415" s="51" t="str">
        <f aca="false">C_KPI_Benchmark!E415</f>
        <v>Knowledge Extractor Agent</v>
      </c>
      <c r="D415" s="52" t="str">
        <f aca="false">C_KPI_Benchmark!F415</f>
        <v>D1</v>
      </c>
      <c r="E415" s="51" t="str">
        <f aca="false">C_KPI_Benchmark!J415</f>
        <v>Lesson extraction precision</v>
      </c>
      <c r="F415" s="52" t="str">
        <f aca="false">C_KPI_Benchmark!K415</f>
        <v>ratio</v>
      </c>
      <c r="G415" s="51" t="str">
        <f aca="false">C_KPI_Benchmark!L415</f>
        <v>Higher is better</v>
      </c>
      <c r="H415" s="57" t="n">
        <f aca="false">C_KPI_Benchmark!N415</f>
        <v>0.85</v>
      </c>
      <c r="I415" s="58" t="n">
        <f aca="false">IF(C_KPI_Benchmark!O415&lt;&gt;"",C_KPI_Benchmark!O415,IF(G415="Higher is better",H415*(1-A_Scoring_Model!$C$16),H415*(1+A_Scoring_Model!$C$16)))</f>
        <v>0.75</v>
      </c>
      <c r="J415" s="59"/>
      <c r="K415" s="59"/>
      <c r="L415" s="59"/>
      <c r="M415" s="59"/>
      <c r="N415" s="56" t="str">
        <f aca="false">IF(J415="","",IF($H415=$I415,IF(OR(AND($G415="Higher is better",J415&gt;=$H415),AND($G415="Lower is better",J415&lt;=$H415)),A_Scoring_Model!$C$14,0),IF($G415="Higher is better",IF(J415&gt;=$H415,A_Scoring_Model!$C$14,IF(J415&lt;$I415,0,A_Scoring_Model!$C$15+(A_Scoring_Model!$C$14-A_Scoring_Model!$C$15)*(J415-$I415)/($H415-$I415))),IF(J415&lt;=$H415,A_Scoring_Model!$C$14,IF(J415&gt;$I415,0,A_Scoring_Model!$C$15+(A_Scoring_Model!$C$14-A_Scoring_Model!$C$15)*($I415-J415)/($I415-$H415))))))</f>
        <v/>
      </c>
      <c r="O415" s="56" t="str">
        <f aca="false">IF(K415="","",IF($H415=$I415,IF(OR(AND($G415="Higher is better",K415&gt;=$H415),AND($G415="Lower is better",K415&lt;=$H415)),A_Scoring_Model!$C$14,0),IF($G415="Higher is better",IF(K415&gt;=$H415,A_Scoring_Model!$C$14,IF(K415&lt;$I415,0,A_Scoring_Model!$C$15+(A_Scoring_Model!$C$14-A_Scoring_Model!$C$15)*(K415-$I415)/($H415-$I415))),IF(K415&lt;=$H415,A_Scoring_Model!$C$14,IF(K415&gt;$I415,0,A_Scoring_Model!$C$15+(A_Scoring_Model!$C$14-A_Scoring_Model!$C$15)*($I415-K415)/($I415-$H415))))))</f>
        <v/>
      </c>
      <c r="P415" s="56" t="str">
        <f aca="false">IF(L415="","",IF($H415=$I415,IF(OR(AND($G415="Higher is better",L415&gt;=$H415),AND($G415="Lower is better",L415&lt;=$H415)),A_Scoring_Model!$C$14,0),IF($G415="Higher is better",IF(L415&gt;=$H415,A_Scoring_Model!$C$14,IF(L415&lt;$I415,0,A_Scoring_Model!$C$15+(A_Scoring_Model!$C$14-A_Scoring_Model!$C$15)*(L415-$I415)/($H415-$I415))),IF(L415&lt;=$H415,A_Scoring_Model!$C$14,IF(L415&gt;$I415,0,A_Scoring_Model!$C$15+(A_Scoring_Model!$C$14-A_Scoring_Model!$C$15)*($I415-L415)/($I415-$H415))))))</f>
        <v/>
      </c>
      <c r="Q415" s="56" t="str">
        <f aca="false">IF(M415="","",IF($H415=$I415,IF(OR(AND($G415="Higher is better",M415&gt;=$H415),AND($G415="Lower is better",M415&lt;=$H415)),A_Scoring_Model!$C$14,0),IF($G415="Higher is better",IF(M415&gt;=$H415,A_Scoring_Model!$C$14,IF(M415&lt;$I415,0,A_Scoring_Model!$C$15+(A_Scoring_Model!$C$14-A_Scoring_Model!$C$15)*(M415-$I415)/($H415-$I415))),IF(M415&lt;=$H415,A_Scoring_Model!$C$14,IF(M415&gt;$I415,0,A_Scoring_Model!$C$15+(A_Scoring_Model!$C$14-A_Scoring_Model!$C$15)*($I415-M415)/($I415-$H415))))))</f>
        <v/>
      </c>
    </row>
    <row r="416" customFormat="false" ht="15" hidden="false" customHeight="false" outlineLevel="0" collapsed="false">
      <c r="A416" s="51" t="str">
        <f aca="false">C_KPI_Benchmark!A416</f>
        <v>8.b-D1-02</v>
      </c>
      <c r="B416" s="52" t="str">
        <f aca="false">C_KPI_Benchmark!D416</f>
        <v>8.b</v>
      </c>
      <c r="C416" s="51" t="str">
        <f aca="false">C_KPI_Benchmark!E416</f>
        <v>Knowledge Extractor Agent</v>
      </c>
      <c r="D416" s="52" t="str">
        <f aca="false">C_KPI_Benchmark!F416</f>
        <v>D1</v>
      </c>
      <c r="E416" s="51" t="str">
        <f aca="false">C_KPI_Benchmark!J416</f>
        <v>Lesson extraction recall</v>
      </c>
      <c r="F416" s="52" t="str">
        <f aca="false">C_KPI_Benchmark!K416</f>
        <v>ratio</v>
      </c>
      <c r="G416" s="51" t="str">
        <f aca="false">C_KPI_Benchmark!L416</f>
        <v>Higher is better</v>
      </c>
      <c r="H416" s="57" t="n">
        <f aca="false">C_KPI_Benchmark!N416</f>
        <v>0.8</v>
      </c>
      <c r="I416" s="58" t="n">
        <f aca="false">IF(C_KPI_Benchmark!O416&lt;&gt;"",C_KPI_Benchmark!O416,IF(G416="Higher is better",H416*(1-A_Scoring_Model!$C$16),H416*(1+A_Scoring_Model!$C$16)))</f>
        <v>0.65</v>
      </c>
      <c r="J416" s="59"/>
      <c r="K416" s="59"/>
      <c r="L416" s="59"/>
      <c r="M416" s="59"/>
      <c r="N416" s="56" t="str">
        <f aca="false">IF(J416="","",IF($H416=$I416,IF(OR(AND($G416="Higher is better",J416&gt;=$H416),AND($G416="Lower is better",J416&lt;=$H416)),A_Scoring_Model!$C$14,0),IF($G416="Higher is better",IF(J416&gt;=$H416,A_Scoring_Model!$C$14,IF(J416&lt;$I416,0,A_Scoring_Model!$C$15+(A_Scoring_Model!$C$14-A_Scoring_Model!$C$15)*(J416-$I416)/($H416-$I416))),IF(J416&lt;=$H416,A_Scoring_Model!$C$14,IF(J416&gt;$I416,0,A_Scoring_Model!$C$15+(A_Scoring_Model!$C$14-A_Scoring_Model!$C$15)*($I416-J416)/($I416-$H416))))))</f>
        <v/>
      </c>
      <c r="O416" s="56" t="str">
        <f aca="false">IF(K416="","",IF($H416=$I416,IF(OR(AND($G416="Higher is better",K416&gt;=$H416),AND($G416="Lower is better",K416&lt;=$H416)),A_Scoring_Model!$C$14,0),IF($G416="Higher is better",IF(K416&gt;=$H416,A_Scoring_Model!$C$14,IF(K416&lt;$I416,0,A_Scoring_Model!$C$15+(A_Scoring_Model!$C$14-A_Scoring_Model!$C$15)*(K416-$I416)/($H416-$I416))),IF(K416&lt;=$H416,A_Scoring_Model!$C$14,IF(K416&gt;$I416,0,A_Scoring_Model!$C$15+(A_Scoring_Model!$C$14-A_Scoring_Model!$C$15)*($I416-K416)/($I416-$H416))))))</f>
        <v/>
      </c>
      <c r="P416" s="56" t="str">
        <f aca="false">IF(L416="","",IF($H416=$I416,IF(OR(AND($G416="Higher is better",L416&gt;=$H416),AND($G416="Lower is better",L416&lt;=$H416)),A_Scoring_Model!$C$14,0),IF($G416="Higher is better",IF(L416&gt;=$H416,A_Scoring_Model!$C$14,IF(L416&lt;$I416,0,A_Scoring_Model!$C$15+(A_Scoring_Model!$C$14-A_Scoring_Model!$C$15)*(L416-$I416)/($H416-$I416))),IF(L416&lt;=$H416,A_Scoring_Model!$C$14,IF(L416&gt;$I416,0,A_Scoring_Model!$C$15+(A_Scoring_Model!$C$14-A_Scoring_Model!$C$15)*($I416-L416)/($I416-$H416))))))</f>
        <v/>
      </c>
      <c r="Q416" s="56" t="str">
        <f aca="false">IF(M416="","",IF($H416=$I416,IF(OR(AND($G416="Higher is better",M416&gt;=$H416),AND($G416="Lower is better",M416&lt;=$H416)),A_Scoring_Model!$C$14,0),IF($G416="Higher is better",IF(M416&gt;=$H416,A_Scoring_Model!$C$14,IF(M416&lt;$I416,0,A_Scoring_Model!$C$15+(A_Scoring_Model!$C$14-A_Scoring_Model!$C$15)*(M416-$I416)/($H416-$I416))),IF(M416&lt;=$H416,A_Scoring_Model!$C$14,IF(M416&gt;$I416,0,A_Scoring_Model!$C$15+(A_Scoring_Model!$C$14-A_Scoring_Model!$C$15)*($I416-M416)/($I416-$H416))))))</f>
        <v/>
      </c>
    </row>
    <row r="417" customFormat="false" ht="15" hidden="false" customHeight="false" outlineLevel="0" collapsed="false">
      <c r="A417" s="51" t="str">
        <f aca="false">C_KPI_Benchmark!A417</f>
        <v>8.b-D1-03</v>
      </c>
      <c r="B417" s="52" t="str">
        <f aca="false">C_KPI_Benchmark!D417</f>
        <v>8.b</v>
      </c>
      <c r="C417" s="51" t="str">
        <f aca="false">C_KPI_Benchmark!E417</f>
        <v>Knowledge Extractor Agent</v>
      </c>
      <c r="D417" s="52" t="str">
        <f aca="false">C_KPI_Benchmark!F417</f>
        <v>D1</v>
      </c>
      <c r="E417" s="51" t="str">
        <f aca="false">C_KPI_Benchmark!J417</f>
        <v>Entity-linking accuracy</v>
      </c>
      <c r="F417" s="52" t="str">
        <f aca="false">C_KPI_Benchmark!K417</f>
        <v>%</v>
      </c>
      <c r="G417" s="51" t="str">
        <f aca="false">C_KPI_Benchmark!L417</f>
        <v>Higher is better</v>
      </c>
      <c r="H417" s="53" t="n">
        <f aca="false">C_KPI_Benchmark!N417</f>
        <v>0.9</v>
      </c>
      <c r="I417" s="54" t="n">
        <f aca="false">IF(C_KPI_Benchmark!O417&lt;&gt;"",C_KPI_Benchmark!O417,IF(G417="Higher is better",H417*(1-A_Scoring_Model!$C$16),H417*(1+A_Scoring_Model!$C$16)))</f>
        <v>0.8</v>
      </c>
      <c r="J417" s="55"/>
      <c r="K417" s="55"/>
      <c r="L417" s="55"/>
      <c r="M417" s="55"/>
      <c r="N417" s="56" t="str">
        <f aca="false">IF(J417="","",IF($H417=$I417,IF(OR(AND($G417="Higher is better",J417&gt;=$H417),AND($G417="Lower is better",J417&lt;=$H417)),A_Scoring_Model!$C$14,0),IF($G417="Higher is better",IF(J417&gt;=$H417,A_Scoring_Model!$C$14,IF(J417&lt;$I417,0,A_Scoring_Model!$C$15+(A_Scoring_Model!$C$14-A_Scoring_Model!$C$15)*(J417-$I417)/($H417-$I417))),IF(J417&lt;=$H417,A_Scoring_Model!$C$14,IF(J417&gt;$I417,0,A_Scoring_Model!$C$15+(A_Scoring_Model!$C$14-A_Scoring_Model!$C$15)*($I417-J417)/($I417-$H417))))))</f>
        <v/>
      </c>
      <c r="O417" s="56" t="str">
        <f aca="false">IF(K417="","",IF($H417=$I417,IF(OR(AND($G417="Higher is better",K417&gt;=$H417),AND($G417="Lower is better",K417&lt;=$H417)),A_Scoring_Model!$C$14,0),IF($G417="Higher is better",IF(K417&gt;=$H417,A_Scoring_Model!$C$14,IF(K417&lt;$I417,0,A_Scoring_Model!$C$15+(A_Scoring_Model!$C$14-A_Scoring_Model!$C$15)*(K417-$I417)/($H417-$I417))),IF(K417&lt;=$H417,A_Scoring_Model!$C$14,IF(K417&gt;$I417,0,A_Scoring_Model!$C$15+(A_Scoring_Model!$C$14-A_Scoring_Model!$C$15)*($I417-K417)/($I417-$H417))))))</f>
        <v/>
      </c>
      <c r="P417" s="56" t="str">
        <f aca="false">IF(L417="","",IF($H417=$I417,IF(OR(AND($G417="Higher is better",L417&gt;=$H417),AND($G417="Lower is better",L417&lt;=$H417)),A_Scoring_Model!$C$14,0),IF($G417="Higher is better",IF(L417&gt;=$H417,A_Scoring_Model!$C$14,IF(L417&lt;$I417,0,A_Scoring_Model!$C$15+(A_Scoring_Model!$C$14-A_Scoring_Model!$C$15)*(L417-$I417)/($H417-$I417))),IF(L417&lt;=$H417,A_Scoring_Model!$C$14,IF(L417&gt;$I417,0,A_Scoring_Model!$C$15+(A_Scoring_Model!$C$14-A_Scoring_Model!$C$15)*($I417-L417)/($I417-$H417))))))</f>
        <v/>
      </c>
      <c r="Q417" s="56" t="str">
        <f aca="false">IF(M417="","",IF($H417=$I417,IF(OR(AND($G417="Higher is better",M417&gt;=$H417),AND($G417="Lower is better",M417&lt;=$H417)),A_Scoring_Model!$C$14,0),IF($G417="Higher is better",IF(M417&gt;=$H417,A_Scoring_Model!$C$14,IF(M417&lt;$I417,0,A_Scoring_Model!$C$15+(A_Scoring_Model!$C$14-A_Scoring_Model!$C$15)*(M417-$I417)/($H417-$I417))),IF(M417&lt;=$H417,A_Scoring_Model!$C$14,IF(M417&gt;$I417,0,A_Scoring_Model!$C$15+(A_Scoring_Model!$C$14-A_Scoring_Model!$C$15)*($I417-M417)/($I417-$H417))))))</f>
        <v/>
      </c>
    </row>
    <row r="418" customFormat="false" ht="15" hidden="false" customHeight="false" outlineLevel="0" collapsed="false">
      <c r="A418" s="51" t="str">
        <f aca="false">C_KPI_Benchmark!A418</f>
        <v>8.b-D1-04</v>
      </c>
      <c r="B418" s="52" t="str">
        <f aca="false">C_KPI_Benchmark!D418</f>
        <v>8.b</v>
      </c>
      <c r="C418" s="51" t="str">
        <f aca="false">C_KPI_Benchmark!E418</f>
        <v>Knowledge Extractor Agent</v>
      </c>
      <c r="D418" s="52" t="str">
        <f aca="false">C_KPI_Benchmark!F418</f>
        <v>D1</v>
      </c>
      <c r="E418" s="51" t="str">
        <f aca="false">C_KPI_Benchmark!J418</f>
        <v>KB retrieval hit@5</v>
      </c>
      <c r="F418" s="52" t="str">
        <f aca="false">C_KPI_Benchmark!K418</f>
        <v>%</v>
      </c>
      <c r="G418" s="51" t="str">
        <f aca="false">C_KPI_Benchmark!L418</f>
        <v>Higher is better</v>
      </c>
      <c r="H418" s="53" t="n">
        <f aca="false">C_KPI_Benchmark!N418</f>
        <v>0.85</v>
      </c>
      <c r="I418" s="54" t="n">
        <f aca="false">IF(C_KPI_Benchmark!O418&lt;&gt;"",C_KPI_Benchmark!O418,IF(G418="Higher is better",H418*(1-A_Scoring_Model!$C$16),H418*(1+A_Scoring_Model!$C$16)))</f>
        <v>0.7</v>
      </c>
      <c r="J418" s="55"/>
      <c r="K418" s="55"/>
      <c r="L418" s="55"/>
      <c r="M418" s="55"/>
      <c r="N418" s="56" t="str">
        <f aca="false">IF(J418="","",IF($H418=$I418,IF(OR(AND($G418="Higher is better",J418&gt;=$H418),AND($G418="Lower is better",J418&lt;=$H418)),A_Scoring_Model!$C$14,0),IF($G418="Higher is better",IF(J418&gt;=$H418,A_Scoring_Model!$C$14,IF(J418&lt;$I418,0,A_Scoring_Model!$C$15+(A_Scoring_Model!$C$14-A_Scoring_Model!$C$15)*(J418-$I418)/($H418-$I418))),IF(J418&lt;=$H418,A_Scoring_Model!$C$14,IF(J418&gt;$I418,0,A_Scoring_Model!$C$15+(A_Scoring_Model!$C$14-A_Scoring_Model!$C$15)*($I418-J418)/($I418-$H418))))))</f>
        <v/>
      </c>
      <c r="O418" s="56" t="str">
        <f aca="false">IF(K418="","",IF($H418=$I418,IF(OR(AND($G418="Higher is better",K418&gt;=$H418),AND($G418="Lower is better",K418&lt;=$H418)),A_Scoring_Model!$C$14,0),IF($G418="Higher is better",IF(K418&gt;=$H418,A_Scoring_Model!$C$14,IF(K418&lt;$I418,0,A_Scoring_Model!$C$15+(A_Scoring_Model!$C$14-A_Scoring_Model!$C$15)*(K418-$I418)/($H418-$I418))),IF(K418&lt;=$H418,A_Scoring_Model!$C$14,IF(K418&gt;$I418,0,A_Scoring_Model!$C$15+(A_Scoring_Model!$C$14-A_Scoring_Model!$C$15)*($I418-K418)/($I418-$H418))))))</f>
        <v/>
      </c>
      <c r="P418" s="56" t="str">
        <f aca="false">IF(L418="","",IF($H418=$I418,IF(OR(AND($G418="Higher is better",L418&gt;=$H418),AND($G418="Lower is better",L418&lt;=$H418)),A_Scoring_Model!$C$14,0),IF($G418="Higher is better",IF(L418&gt;=$H418,A_Scoring_Model!$C$14,IF(L418&lt;$I418,0,A_Scoring_Model!$C$15+(A_Scoring_Model!$C$14-A_Scoring_Model!$C$15)*(L418-$I418)/($H418-$I418))),IF(L418&lt;=$H418,A_Scoring_Model!$C$14,IF(L418&gt;$I418,0,A_Scoring_Model!$C$15+(A_Scoring_Model!$C$14-A_Scoring_Model!$C$15)*($I418-L418)/($I418-$H418))))))</f>
        <v/>
      </c>
      <c r="Q418" s="56" t="str">
        <f aca="false">IF(M418="","",IF($H418=$I418,IF(OR(AND($G418="Higher is better",M418&gt;=$H418),AND($G418="Lower is better",M418&lt;=$H418)),A_Scoring_Model!$C$14,0),IF($G418="Higher is better",IF(M418&gt;=$H418,A_Scoring_Model!$C$14,IF(M418&lt;$I418,0,A_Scoring_Model!$C$15+(A_Scoring_Model!$C$14-A_Scoring_Model!$C$15)*(M418-$I418)/($H418-$I418))),IF(M418&lt;=$H418,A_Scoring_Model!$C$14,IF(M418&gt;$I418,0,A_Scoring_Model!$C$15+(A_Scoring_Model!$C$14-A_Scoring_Model!$C$15)*($I418-M418)/($I418-$H418))))))</f>
        <v/>
      </c>
    </row>
    <row r="419" customFormat="false" ht="15" hidden="false" customHeight="false" outlineLevel="0" collapsed="false">
      <c r="A419" s="51" t="str">
        <f aca="false">C_KPI_Benchmark!A419</f>
        <v>8.b-D2-05</v>
      </c>
      <c r="B419" s="52" t="str">
        <f aca="false">C_KPI_Benchmark!D419</f>
        <v>8.b</v>
      </c>
      <c r="C419" s="51" t="str">
        <f aca="false">C_KPI_Benchmark!E419</f>
        <v>Knowledge Extractor Agent</v>
      </c>
      <c r="D419" s="52" t="str">
        <f aca="false">C_KPI_Benchmark!F419</f>
        <v>D2</v>
      </c>
      <c r="E419" s="51" t="str">
        <f aca="false">C_KPI_Benchmark!J419</f>
        <v>Single Zion KG ontology across groups</v>
      </c>
      <c r="F419" s="52" t="str">
        <f aca="false">C_KPI_Benchmark!K419</f>
        <v>Yes/No</v>
      </c>
      <c r="G419" s="51" t="str">
        <f aca="false">C_KPI_Benchmark!L419</f>
        <v>Higher is better</v>
      </c>
      <c r="H419" s="60" t="n">
        <f aca="false">C_KPI_Benchmark!N419</f>
        <v>1</v>
      </c>
      <c r="I419" s="56" t="n">
        <f aca="false">IF(C_KPI_Benchmark!O419&lt;&gt;"",C_KPI_Benchmark!O419,IF(G419="Higher is better",H419*(1-A_Scoring_Model!$C$16),H419*(1+A_Scoring_Model!$C$16)))</f>
        <v>0.8</v>
      </c>
      <c r="J419" s="61"/>
      <c r="K419" s="61"/>
      <c r="L419" s="61"/>
      <c r="M419" s="61"/>
      <c r="N419" s="56" t="str">
        <f aca="false">IF(J419="","",IF($H419=$I419,IF(OR(AND($G419="Higher is better",J419&gt;=$H419),AND($G419="Lower is better",J419&lt;=$H419)),A_Scoring_Model!$C$14,0),IF($G419="Higher is better",IF(J419&gt;=$H419,A_Scoring_Model!$C$14,IF(J419&lt;$I419,0,A_Scoring_Model!$C$15+(A_Scoring_Model!$C$14-A_Scoring_Model!$C$15)*(J419-$I419)/($H419-$I419))),IF(J419&lt;=$H419,A_Scoring_Model!$C$14,IF(J419&gt;$I419,0,A_Scoring_Model!$C$15+(A_Scoring_Model!$C$14-A_Scoring_Model!$C$15)*($I419-J419)/($I419-$H419))))))</f>
        <v/>
      </c>
      <c r="O419" s="56" t="str">
        <f aca="false">IF(K419="","",IF($H419=$I419,IF(OR(AND($G419="Higher is better",K419&gt;=$H419),AND($G419="Lower is better",K419&lt;=$H419)),A_Scoring_Model!$C$14,0),IF($G419="Higher is better",IF(K419&gt;=$H419,A_Scoring_Model!$C$14,IF(K419&lt;$I419,0,A_Scoring_Model!$C$15+(A_Scoring_Model!$C$14-A_Scoring_Model!$C$15)*(K419-$I419)/($H419-$I419))),IF(K419&lt;=$H419,A_Scoring_Model!$C$14,IF(K419&gt;$I419,0,A_Scoring_Model!$C$15+(A_Scoring_Model!$C$14-A_Scoring_Model!$C$15)*($I419-K419)/($I419-$H419))))))</f>
        <v/>
      </c>
      <c r="P419" s="56" t="str">
        <f aca="false">IF(L419="","",IF($H419=$I419,IF(OR(AND($G419="Higher is better",L419&gt;=$H419),AND($G419="Lower is better",L419&lt;=$H419)),A_Scoring_Model!$C$14,0),IF($G419="Higher is better",IF(L419&gt;=$H419,A_Scoring_Model!$C$14,IF(L419&lt;$I419,0,A_Scoring_Model!$C$15+(A_Scoring_Model!$C$14-A_Scoring_Model!$C$15)*(L419-$I419)/($H419-$I419))),IF(L419&lt;=$H419,A_Scoring_Model!$C$14,IF(L419&gt;$I419,0,A_Scoring_Model!$C$15+(A_Scoring_Model!$C$14-A_Scoring_Model!$C$15)*($I419-L419)/($I419-$H419))))))</f>
        <v/>
      </c>
      <c r="Q419" s="56" t="str">
        <f aca="false">IF(M419="","",IF($H419=$I419,IF(OR(AND($G419="Higher is better",M419&gt;=$H419),AND($G419="Lower is better",M419&lt;=$H419)),A_Scoring_Model!$C$14,0),IF($G419="Higher is better",IF(M419&gt;=$H419,A_Scoring_Model!$C$14,IF(M419&lt;$I419,0,A_Scoring_Model!$C$15+(A_Scoring_Model!$C$14-A_Scoring_Model!$C$15)*(M419-$I419)/($H419-$I419))),IF(M419&lt;=$H419,A_Scoring_Model!$C$14,IF(M419&gt;$I419,0,A_Scoring_Model!$C$15+(A_Scoring_Model!$C$14-A_Scoring_Model!$C$15)*($I419-M419)/($I419-$H419))))))</f>
        <v/>
      </c>
    </row>
    <row r="420" customFormat="false" ht="23.85" hidden="false" customHeight="false" outlineLevel="0" collapsed="false">
      <c r="A420" s="51" t="str">
        <f aca="false">C_KPI_Benchmark!A420</f>
        <v>8.b-D2-06</v>
      </c>
      <c r="B420" s="52" t="str">
        <f aca="false">C_KPI_Benchmark!D420</f>
        <v>8.b</v>
      </c>
      <c r="C420" s="51" t="str">
        <f aca="false">C_KPI_Benchmark!E420</f>
        <v>Knowledge Extractor Agent</v>
      </c>
      <c r="D420" s="52" t="str">
        <f aca="false">C_KPI_Benchmark!F420</f>
        <v>D2</v>
      </c>
      <c r="E420" s="51" t="str">
        <f aca="false">C_KPI_Benchmark!J420</f>
        <v>Product lines supported with ≤10% efficacy drop (NVMe SSD, UFS, eMMC/uSD, PSSD)</v>
      </c>
      <c r="F420" s="52" t="str">
        <f aca="false">C_KPI_Benchmark!K420</f>
        <v>count</v>
      </c>
      <c r="G420" s="51" t="str">
        <f aca="false">C_KPI_Benchmark!L420</f>
        <v>Higher is better</v>
      </c>
      <c r="H420" s="62" t="n">
        <f aca="false">C_KPI_Benchmark!N420</f>
        <v>3</v>
      </c>
      <c r="I420" s="63" t="n">
        <f aca="false">IF(C_KPI_Benchmark!O420&lt;&gt;"",C_KPI_Benchmark!O420,IF(G420="Higher is better",H420*(1-A_Scoring_Model!$C$16),H420*(1+A_Scoring_Model!$C$16)))</f>
        <v>2</v>
      </c>
      <c r="J420" s="64"/>
      <c r="K420" s="64"/>
      <c r="L420" s="64"/>
      <c r="M420" s="64"/>
      <c r="N420" s="56" t="str">
        <f aca="false">IF(J420="","",IF($H420=$I420,IF(OR(AND($G420="Higher is better",J420&gt;=$H420),AND($G420="Lower is better",J420&lt;=$H420)),A_Scoring_Model!$C$14,0),IF($G420="Higher is better",IF(J420&gt;=$H420,A_Scoring_Model!$C$14,IF(J420&lt;$I420,0,A_Scoring_Model!$C$15+(A_Scoring_Model!$C$14-A_Scoring_Model!$C$15)*(J420-$I420)/($H420-$I420))),IF(J420&lt;=$H420,A_Scoring_Model!$C$14,IF(J420&gt;$I420,0,A_Scoring_Model!$C$15+(A_Scoring_Model!$C$14-A_Scoring_Model!$C$15)*($I420-J420)/($I420-$H420))))))</f>
        <v/>
      </c>
      <c r="O420" s="56" t="str">
        <f aca="false">IF(K420="","",IF($H420=$I420,IF(OR(AND($G420="Higher is better",K420&gt;=$H420),AND($G420="Lower is better",K420&lt;=$H420)),A_Scoring_Model!$C$14,0),IF($G420="Higher is better",IF(K420&gt;=$H420,A_Scoring_Model!$C$14,IF(K420&lt;$I420,0,A_Scoring_Model!$C$15+(A_Scoring_Model!$C$14-A_Scoring_Model!$C$15)*(K420-$I420)/($H420-$I420))),IF(K420&lt;=$H420,A_Scoring_Model!$C$14,IF(K420&gt;$I420,0,A_Scoring_Model!$C$15+(A_Scoring_Model!$C$14-A_Scoring_Model!$C$15)*($I420-K420)/($I420-$H420))))))</f>
        <v/>
      </c>
      <c r="P420" s="56" t="str">
        <f aca="false">IF(L420="","",IF($H420=$I420,IF(OR(AND($G420="Higher is better",L420&gt;=$H420),AND($G420="Lower is better",L420&lt;=$H420)),A_Scoring_Model!$C$14,0),IF($G420="Higher is better",IF(L420&gt;=$H420,A_Scoring_Model!$C$14,IF(L420&lt;$I420,0,A_Scoring_Model!$C$15+(A_Scoring_Model!$C$14-A_Scoring_Model!$C$15)*(L420-$I420)/($H420-$I420))),IF(L420&lt;=$H420,A_Scoring_Model!$C$14,IF(L420&gt;$I420,0,A_Scoring_Model!$C$15+(A_Scoring_Model!$C$14-A_Scoring_Model!$C$15)*($I420-L420)/($I420-$H420))))))</f>
        <v/>
      </c>
      <c r="Q420" s="56" t="str">
        <f aca="false">IF(M420="","",IF($H420=$I420,IF(OR(AND($G420="Higher is better",M420&gt;=$H420),AND($G420="Lower is better",M420&lt;=$H420)),A_Scoring_Model!$C$14,0),IF($G420="Higher is better",IF(M420&gt;=$H420,A_Scoring_Model!$C$14,IF(M420&lt;$I420,0,A_Scoring_Model!$C$15+(A_Scoring_Model!$C$14-A_Scoring_Model!$C$15)*(M420-$I420)/($H420-$I420))),IF(M420&lt;=$H420,A_Scoring_Model!$C$14,IF(M420&gt;$I420,0,A_Scoring_Model!$C$15+(A_Scoring_Model!$C$14-A_Scoring_Model!$C$15)*($I420-M420)/($I420-$H420))))))</f>
        <v/>
      </c>
    </row>
    <row r="421" customFormat="false" ht="15" hidden="false" customHeight="false" outlineLevel="0" collapsed="false">
      <c r="A421" s="51" t="str">
        <f aca="false">C_KPI_Benchmark!A421</f>
        <v>8.b-D2-07</v>
      </c>
      <c r="B421" s="52" t="str">
        <f aca="false">C_KPI_Benchmark!D421</f>
        <v>8.b</v>
      </c>
      <c r="C421" s="51" t="str">
        <f aca="false">C_KPI_Benchmark!E421</f>
        <v>Knowledge Extractor Agent</v>
      </c>
      <c r="D421" s="52" t="str">
        <f aca="false">C_KPI_Benchmark!F421</f>
        <v>D2</v>
      </c>
      <c r="E421" s="51" t="str">
        <f aca="false">C_KPI_Benchmark!J421</f>
        <v>Uses Zion shared services instead of re-implementing them</v>
      </c>
      <c r="F421" s="52" t="str">
        <f aca="false">C_KPI_Benchmark!K421</f>
        <v>Yes/No</v>
      </c>
      <c r="G421" s="51" t="str">
        <f aca="false">C_KPI_Benchmark!L421</f>
        <v>Higher is better</v>
      </c>
      <c r="H421" s="60" t="n">
        <f aca="false">C_KPI_Benchmark!N421</f>
        <v>1</v>
      </c>
      <c r="I421" s="56" t="n">
        <f aca="false">IF(C_KPI_Benchmark!O421&lt;&gt;"",C_KPI_Benchmark!O421,IF(G421="Higher is better",H421*(1-A_Scoring_Model!$C$16),H421*(1+A_Scoring_Model!$C$16)))</f>
        <v>0.8</v>
      </c>
      <c r="J421" s="61"/>
      <c r="K421" s="61"/>
      <c r="L421" s="61"/>
      <c r="M421" s="61"/>
      <c r="N421" s="56" t="str">
        <f aca="false">IF(J421="","",IF($H421=$I421,IF(OR(AND($G421="Higher is better",J421&gt;=$H421),AND($G421="Lower is better",J421&lt;=$H421)),A_Scoring_Model!$C$14,0),IF($G421="Higher is better",IF(J421&gt;=$H421,A_Scoring_Model!$C$14,IF(J421&lt;$I421,0,A_Scoring_Model!$C$15+(A_Scoring_Model!$C$14-A_Scoring_Model!$C$15)*(J421-$I421)/($H421-$I421))),IF(J421&lt;=$H421,A_Scoring_Model!$C$14,IF(J421&gt;$I421,0,A_Scoring_Model!$C$15+(A_Scoring_Model!$C$14-A_Scoring_Model!$C$15)*($I421-J421)/($I421-$H421))))))</f>
        <v/>
      </c>
      <c r="O421" s="56" t="str">
        <f aca="false">IF(K421="","",IF($H421=$I421,IF(OR(AND($G421="Higher is better",K421&gt;=$H421),AND($G421="Lower is better",K421&lt;=$H421)),A_Scoring_Model!$C$14,0),IF($G421="Higher is better",IF(K421&gt;=$H421,A_Scoring_Model!$C$14,IF(K421&lt;$I421,0,A_Scoring_Model!$C$15+(A_Scoring_Model!$C$14-A_Scoring_Model!$C$15)*(K421-$I421)/($H421-$I421))),IF(K421&lt;=$H421,A_Scoring_Model!$C$14,IF(K421&gt;$I421,0,A_Scoring_Model!$C$15+(A_Scoring_Model!$C$14-A_Scoring_Model!$C$15)*($I421-K421)/($I421-$H421))))))</f>
        <v/>
      </c>
      <c r="P421" s="56" t="str">
        <f aca="false">IF(L421="","",IF($H421=$I421,IF(OR(AND($G421="Higher is better",L421&gt;=$H421),AND($G421="Lower is better",L421&lt;=$H421)),A_Scoring_Model!$C$14,0),IF($G421="Higher is better",IF(L421&gt;=$H421,A_Scoring_Model!$C$14,IF(L421&lt;$I421,0,A_Scoring_Model!$C$15+(A_Scoring_Model!$C$14-A_Scoring_Model!$C$15)*(L421-$I421)/($H421-$I421))),IF(L421&lt;=$H421,A_Scoring_Model!$C$14,IF(L421&gt;$I421,0,A_Scoring_Model!$C$15+(A_Scoring_Model!$C$14-A_Scoring_Model!$C$15)*($I421-L421)/($I421-$H421))))))</f>
        <v/>
      </c>
      <c r="Q421" s="56" t="str">
        <f aca="false">IF(M421="","",IF($H421=$I421,IF(OR(AND($G421="Higher is better",M421&gt;=$H421),AND($G421="Lower is better",M421&lt;=$H421)),A_Scoring_Model!$C$14,0),IF($G421="Higher is better",IF(M421&gt;=$H421,A_Scoring_Model!$C$14,IF(M421&lt;$I421,0,A_Scoring_Model!$C$15+(A_Scoring_Model!$C$14-A_Scoring_Model!$C$15)*(M421-$I421)/($H421-$I421))),IF(M421&lt;=$H421,A_Scoring_Model!$C$14,IF(M421&gt;$I421,0,A_Scoring_Model!$C$15+(A_Scoring_Model!$C$14-A_Scoring_Model!$C$15)*($I421-M421)/($I421-$H421))))))</f>
        <v/>
      </c>
    </row>
    <row r="422" customFormat="false" ht="15" hidden="false" customHeight="false" outlineLevel="0" collapsed="false">
      <c r="A422" s="51" t="str">
        <f aca="false">C_KPI_Benchmark!A422</f>
        <v>8.b-D3-08</v>
      </c>
      <c r="B422" s="52" t="str">
        <f aca="false">C_KPI_Benchmark!D422</f>
        <v>8.b</v>
      </c>
      <c r="C422" s="51" t="str">
        <f aca="false">C_KPI_Benchmark!E422</f>
        <v>Knowledge Extractor Agent</v>
      </c>
      <c r="D422" s="52" t="str">
        <f aca="false">C_KPI_Benchmark!F422</f>
        <v>D3</v>
      </c>
      <c r="E422" s="51" t="str">
        <f aca="false">C_KPI_Benchmark!J422</f>
        <v>Documents processed per hour</v>
      </c>
      <c r="F422" s="52" t="str">
        <f aca="false">C_KPI_Benchmark!K422</f>
        <v>docs/hr</v>
      </c>
      <c r="G422" s="51" t="str">
        <f aca="false">C_KPI_Benchmark!L422</f>
        <v>Higher is better</v>
      </c>
      <c r="H422" s="62" t="n">
        <f aca="false">C_KPI_Benchmark!N422</f>
        <v>1000</v>
      </c>
      <c r="I422" s="63" t="n">
        <f aca="false">IF(C_KPI_Benchmark!O422&lt;&gt;"",C_KPI_Benchmark!O422,IF(G422="Higher is better",H422*(1-A_Scoring_Model!$C$16),H422*(1+A_Scoring_Model!$C$16)))</f>
        <v>800</v>
      </c>
      <c r="J422" s="64"/>
      <c r="K422" s="64"/>
      <c r="L422" s="64"/>
      <c r="M422" s="64"/>
      <c r="N422" s="56" t="str">
        <f aca="false">IF(J422="","",IF($H422=$I422,IF(OR(AND($G422="Higher is better",J422&gt;=$H422),AND($G422="Lower is better",J422&lt;=$H422)),A_Scoring_Model!$C$14,0),IF($G422="Higher is better",IF(J422&gt;=$H422,A_Scoring_Model!$C$14,IF(J422&lt;$I422,0,A_Scoring_Model!$C$15+(A_Scoring_Model!$C$14-A_Scoring_Model!$C$15)*(J422-$I422)/($H422-$I422))),IF(J422&lt;=$H422,A_Scoring_Model!$C$14,IF(J422&gt;$I422,0,A_Scoring_Model!$C$15+(A_Scoring_Model!$C$14-A_Scoring_Model!$C$15)*($I422-J422)/($I422-$H422))))))</f>
        <v/>
      </c>
      <c r="O422" s="56" t="str">
        <f aca="false">IF(K422="","",IF($H422=$I422,IF(OR(AND($G422="Higher is better",K422&gt;=$H422),AND($G422="Lower is better",K422&lt;=$H422)),A_Scoring_Model!$C$14,0),IF($G422="Higher is better",IF(K422&gt;=$H422,A_Scoring_Model!$C$14,IF(K422&lt;$I422,0,A_Scoring_Model!$C$15+(A_Scoring_Model!$C$14-A_Scoring_Model!$C$15)*(K422-$I422)/($H422-$I422))),IF(K422&lt;=$H422,A_Scoring_Model!$C$14,IF(K422&gt;$I422,0,A_Scoring_Model!$C$15+(A_Scoring_Model!$C$14-A_Scoring_Model!$C$15)*($I422-K422)/($I422-$H422))))))</f>
        <v/>
      </c>
      <c r="P422" s="56" t="str">
        <f aca="false">IF(L422="","",IF($H422=$I422,IF(OR(AND($G422="Higher is better",L422&gt;=$H422),AND($G422="Lower is better",L422&lt;=$H422)),A_Scoring_Model!$C$14,0),IF($G422="Higher is better",IF(L422&gt;=$H422,A_Scoring_Model!$C$14,IF(L422&lt;$I422,0,A_Scoring_Model!$C$15+(A_Scoring_Model!$C$14-A_Scoring_Model!$C$15)*(L422-$I422)/($H422-$I422))),IF(L422&lt;=$H422,A_Scoring_Model!$C$14,IF(L422&gt;$I422,0,A_Scoring_Model!$C$15+(A_Scoring_Model!$C$14-A_Scoring_Model!$C$15)*($I422-L422)/($I422-$H422))))))</f>
        <v/>
      </c>
      <c r="Q422" s="56" t="str">
        <f aca="false">IF(M422="","",IF($H422=$I422,IF(OR(AND($G422="Higher is better",M422&gt;=$H422),AND($G422="Lower is better",M422&lt;=$H422)),A_Scoring_Model!$C$14,0),IF($G422="Higher is better",IF(M422&gt;=$H422,A_Scoring_Model!$C$14,IF(M422&lt;$I422,0,A_Scoring_Model!$C$15+(A_Scoring_Model!$C$14-A_Scoring_Model!$C$15)*(M422-$I422)/($H422-$I422))),IF(M422&lt;=$H422,A_Scoring_Model!$C$14,IF(M422&gt;$I422,0,A_Scoring_Model!$C$15+(A_Scoring_Model!$C$14-A_Scoring_Model!$C$15)*($I422-M422)/($I422-$H422))))))</f>
        <v/>
      </c>
    </row>
    <row r="423" customFormat="false" ht="15" hidden="false" customHeight="false" outlineLevel="0" collapsed="false">
      <c r="A423" s="51" t="str">
        <f aca="false">C_KPI_Benchmark!A423</f>
        <v>8.b-D3-09</v>
      </c>
      <c r="B423" s="52" t="str">
        <f aca="false">C_KPI_Benchmark!D423</f>
        <v>8.b</v>
      </c>
      <c r="C423" s="51" t="str">
        <f aca="false">C_KPI_Benchmark!E423</f>
        <v>Knowledge Extractor Agent</v>
      </c>
      <c r="D423" s="52" t="str">
        <f aca="false">C_KPI_Benchmark!F423</f>
        <v>D3</v>
      </c>
      <c r="E423" s="51" t="str">
        <f aca="false">C_KPI_Benchmark!J423</f>
        <v>Latency degradation at 10× load</v>
      </c>
      <c r="F423" s="52" t="str">
        <f aca="false">C_KPI_Benchmark!K423</f>
        <v>%</v>
      </c>
      <c r="G423" s="51" t="str">
        <f aca="false">C_KPI_Benchmark!L423</f>
        <v>Lower is better</v>
      </c>
      <c r="H423" s="53" t="n">
        <f aca="false">C_KPI_Benchmark!N423</f>
        <v>0.2</v>
      </c>
      <c r="I423" s="54" t="n">
        <f aca="false">IF(C_KPI_Benchmark!O423&lt;&gt;"",C_KPI_Benchmark!O423,IF(G423="Higher is better",H423*(1-A_Scoring_Model!$C$16),H423*(1+A_Scoring_Model!$C$16)))</f>
        <v>0.4</v>
      </c>
      <c r="J423" s="55"/>
      <c r="K423" s="55"/>
      <c r="L423" s="55"/>
      <c r="M423" s="55"/>
      <c r="N423" s="56" t="str">
        <f aca="false">IF(J423="","",IF($H423=$I423,IF(OR(AND($G423="Higher is better",J423&gt;=$H423),AND($G423="Lower is better",J423&lt;=$H423)),A_Scoring_Model!$C$14,0),IF($G423="Higher is better",IF(J423&gt;=$H423,A_Scoring_Model!$C$14,IF(J423&lt;$I423,0,A_Scoring_Model!$C$15+(A_Scoring_Model!$C$14-A_Scoring_Model!$C$15)*(J423-$I423)/($H423-$I423))),IF(J423&lt;=$H423,A_Scoring_Model!$C$14,IF(J423&gt;$I423,0,A_Scoring_Model!$C$15+(A_Scoring_Model!$C$14-A_Scoring_Model!$C$15)*($I423-J423)/($I423-$H423))))))</f>
        <v/>
      </c>
      <c r="O423" s="56" t="str">
        <f aca="false">IF(K423="","",IF($H423=$I423,IF(OR(AND($G423="Higher is better",K423&gt;=$H423),AND($G423="Lower is better",K423&lt;=$H423)),A_Scoring_Model!$C$14,0),IF($G423="Higher is better",IF(K423&gt;=$H423,A_Scoring_Model!$C$14,IF(K423&lt;$I423,0,A_Scoring_Model!$C$15+(A_Scoring_Model!$C$14-A_Scoring_Model!$C$15)*(K423-$I423)/($H423-$I423))),IF(K423&lt;=$H423,A_Scoring_Model!$C$14,IF(K423&gt;$I423,0,A_Scoring_Model!$C$15+(A_Scoring_Model!$C$14-A_Scoring_Model!$C$15)*($I423-K423)/($I423-$H423))))))</f>
        <v/>
      </c>
      <c r="P423" s="56" t="str">
        <f aca="false">IF(L423="","",IF($H423=$I423,IF(OR(AND($G423="Higher is better",L423&gt;=$H423),AND($G423="Lower is better",L423&lt;=$H423)),A_Scoring_Model!$C$14,0),IF($G423="Higher is better",IF(L423&gt;=$H423,A_Scoring_Model!$C$14,IF(L423&lt;$I423,0,A_Scoring_Model!$C$15+(A_Scoring_Model!$C$14-A_Scoring_Model!$C$15)*(L423-$I423)/($H423-$I423))),IF(L423&lt;=$H423,A_Scoring_Model!$C$14,IF(L423&gt;$I423,0,A_Scoring_Model!$C$15+(A_Scoring_Model!$C$14-A_Scoring_Model!$C$15)*($I423-L423)/($I423-$H423))))))</f>
        <v/>
      </c>
      <c r="Q423" s="56" t="str">
        <f aca="false">IF(M423="","",IF($H423=$I423,IF(OR(AND($G423="Higher is better",M423&gt;=$H423),AND($G423="Lower is better",M423&lt;=$H423)),A_Scoring_Model!$C$14,0),IF($G423="Higher is better",IF(M423&gt;=$H423,A_Scoring_Model!$C$14,IF(M423&lt;$I423,0,A_Scoring_Model!$C$15+(A_Scoring_Model!$C$14-A_Scoring_Model!$C$15)*(M423-$I423)/($H423-$I423))),IF(M423&lt;=$H423,A_Scoring_Model!$C$14,IF(M423&gt;$I423,0,A_Scoring_Model!$C$15+(A_Scoring_Model!$C$14-A_Scoring_Model!$C$15)*($I423-M423)/($I423-$H423))))))</f>
        <v/>
      </c>
    </row>
    <row r="424" customFormat="false" ht="15" hidden="false" customHeight="false" outlineLevel="0" collapsed="false">
      <c r="A424" s="51" t="str">
        <f aca="false">C_KPI_Benchmark!A424</f>
        <v>8.b-D4-10</v>
      </c>
      <c r="B424" s="52" t="str">
        <f aca="false">C_KPI_Benchmark!D424</f>
        <v>8.b</v>
      </c>
      <c r="C424" s="51" t="str">
        <f aca="false">C_KPI_Benchmark!E424</f>
        <v>Knowledge Extractor Agent</v>
      </c>
      <c r="D424" s="52" t="str">
        <f aca="false">C_KPI_Benchmark!F424</f>
        <v>D4</v>
      </c>
      <c r="E424" s="51" t="str">
        <f aca="false">C_KPI_Benchmark!J424</f>
        <v>Confidential redaction</v>
      </c>
      <c r="F424" s="52" t="str">
        <f aca="false">C_KPI_Benchmark!K424</f>
        <v>%</v>
      </c>
      <c r="G424" s="51" t="str">
        <f aca="false">C_KPI_Benchmark!L424</f>
        <v>Higher is better</v>
      </c>
      <c r="H424" s="53" t="n">
        <f aca="false">C_KPI_Benchmark!N424</f>
        <v>1</v>
      </c>
      <c r="I424" s="54" t="n">
        <f aca="false">IF(C_KPI_Benchmark!O424&lt;&gt;"",C_KPI_Benchmark!O424,IF(G424="Higher is better",H424*(1-A_Scoring_Model!$C$16),H424*(1+A_Scoring_Model!$C$16)))</f>
        <v>0.8</v>
      </c>
      <c r="J424" s="55"/>
      <c r="K424" s="55"/>
      <c r="L424" s="55"/>
      <c r="M424" s="55"/>
      <c r="N424" s="56" t="str">
        <f aca="false">IF(J424="","",IF($H424=$I424,IF(OR(AND($G424="Higher is better",J424&gt;=$H424),AND($G424="Lower is better",J424&lt;=$H424)),A_Scoring_Model!$C$14,0),IF($G424="Higher is better",IF(J424&gt;=$H424,A_Scoring_Model!$C$14,IF(J424&lt;$I424,0,A_Scoring_Model!$C$15+(A_Scoring_Model!$C$14-A_Scoring_Model!$C$15)*(J424-$I424)/($H424-$I424))),IF(J424&lt;=$H424,A_Scoring_Model!$C$14,IF(J424&gt;$I424,0,A_Scoring_Model!$C$15+(A_Scoring_Model!$C$14-A_Scoring_Model!$C$15)*($I424-J424)/($I424-$H424))))))</f>
        <v/>
      </c>
      <c r="O424" s="56" t="str">
        <f aca="false">IF(K424="","",IF($H424=$I424,IF(OR(AND($G424="Higher is better",K424&gt;=$H424),AND($G424="Lower is better",K424&lt;=$H424)),A_Scoring_Model!$C$14,0),IF($G424="Higher is better",IF(K424&gt;=$H424,A_Scoring_Model!$C$14,IF(K424&lt;$I424,0,A_Scoring_Model!$C$15+(A_Scoring_Model!$C$14-A_Scoring_Model!$C$15)*(K424-$I424)/($H424-$I424))),IF(K424&lt;=$H424,A_Scoring_Model!$C$14,IF(K424&gt;$I424,0,A_Scoring_Model!$C$15+(A_Scoring_Model!$C$14-A_Scoring_Model!$C$15)*($I424-K424)/($I424-$H424))))))</f>
        <v/>
      </c>
      <c r="P424" s="56" t="str">
        <f aca="false">IF(L424="","",IF($H424=$I424,IF(OR(AND($G424="Higher is better",L424&gt;=$H424),AND($G424="Lower is better",L424&lt;=$H424)),A_Scoring_Model!$C$14,0),IF($G424="Higher is better",IF(L424&gt;=$H424,A_Scoring_Model!$C$14,IF(L424&lt;$I424,0,A_Scoring_Model!$C$15+(A_Scoring_Model!$C$14-A_Scoring_Model!$C$15)*(L424-$I424)/($H424-$I424))),IF(L424&lt;=$H424,A_Scoring_Model!$C$14,IF(L424&gt;$I424,0,A_Scoring_Model!$C$15+(A_Scoring_Model!$C$14-A_Scoring_Model!$C$15)*($I424-L424)/($I424-$H424))))))</f>
        <v/>
      </c>
      <c r="Q424" s="56" t="str">
        <f aca="false">IF(M424="","",IF($H424=$I424,IF(OR(AND($G424="Higher is better",M424&gt;=$H424),AND($G424="Lower is better",M424&lt;=$H424)),A_Scoring_Model!$C$14,0),IF($G424="Higher is better",IF(M424&gt;=$H424,A_Scoring_Model!$C$14,IF(M424&lt;$I424,0,A_Scoring_Model!$C$15+(A_Scoring_Model!$C$14-A_Scoring_Model!$C$15)*(M424-$I424)/($H424-$I424))),IF(M424&lt;=$H424,A_Scoring_Model!$C$14,IF(M424&gt;$I424,0,A_Scoring_Model!$C$15+(A_Scoring_Model!$C$14-A_Scoring_Model!$C$15)*($I424-M424)/($I424-$H424))))))</f>
        <v/>
      </c>
    </row>
    <row r="425" customFormat="false" ht="15" hidden="false" customHeight="false" outlineLevel="0" collapsed="false">
      <c r="A425" s="51" t="str">
        <f aca="false">C_KPI_Benchmark!A425</f>
        <v>8.b-D4-11</v>
      </c>
      <c r="B425" s="52" t="str">
        <f aca="false">C_KPI_Benchmark!D425</f>
        <v>8.b</v>
      </c>
      <c r="C425" s="51" t="str">
        <f aca="false">C_KPI_Benchmark!E425</f>
        <v>Knowledge Extractor Agent</v>
      </c>
      <c r="D425" s="52" t="str">
        <f aca="false">C_KPI_Benchmark!F425</f>
        <v>D4</v>
      </c>
      <c r="E425" s="51" t="str">
        <f aca="false">C_KPI_Benchmark!J425</f>
        <v>Service availability</v>
      </c>
      <c r="F425" s="52" t="str">
        <f aca="false">C_KPI_Benchmark!K425</f>
        <v>%</v>
      </c>
      <c r="G425" s="51" t="str">
        <f aca="false">C_KPI_Benchmark!L425</f>
        <v>Higher is better</v>
      </c>
      <c r="H425" s="53" t="n">
        <f aca="false">C_KPI_Benchmark!N425</f>
        <v>0.995</v>
      </c>
      <c r="I425" s="54" t="n">
        <f aca="false">IF(C_KPI_Benchmark!O425&lt;&gt;"",C_KPI_Benchmark!O425,IF(G425="Higher is better",H425*(1-A_Scoring_Model!$C$16),H425*(1+A_Scoring_Model!$C$16)))</f>
        <v>0.99</v>
      </c>
      <c r="J425" s="55"/>
      <c r="K425" s="55"/>
      <c r="L425" s="55"/>
      <c r="M425" s="55"/>
      <c r="N425" s="56" t="str">
        <f aca="false">IF(J425="","",IF($H425=$I425,IF(OR(AND($G425="Higher is better",J425&gt;=$H425),AND($G425="Lower is better",J425&lt;=$H425)),A_Scoring_Model!$C$14,0),IF($G425="Higher is better",IF(J425&gt;=$H425,A_Scoring_Model!$C$14,IF(J425&lt;$I425,0,A_Scoring_Model!$C$15+(A_Scoring_Model!$C$14-A_Scoring_Model!$C$15)*(J425-$I425)/($H425-$I425))),IF(J425&lt;=$H425,A_Scoring_Model!$C$14,IF(J425&gt;$I425,0,A_Scoring_Model!$C$15+(A_Scoring_Model!$C$14-A_Scoring_Model!$C$15)*($I425-J425)/($I425-$H425))))))</f>
        <v/>
      </c>
      <c r="O425" s="56" t="str">
        <f aca="false">IF(K425="","",IF($H425=$I425,IF(OR(AND($G425="Higher is better",K425&gt;=$H425),AND($G425="Lower is better",K425&lt;=$H425)),A_Scoring_Model!$C$14,0),IF($G425="Higher is better",IF(K425&gt;=$H425,A_Scoring_Model!$C$14,IF(K425&lt;$I425,0,A_Scoring_Model!$C$15+(A_Scoring_Model!$C$14-A_Scoring_Model!$C$15)*(K425-$I425)/($H425-$I425))),IF(K425&lt;=$H425,A_Scoring_Model!$C$14,IF(K425&gt;$I425,0,A_Scoring_Model!$C$15+(A_Scoring_Model!$C$14-A_Scoring_Model!$C$15)*($I425-K425)/($I425-$H425))))))</f>
        <v/>
      </c>
      <c r="P425" s="56" t="str">
        <f aca="false">IF(L425="","",IF($H425=$I425,IF(OR(AND($G425="Higher is better",L425&gt;=$H425),AND($G425="Lower is better",L425&lt;=$H425)),A_Scoring_Model!$C$14,0),IF($G425="Higher is better",IF(L425&gt;=$H425,A_Scoring_Model!$C$14,IF(L425&lt;$I425,0,A_Scoring_Model!$C$15+(A_Scoring_Model!$C$14-A_Scoring_Model!$C$15)*(L425-$I425)/($H425-$I425))),IF(L425&lt;=$H425,A_Scoring_Model!$C$14,IF(L425&gt;$I425,0,A_Scoring_Model!$C$15+(A_Scoring_Model!$C$14-A_Scoring_Model!$C$15)*($I425-L425)/($I425-$H425))))))</f>
        <v/>
      </c>
      <c r="Q425" s="56" t="str">
        <f aca="false">IF(M425="","",IF($H425=$I425,IF(OR(AND($G425="Higher is better",M425&gt;=$H425),AND($G425="Lower is better",M425&lt;=$H425)),A_Scoring_Model!$C$14,0),IF($G425="Higher is better",IF(M425&gt;=$H425,A_Scoring_Model!$C$14,IF(M425&lt;$I425,0,A_Scoring_Model!$C$15+(A_Scoring_Model!$C$14-A_Scoring_Model!$C$15)*(M425-$I425)/($H425-$I425))),IF(M425&lt;=$H425,A_Scoring_Model!$C$14,IF(M425&gt;$I425,0,A_Scoring_Model!$C$15+(A_Scoring_Model!$C$14-A_Scoring_Model!$C$15)*($I425-M425)/($I425-$H425))))))</f>
        <v/>
      </c>
    </row>
    <row r="426" customFormat="false" ht="15" hidden="false" customHeight="false" outlineLevel="0" collapsed="false">
      <c r="A426" s="51" t="str">
        <f aca="false">C_KPI_Benchmark!A426</f>
        <v>8.b-D5-12</v>
      </c>
      <c r="B426" s="52" t="str">
        <f aca="false">C_KPI_Benchmark!D426</f>
        <v>8.b</v>
      </c>
      <c r="C426" s="51" t="str">
        <f aca="false">C_KPI_Benchmark!E426</f>
        <v>Knowledge Extractor Agent</v>
      </c>
      <c r="D426" s="52" t="str">
        <f aca="false">C_KPI_Benchmark!F426</f>
        <v>D5</v>
      </c>
      <c r="E426" s="51" t="str">
        <f aca="false">C_KPI_Benchmark!J426</f>
        <v>New-member KT time reduction</v>
      </c>
      <c r="F426" s="52" t="str">
        <f aca="false">C_KPI_Benchmark!K426</f>
        <v>%</v>
      </c>
      <c r="G426" s="51" t="str">
        <f aca="false">C_KPI_Benchmark!L426</f>
        <v>Higher is better</v>
      </c>
      <c r="H426" s="53" t="n">
        <f aca="false">C_KPI_Benchmark!N426</f>
        <v>0.4</v>
      </c>
      <c r="I426" s="54" t="n">
        <f aca="false">IF(C_KPI_Benchmark!O426&lt;&gt;"",C_KPI_Benchmark!O426,IF(G426="Higher is better",H426*(1-A_Scoring_Model!$C$16),H426*(1+A_Scoring_Model!$C$16)))</f>
        <v>0.32</v>
      </c>
      <c r="J426" s="55"/>
      <c r="K426" s="55"/>
      <c r="L426" s="55"/>
      <c r="M426" s="55"/>
      <c r="N426" s="56" t="str">
        <f aca="false">IF(J426="","",IF($H426=$I426,IF(OR(AND($G426="Higher is better",J426&gt;=$H426),AND($G426="Lower is better",J426&lt;=$H426)),A_Scoring_Model!$C$14,0),IF($G426="Higher is better",IF(J426&gt;=$H426,A_Scoring_Model!$C$14,IF(J426&lt;$I426,0,A_Scoring_Model!$C$15+(A_Scoring_Model!$C$14-A_Scoring_Model!$C$15)*(J426-$I426)/($H426-$I426))),IF(J426&lt;=$H426,A_Scoring_Model!$C$14,IF(J426&gt;$I426,0,A_Scoring_Model!$C$15+(A_Scoring_Model!$C$14-A_Scoring_Model!$C$15)*($I426-J426)/($I426-$H426))))))</f>
        <v/>
      </c>
      <c r="O426" s="56" t="str">
        <f aca="false">IF(K426="","",IF($H426=$I426,IF(OR(AND($G426="Higher is better",K426&gt;=$H426),AND($G426="Lower is better",K426&lt;=$H426)),A_Scoring_Model!$C$14,0),IF($G426="Higher is better",IF(K426&gt;=$H426,A_Scoring_Model!$C$14,IF(K426&lt;$I426,0,A_Scoring_Model!$C$15+(A_Scoring_Model!$C$14-A_Scoring_Model!$C$15)*(K426-$I426)/($H426-$I426))),IF(K426&lt;=$H426,A_Scoring_Model!$C$14,IF(K426&gt;$I426,0,A_Scoring_Model!$C$15+(A_Scoring_Model!$C$14-A_Scoring_Model!$C$15)*($I426-K426)/($I426-$H426))))))</f>
        <v/>
      </c>
      <c r="P426" s="56" t="str">
        <f aca="false">IF(L426="","",IF($H426=$I426,IF(OR(AND($G426="Higher is better",L426&gt;=$H426),AND($G426="Lower is better",L426&lt;=$H426)),A_Scoring_Model!$C$14,0),IF($G426="Higher is better",IF(L426&gt;=$H426,A_Scoring_Model!$C$14,IF(L426&lt;$I426,0,A_Scoring_Model!$C$15+(A_Scoring_Model!$C$14-A_Scoring_Model!$C$15)*(L426-$I426)/($H426-$I426))),IF(L426&lt;=$H426,A_Scoring_Model!$C$14,IF(L426&gt;$I426,0,A_Scoring_Model!$C$15+(A_Scoring_Model!$C$14-A_Scoring_Model!$C$15)*($I426-L426)/($I426-$H426))))))</f>
        <v/>
      </c>
      <c r="Q426" s="56" t="str">
        <f aca="false">IF(M426="","",IF($H426=$I426,IF(OR(AND($G426="Higher is better",M426&gt;=$H426),AND($G426="Lower is better",M426&lt;=$H426)),A_Scoring_Model!$C$14,0),IF($G426="Higher is better",IF(M426&gt;=$H426,A_Scoring_Model!$C$14,IF(M426&lt;$I426,0,A_Scoring_Model!$C$15+(A_Scoring_Model!$C$14-A_Scoring_Model!$C$15)*(M426-$I426)/($H426-$I426))),IF(M426&lt;=$H426,A_Scoring_Model!$C$14,IF(M426&gt;$I426,0,A_Scoring_Model!$C$15+(A_Scoring_Model!$C$14-A_Scoring_Model!$C$15)*($I426-M426)/($I426-$H426))))))</f>
        <v/>
      </c>
    </row>
    <row r="427" customFormat="false" ht="15" hidden="false" customHeight="false" outlineLevel="0" collapsed="false">
      <c r="A427" s="51" t="str">
        <f aca="false">C_KPI_Benchmark!A427</f>
        <v>8.b-D6-13</v>
      </c>
      <c r="B427" s="52" t="str">
        <f aca="false">C_KPI_Benchmark!D427</f>
        <v>8.b</v>
      </c>
      <c r="C427" s="51" t="str">
        <f aca="false">C_KPI_Benchmark!E427</f>
        <v>Knowledge Extractor Agent</v>
      </c>
      <c r="D427" s="52" t="str">
        <f aca="false">C_KPI_Benchmark!F427</f>
        <v>D6</v>
      </c>
      <c r="E427" s="51" t="str">
        <f aca="false">C_KPI_Benchmark!J427</f>
        <v>Solution code test coverage</v>
      </c>
      <c r="F427" s="52" t="str">
        <f aca="false">C_KPI_Benchmark!K427</f>
        <v>%</v>
      </c>
      <c r="G427" s="51" t="str">
        <f aca="false">C_KPI_Benchmark!L427</f>
        <v>Higher is better</v>
      </c>
      <c r="H427" s="53" t="n">
        <f aca="false">C_KPI_Benchmark!N427</f>
        <v>0.8</v>
      </c>
      <c r="I427" s="54" t="n">
        <f aca="false">IF(C_KPI_Benchmark!O427&lt;&gt;"",C_KPI_Benchmark!O427,IF(G427="Higher is better",H427*(1-A_Scoring_Model!$C$16),H427*(1+A_Scoring_Model!$C$16)))</f>
        <v>0.6</v>
      </c>
      <c r="J427" s="55"/>
      <c r="K427" s="55"/>
      <c r="L427" s="55"/>
      <c r="M427" s="55"/>
      <c r="N427" s="56" t="str">
        <f aca="false">IF(J427="","",IF($H427=$I427,IF(OR(AND($G427="Higher is better",J427&gt;=$H427),AND($G427="Lower is better",J427&lt;=$H427)),A_Scoring_Model!$C$14,0),IF($G427="Higher is better",IF(J427&gt;=$H427,A_Scoring_Model!$C$14,IF(J427&lt;$I427,0,A_Scoring_Model!$C$15+(A_Scoring_Model!$C$14-A_Scoring_Model!$C$15)*(J427-$I427)/($H427-$I427))),IF(J427&lt;=$H427,A_Scoring_Model!$C$14,IF(J427&gt;$I427,0,A_Scoring_Model!$C$15+(A_Scoring_Model!$C$14-A_Scoring_Model!$C$15)*($I427-J427)/($I427-$H427))))))</f>
        <v/>
      </c>
      <c r="O427" s="56" t="str">
        <f aca="false">IF(K427="","",IF($H427=$I427,IF(OR(AND($G427="Higher is better",K427&gt;=$H427),AND($G427="Lower is better",K427&lt;=$H427)),A_Scoring_Model!$C$14,0),IF($G427="Higher is better",IF(K427&gt;=$H427,A_Scoring_Model!$C$14,IF(K427&lt;$I427,0,A_Scoring_Model!$C$15+(A_Scoring_Model!$C$14-A_Scoring_Model!$C$15)*(K427-$I427)/($H427-$I427))),IF(K427&lt;=$H427,A_Scoring_Model!$C$14,IF(K427&gt;$I427,0,A_Scoring_Model!$C$15+(A_Scoring_Model!$C$14-A_Scoring_Model!$C$15)*($I427-K427)/($I427-$H427))))))</f>
        <v/>
      </c>
      <c r="P427" s="56" t="str">
        <f aca="false">IF(L427="","",IF($H427=$I427,IF(OR(AND($G427="Higher is better",L427&gt;=$H427),AND($G427="Lower is better",L427&lt;=$H427)),A_Scoring_Model!$C$14,0),IF($G427="Higher is better",IF(L427&gt;=$H427,A_Scoring_Model!$C$14,IF(L427&lt;$I427,0,A_Scoring_Model!$C$15+(A_Scoring_Model!$C$14-A_Scoring_Model!$C$15)*(L427-$I427)/($H427-$I427))),IF(L427&lt;=$H427,A_Scoring_Model!$C$14,IF(L427&gt;$I427,0,A_Scoring_Model!$C$15+(A_Scoring_Model!$C$14-A_Scoring_Model!$C$15)*($I427-L427)/($I427-$H427))))))</f>
        <v/>
      </c>
      <c r="Q427" s="56" t="str">
        <f aca="false">IF(M427="","",IF($H427=$I427,IF(OR(AND($G427="Higher is better",M427&gt;=$H427),AND($G427="Lower is better",M427&lt;=$H427)),A_Scoring_Model!$C$14,0),IF($G427="Higher is better",IF(M427&gt;=$H427,A_Scoring_Model!$C$14,IF(M427&lt;$I427,0,A_Scoring_Model!$C$15+(A_Scoring_Model!$C$14-A_Scoring_Model!$C$15)*(M427-$I427)/($H427-$I427))),IF(M427&lt;=$H427,A_Scoring_Model!$C$14,IF(M427&gt;$I427,0,A_Scoring_Model!$C$15+(A_Scoring_Model!$C$14-A_Scoring_Model!$C$15)*($I427-M427)/($I427-$H427))))))</f>
        <v/>
      </c>
    </row>
    <row r="428" customFormat="false" ht="15" hidden="false" customHeight="false" outlineLevel="0" collapsed="false">
      <c r="A428" s="51" t="str">
        <f aca="false">C_KPI_Benchmark!A428</f>
        <v>8.b-D6-14</v>
      </c>
      <c r="B428" s="52" t="str">
        <f aca="false">C_KPI_Benchmark!D428</f>
        <v>8.b</v>
      </c>
      <c r="C428" s="51" t="str">
        <f aca="false">C_KPI_Benchmark!E428</f>
        <v>Knowledge Extractor Agent</v>
      </c>
      <c r="D428" s="52" t="str">
        <f aca="false">C_KPI_Benchmark!F428</f>
        <v>D6</v>
      </c>
      <c r="E428" s="51" t="str">
        <f aca="false">C_KPI_Benchmark!J428</f>
        <v>Review Shield critical findings</v>
      </c>
      <c r="F428" s="52" t="str">
        <f aca="false">C_KPI_Benchmark!K428</f>
        <v>count</v>
      </c>
      <c r="G428" s="51" t="str">
        <f aca="false">C_KPI_Benchmark!L428</f>
        <v>Lower is better</v>
      </c>
      <c r="H428" s="62" t="n">
        <f aca="false">C_KPI_Benchmark!N428</f>
        <v>0</v>
      </c>
      <c r="I428" s="63" t="n">
        <f aca="false">IF(C_KPI_Benchmark!O428&lt;&gt;"",C_KPI_Benchmark!O428,IF(G428="Higher is better",H428*(1-A_Scoring_Model!$C$16),H428*(1+A_Scoring_Model!$C$16)))</f>
        <v>0</v>
      </c>
      <c r="J428" s="64"/>
      <c r="K428" s="64"/>
      <c r="L428" s="64"/>
      <c r="M428" s="64"/>
      <c r="N428" s="56" t="str">
        <f aca="false">IF(J428="","",IF($H428=$I428,IF(OR(AND($G428="Higher is better",J428&gt;=$H428),AND($G428="Lower is better",J428&lt;=$H428)),A_Scoring_Model!$C$14,0),IF($G428="Higher is better",IF(J428&gt;=$H428,A_Scoring_Model!$C$14,IF(J428&lt;$I428,0,A_Scoring_Model!$C$15+(A_Scoring_Model!$C$14-A_Scoring_Model!$C$15)*(J428-$I428)/($H428-$I428))),IF(J428&lt;=$H428,A_Scoring_Model!$C$14,IF(J428&gt;$I428,0,A_Scoring_Model!$C$15+(A_Scoring_Model!$C$14-A_Scoring_Model!$C$15)*($I428-J428)/($I428-$H428))))))</f>
        <v/>
      </c>
      <c r="O428" s="56" t="str">
        <f aca="false">IF(K428="","",IF($H428=$I428,IF(OR(AND($G428="Higher is better",K428&gt;=$H428),AND($G428="Lower is better",K428&lt;=$H428)),A_Scoring_Model!$C$14,0),IF($G428="Higher is better",IF(K428&gt;=$H428,A_Scoring_Model!$C$14,IF(K428&lt;$I428,0,A_Scoring_Model!$C$15+(A_Scoring_Model!$C$14-A_Scoring_Model!$C$15)*(K428-$I428)/($H428-$I428))),IF(K428&lt;=$H428,A_Scoring_Model!$C$14,IF(K428&gt;$I428,0,A_Scoring_Model!$C$15+(A_Scoring_Model!$C$14-A_Scoring_Model!$C$15)*($I428-K428)/($I428-$H428))))))</f>
        <v/>
      </c>
      <c r="P428" s="56" t="str">
        <f aca="false">IF(L428="","",IF($H428=$I428,IF(OR(AND($G428="Higher is better",L428&gt;=$H428),AND($G428="Lower is better",L428&lt;=$H428)),A_Scoring_Model!$C$14,0),IF($G428="Higher is better",IF(L428&gt;=$H428,A_Scoring_Model!$C$14,IF(L428&lt;$I428,0,A_Scoring_Model!$C$15+(A_Scoring_Model!$C$14-A_Scoring_Model!$C$15)*(L428-$I428)/($H428-$I428))),IF(L428&lt;=$H428,A_Scoring_Model!$C$14,IF(L428&gt;$I428,0,A_Scoring_Model!$C$15+(A_Scoring_Model!$C$14-A_Scoring_Model!$C$15)*($I428-L428)/($I428-$H428))))))</f>
        <v/>
      </c>
      <c r="Q428" s="56" t="str">
        <f aca="false">IF(M428="","",IF($H428=$I428,IF(OR(AND($G428="Higher is better",M428&gt;=$H428),AND($G428="Lower is better",M428&lt;=$H428)),A_Scoring_Model!$C$14,0),IF($G428="Higher is better",IF(M428&gt;=$H428,A_Scoring_Model!$C$14,IF(M428&lt;$I428,0,A_Scoring_Model!$C$15+(A_Scoring_Model!$C$14-A_Scoring_Model!$C$15)*(M428-$I428)/($H428-$I428))),IF(M428&lt;=$H428,A_Scoring_Model!$C$14,IF(M428&gt;$I428,0,A_Scoring_Model!$C$15+(A_Scoring_Model!$C$14-A_Scoring_Model!$C$15)*($I428-M428)/($I428-$H428))))))</f>
        <v/>
      </c>
    </row>
    <row r="429" customFormat="false" ht="15" hidden="false" customHeight="false" outlineLevel="0" collapsed="false">
      <c r="A429" s="51" t="str">
        <f aca="false">C_KPI_Benchmark!A429</f>
        <v>8.b-D6-15</v>
      </c>
      <c r="B429" s="52" t="str">
        <f aca="false">C_KPI_Benchmark!D429</f>
        <v>8.b</v>
      </c>
      <c r="C429" s="51" t="str">
        <f aca="false">C_KPI_Benchmark!E429</f>
        <v>Knowledge Extractor Agent</v>
      </c>
      <c r="D429" s="52" t="str">
        <f aca="false">C_KPI_Benchmark!F429</f>
        <v>D6</v>
      </c>
      <c r="E429" s="51" t="str">
        <f aca="false">C_KPI_Benchmark!J429</f>
        <v>SAST high findings and exposed secrets</v>
      </c>
      <c r="F429" s="52" t="str">
        <f aca="false">C_KPI_Benchmark!K429</f>
        <v>count</v>
      </c>
      <c r="G429" s="51" t="str">
        <f aca="false">C_KPI_Benchmark!L429</f>
        <v>Lower is better</v>
      </c>
      <c r="H429" s="62" t="n">
        <f aca="false">C_KPI_Benchmark!N429</f>
        <v>0</v>
      </c>
      <c r="I429" s="63" t="n">
        <f aca="false">IF(C_KPI_Benchmark!O429&lt;&gt;"",C_KPI_Benchmark!O429,IF(G429="Higher is better",H429*(1-A_Scoring_Model!$C$16),H429*(1+A_Scoring_Model!$C$16)))</f>
        <v>0</v>
      </c>
      <c r="J429" s="64"/>
      <c r="K429" s="64"/>
      <c r="L429" s="64"/>
      <c r="M429" s="64"/>
      <c r="N429" s="56" t="str">
        <f aca="false">IF(J429="","",IF($H429=$I429,IF(OR(AND($G429="Higher is better",J429&gt;=$H429),AND($G429="Lower is better",J429&lt;=$H429)),A_Scoring_Model!$C$14,0),IF($G429="Higher is better",IF(J429&gt;=$H429,A_Scoring_Model!$C$14,IF(J429&lt;$I429,0,A_Scoring_Model!$C$15+(A_Scoring_Model!$C$14-A_Scoring_Model!$C$15)*(J429-$I429)/($H429-$I429))),IF(J429&lt;=$H429,A_Scoring_Model!$C$14,IF(J429&gt;$I429,0,A_Scoring_Model!$C$15+(A_Scoring_Model!$C$14-A_Scoring_Model!$C$15)*($I429-J429)/($I429-$H429))))))</f>
        <v/>
      </c>
      <c r="O429" s="56" t="str">
        <f aca="false">IF(K429="","",IF($H429=$I429,IF(OR(AND($G429="Higher is better",K429&gt;=$H429),AND($G429="Lower is better",K429&lt;=$H429)),A_Scoring_Model!$C$14,0),IF($G429="Higher is better",IF(K429&gt;=$H429,A_Scoring_Model!$C$14,IF(K429&lt;$I429,0,A_Scoring_Model!$C$15+(A_Scoring_Model!$C$14-A_Scoring_Model!$C$15)*(K429-$I429)/($H429-$I429))),IF(K429&lt;=$H429,A_Scoring_Model!$C$14,IF(K429&gt;$I429,0,A_Scoring_Model!$C$15+(A_Scoring_Model!$C$14-A_Scoring_Model!$C$15)*($I429-K429)/($I429-$H429))))))</f>
        <v/>
      </c>
      <c r="P429" s="56" t="str">
        <f aca="false">IF(L429="","",IF($H429=$I429,IF(OR(AND($G429="Higher is better",L429&gt;=$H429),AND($G429="Lower is better",L429&lt;=$H429)),A_Scoring_Model!$C$14,0),IF($G429="Higher is better",IF(L429&gt;=$H429,A_Scoring_Model!$C$14,IF(L429&lt;$I429,0,A_Scoring_Model!$C$15+(A_Scoring_Model!$C$14-A_Scoring_Model!$C$15)*(L429-$I429)/($H429-$I429))),IF(L429&lt;=$H429,A_Scoring_Model!$C$14,IF(L429&gt;$I429,0,A_Scoring_Model!$C$15+(A_Scoring_Model!$C$14-A_Scoring_Model!$C$15)*($I429-L429)/($I429-$H429))))))</f>
        <v/>
      </c>
      <c r="Q429" s="56" t="str">
        <f aca="false">IF(M429="","",IF($H429=$I429,IF(OR(AND($G429="Higher is better",M429&gt;=$H429),AND($G429="Lower is better",M429&lt;=$H429)),A_Scoring_Model!$C$14,0),IF($G429="Higher is better",IF(M429&gt;=$H429,A_Scoring_Model!$C$14,IF(M429&lt;$I429,0,A_Scoring_Model!$C$15+(A_Scoring_Model!$C$14-A_Scoring_Model!$C$15)*(M429-$I429)/($H429-$I429))),IF(M429&lt;=$H429,A_Scoring_Model!$C$14,IF(M429&gt;$I429,0,A_Scoring_Model!$C$15+(A_Scoring_Model!$C$14-A_Scoring_Model!$C$15)*($I429-M429)/($I429-$H429))))))</f>
        <v/>
      </c>
    </row>
    <row r="430" customFormat="false" ht="23.85" hidden="false" customHeight="false" outlineLevel="0" collapsed="false">
      <c r="A430" s="51" t="str">
        <f aca="false">C_KPI_Benchmark!A430</f>
        <v>8.b-D6-16</v>
      </c>
      <c r="B430" s="52" t="str">
        <f aca="false">C_KPI_Benchmark!D430</f>
        <v>8.b</v>
      </c>
      <c r="C430" s="51" t="str">
        <f aca="false">C_KPI_Benchmark!E430</f>
        <v>Knowledge Extractor Agent</v>
      </c>
      <c r="D430" s="52" t="str">
        <f aca="false">C_KPI_Benchmark!F430</f>
        <v>D6</v>
      </c>
      <c r="E430" s="51" t="str">
        <f aca="false">C_KPI_Benchmark!J430</f>
        <v>Documentation pack complete (README, I/O contract, model card, runbook)</v>
      </c>
      <c r="F430" s="52" t="str">
        <f aca="false">C_KPI_Benchmark!K430</f>
        <v>Yes/No</v>
      </c>
      <c r="G430" s="51" t="str">
        <f aca="false">C_KPI_Benchmark!L430</f>
        <v>Higher is better</v>
      </c>
      <c r="H430" s="60" t="n">
        <f aca="false">C_KPI_Benchmark!N430</f>
        <v>1</v>
      </c>
      <c r="I430" s="56" t="n">
        <f aca="false">IF(C_KPI_Benchmark!O430&lt;&gt;"",C_KPI_Benchmark!O430,IF(G430="Higher is better",H430*(1-A_Scoring_Model!$C$16),H430*(1+A_Scoring_Model!$C$16)))</f>
        <v>0.8</v>
      </c>
      <c r="J430" s="61"/>
      <c r="K430" s="61"/>
      <c r="L430" s="61"/>
      <c r="M430" s="61"/>
      <c r="N430" s="56" t="str">
        <f aca="false">IF(J430="","",IF($H430=$I430,IF(OR(AND($G430="Higher is better",J430&gt;=$H430),AND($G430="Lower is better",J430&lt;=$H430)),A_Scoring_Model!$C$14,0),IF($G430="Higher is better",IF(J430&gt;=$H430,A_Scoring_Model!$C$14,IF(J430&lt;$I430,0,A_Scoring_Model!$C$15+(A_Scoring_Model!$C$14-A_Scoring_Model!$C$15)*(J430-$I430)/($H430-$I430))),IF(J430&lt;=$H430,A_Scoring_Model!$C$14,IF(J430&gt;$I430,0,A_Scoring_Model!$C$15+(A_Scoring_Model!$C$14-A_Scoring_Model!$C$15)*($I430-J430)/($I430-$H430))))))</f>
        <v/>
      </c>
      <c r="O430" s="56" t="str">
        <f aca="false">IF(K430="","",IF($H430=$I430,IF(OR(AND($G430="Higher is better",K430&gt;=$H430),AND($G430="Lower is better",K430&lt;=$H430)),A_Scoring_Model!$C$14,0),IF($G430="Higher is better",IF(K430&gt;=$H430,A_Scoring_Model!$C$14,IF(K430&lt;$I430,0,A_Scoring_Model!$C$15+(A_Scoring_Model!$C$14-A_Scoring_Model!$C$15)*(K430-$I430)/($H430-$I430))),IF(K430&lt;=$H430,A_Scoring_Model!$C$14,IF(K430&gt;$I430,0,A_Scoring_Model!$C$15+(A_Scoring_Model!$C$14-A_Scoring_Model!$C$15)*($I430-K430)/($I430-$H430))))))</f>
        <v/>
      </c>
      <c r="P430" s="56" t="str">
        <f aca="false">IF(L430="","",IF($H430=$I430,IF(OR(AND($G430="Higher is better",L430&gt;=$H430),AND($G430="Lower is better",L430&lt;=$H430)),A_Scoring_Model!$C$14,0),IF($G430="Higher is better",IF(L430&gt;=$H430,A_Scoring_Model!$C$14,IF(L430&lt;$I430,0,A_Scoring_Model!$C$15+(A_Scoring_Model!$C$14-A_Scoring_Model!$C$15)*(L430-$I430)/($H430-$I430))),IF(L430&lt;=$H430,A_Scoring_Model!$C$14,IF(L430&gt;$I430,0,A_Scoring_Model!$C$15+(A_Scoring_Model!$C$14-A_Scoring_Model!$C$15)*($I430-L430)/($I430-$H430))))))</f>
        <v/>
      </c>
      <c r="Q430" s="56" t="str">
        <f aca="false">IF(M430="","",IF($H430=$I430,IF(OR(AND($G430="Higher is better",M430&gt;=$H430),AND($G430="Lower is better",M430&lt;=$H430)),A_Scoring_Model!$C$14,0),IF($G430="Higher is better",IF(M430&gt;=$H430,A_Scoring_Model!$C$14,IF(M430&lt;$I430,0,A_Scoring_Model!$C$15+(A_Scoring_Model!$C$14-A_Scoring_Model!$C$15)*(M430-$I430)/($H430-$I430))),IF(M430&lt;=$H430,A_Scoring_Model!$C$14,IF(M430&gt;$I430,0,A_Scoring_Model!$C$15+(A_Scoring_Model!$C$14-A_Scoring_Model!$C$15)*($I430-M430)/($I430-$H430))))))</f>
        <v/>
      </c>
    </row>
    <row r="431" customFormat="false" ht="15" hidden="false" customHeight="false" outlineLevel="0" collapsed="false">
      <c r="A431" s="51" t="str">
        <f aca="false">C_KPI_Benchmark!A431</f>
        <v>8.b-D6-17</v>
      </c>
      <c r="B431" s="52" t="str">
        <f aca="false">C_KPI_Benchmark!D431</f>
        <v>8.b</v>
      </c>
      <c r="C431" s="51" t="str">
        <f aca="false">C_KPI_Benchmark!E431</f>
        <v>Knowledge Extractor Agent</v>
      </c>
      <c r="D431" s="52" t="str">
        <f aca="false">C_KPI_Benchmark!F431</f>
        <v>D6</v>
      </c>
      <c r="E431" s="51" t="str">
        <f aca="false">C_KPI_Benchmark!J431</f>
        <v>Named owner and support SLA</v>
      </c>
      <c r="F431" s="52" t="str">
        <f aca="false">C_KPI_Benchmark!K431</f>
        <v>Yes/No</v>
      </c>
      <c r="G431" s="51" t="str">
        <f aca="false">C_KPI_Benchmark!L431</f>
        <v>Higher is better</v>
      </c>
      <c r="H431" s="60" t="n">
        <f aca="false">C_KPI_Benchmark!N431</f>
        <v>1</v>
      </c>
      <c r="I431" s="56" t="n">
        <f aca="false">IF(C_KPI_Benchmark!O431&lt;&gt;"",C_KPI_Benchmark!O431,IF(G431="Higher is better",H431*(1-A_Scoring_Model!$C$16),H431*(1+A_Scoring_Model!$C$16)))</f>
        <v>0.8</v>
      </c>
      <c r="J431" s="61"/>
      <c r="K431" s="61"/>
      <c r="L431" s="61"/>
      <c r="M431" s="61"/>
      <c r="N431" s="56" t="str">
        <f aca="false">IF(J431="","",IF($H431=$I431,IF(OR(AND($G431="Higher is better",J431&gt;=$H431),AND($G431="Lower is better",J431&lt;=$H431)),A_Scoring_Model!$C$14,0),IF($G431="Higher is better",IF(J431&gt;=$H431,A_Scoring_Model!$C$14,IF(J431&lt;$I431,0,A_Scoring_Model!$C$15+(A_Scoring_Model!$C$14-A_Scoring_Model!$C$15)*(J431-$I431)/($H431-$I431))),IF(J431&lt;=$H431,A_Scoring_Model!$C$14,IF(J431&gt;$I431,0,A_Scoring_Model!$C$15+(A_Scoring_Model!$C$14-A_Scoring_Model!$C$15)*($I431-J431)/($I431-$H431))))))</f>
        <v/>
      </c>
      <c r="O431" s="56" t="str">
        <f aca="false">IF(K431="","",IF($H431=$I431,IF(OR(AND($G431="Higher is better",K431&gt;=$H431),AND($G431="Lower is better",K431&lt;=$H431)),A_Scoring_Model!$C$14,0),IF($G431="Higher is better",IF(K431&gt;=$H431,A_Scoring_Model!$C$14,IF(K431&lt;$I431,0,A_Scoring_Model!$C$15+(A_Scoring_Model!$C$14-A_Scoring_Model!$C$15)*(K431-$I431)/($H431-$I431))),IF(K431&lt;=$H431,A_Scoring_Model!$C$14,IF(K431&gt;$I431,0,A_Scoring_Model!$C$15+(A_Scoring_Model!$C$14-A_Scoring_Model!$C$15)*($I431-K431)/($I431-$H431))))))</f>
        <v/>
      </c>
      <c r="P431" s="56" t="str">
        <f aca="false">IF(L431="","",IF($H431=$I431,IF(OR(AND($G431="Higher is better",L431&gt;=$H431),AND($G431="Lower is better",L431&lt;=$H431)),A_Scoring_Model!$C$14,0),IF($G431="Higher is better",IF(L431&gt;=$H431,A_Scoring_Model!$C$14,IF(L431&lt;$I431,0,A_Scoring_Model!$C$15+(A_Scoring_Model!$C$14-A_Scoring_Model!$C$15)*(L431-$I431)/($H431-$I431))),IF(L431&lt;=$H431,A_Scoring_Model!$C$14,IF(L431&gt;$I431,0,A_Scoring_Model!$C$15+(A_Scoring_Model!$C$14-A_Scoring_Model!$C$15)*($I431-L431)/($I431-$H431))))))</f>
        <v/>
      </c>
      <c r="Q431" s="56" t="str">
        <f aca="false">IF(M431="","",IF($H431=$I431,IF(OR(AND($G431="Higher is better",M431&gt;=$H431),AND($G431="Lower is better",M431&lt;=$H431)),A_Scoring_Model!$C$14,0),IF($G431="Higher is better",IF(M431&gt;=$H431,A_Scoring_Model!$C$14,IF(M431&lt;$I431,0,A_Scoring_Model!$C$15+(A_Scoring_Model!$C$14-A_Scoring_Model!$C$15)*(M431-$I431)/($H431-$I431))),IF(M431&lt;=$H431,A_Scoring_Model!$C$14,IF(M431&gt;$I431,0,A_Scoring_Model!$C$15+(A_Scoring_Model!$C$14-A_Scoring_Model!$C$15)*($I431-M431)/($I431-$H431))))))</f>
        <v/>
      </c>
    </row>
    <row r="432" customFormat="false" ht="15" hidden="false" customHeight="false" outlineLevel="0" collapsed="false">
      <c r="A432" s="51" t="str">
        <f aca="false">C_KPI_Benchmark!A432</f>
        <v>8.c-D1-01</v>
      </c>
      <c r="B432" s="52" t="str">
        <f aca="false">C_KPI_Benchmark!D432</f>
        <v>8.c</v>
      </c>
      <c r="C432" s="51" t="str">
        <f aca="false">C_KPI_Benchmark!E432</f>
        <v>Process Optimizer Agent</v>
      </c>
      <c r="D432" s="52" t="str">
        <f aca="false">C_KPI_Benchmark!F432</f>
        <v>D1</v>
      </c>
      <c r="E432" s="51" t="str">
        <f aca="false">C_KPI_Benchmark!J432</f>
        <v>Bottleneck identification agreement</v>
      </c>
      <c r="F432" s="52" t="str">
        <f aca="false">C_KPI_Benchmark!K432</f>
        <v>%</v>
      </c>
      <c r="G432" s="51" t="str">
        <f aca="false">C_KPI_Benchmark!L432</f>
        <v>Higher is better</v>
      </c>
      <c r="H432" s="53" t="n">
        <f aca="false">C_KPI_Benchmark!N432</f>
        <v>0.8</v>
      </c>
      <c r="I432" s="54" t="n">
        <f aca="false">IF(C_KPI_Benchmark!O432&lt;&gt;"",C_KPI_Benchmark!O432,IF(G432="Higher is better",H432*(1-A_Scoring_Model!$C$16),H432*(1+A_Scoring_Model!$C$16)))</f>
        <v>0.65</v>
      </c>
      <c r="J432" s="55"/>
      <c r="K432" s="55"/>
      <c r="L432" s="55"/>
      <c r="M432" s="55"/>
      <c r="N432" s="56" t="str">
        <f aca="false">IF(J432="","",IF($H432=$I432,IF(OR(AND($G432="Higher is better",J432&gt;=$H432),AND($G432="Lower is better",J432&lt;=$H432)),A_Scoring_Model!$C$14,0),IF($G432="Higher is better",IF(J432&gt;=$H432,A_Scoring_Model!$C$14,IF(J432&lt;$I432,0,A_Scoring_Model!$C$15+(A_Scoring_Model!$C$14-A_Scoring_Model!$C$15)*(J432-$I432)/($H432-$I432))),IF(J432&lt;=$H432,A_Scoring_Model!$C$14,IF(J432&gt;$I432,0,A_Scoring_Model!$C$15+(A_Scoring_Model!$C$14-A_Scoring_Model!$C$15)*($I432-J432)/($I432-$H432))))))</f>
        <v/>
      </c>
      <c r="O432" s="56" t="str">
        <f aca="false">IF(K432="","",IF($H432=$I432,IF(OR(AND($G432="Higher is better",K432&gt;=$H432),AND($G432="Lower is better",K432&lt;=$H432)),A_Scoring_Model!$C$14,0),IF($G432="Higher is better",IF(K432&gt;=$H432,A_Scoring_Model!$C$14,IF(K432&lt;$I432,0,A_Scoring_Model!$C$15+(A_Scoring_Model!$C$14-A_Scoring_Model!$C$15)*(K432-$I432)/($H432-$I432))),IF(K432&lt;=$H432,A_Scoring_Model!$C$14,IF(K432&gt;$I432,0,A_Scoring_Model!$C$15+(A_Scoring_Model!$C$14-A_Scoring_Model!$C$15)*($I432-K432)/($I432-$H432))))))</f>
        <v/>
      </c>
      <c r="P432" s="56" t="str">
        <f aca="false">IF(L432="","",IF($H432=$I432,IF(OR(AND($G432="Higher is better",L432&gt;=$H432),AND($G432="Lower is better",L432&lt;=$H432)),A_Scoring_Model!$C$14,0),IF($G432="Higher is better",IF(L432&gt;=$H432,A_Scoring_Model!$C$14,IF(L432&lt;$I432,0,A_Scoring_Model!$C$15+(A_Scoring_Model!$C$14-A_Scoring_Model!$C$15)*(L432-$I432)/($H432-$I432))),IF(L432&lt;=$H432,A_Scoring_Model!$C$14,IF(L432&gt;$I432,0,A_Scoring_Model!$C$15+(A_Scoring_Model!$C$14-A_Scoring_Model!$C$15)*($I432-L432)/($I432-$H432))))))</f>
        <v/>
      </c>
      <c r="Q432" s="56" t="str">
        <f aca="false">IF(M432="","",IF($H432=$I432,IF(OR(AND($G432="Higher is better",M432&gt;=$H432),AND($G432="Lower is better",M432&lt;=$H432)),A_Scoring_Model!$C$14,0),IF($G432="Higher is better",IF(M432&gt;=$H432,A_Scoring_Model!$C$14,IF(M432&lt;$I432,0,A_Scoring_Model!$C$15+(A_Scoring_Model!$C$14-A_Scoring_Model!$C$15)*(M432-$I432)/($H432-$I432))),IF(M432&lt;=$H432,A_Scoring_Model!$C$14,IF(M432&gt;$I432,0,A_Scoring_Model!$C$15+(A_Scoring_Model!$C$14-A_Scoring_Model!$C$15)*($I432-M432)/($I432-$H432))))))</f>
        <v/>
      </c>
    </row>
    <row r="433" customFormat="false" ht="15" hidden="false" customHeight="false" outlineLevel="0" collapsed="false">
      <c r="A433" s="51" t="str">
        <f aca="false">C_KPI_Benchmark!A433</f>
        <v>8.c-D1-02</v>
      </c>
      <c r="B433" s="52" t="str">
        <f aca="false">C_KPI_Benchmark!D433</f>
        <v>8.c</v>
      </c>
      <c r="C433" s="51" t="str">
        <f aca="false">C_KPI_Benchmark!E433</f>
        <v>Process Optimizer Agent</v>
      </c>
      <c r="D433" s="52" t="str">
        <f aca="false">C_KPI_Benchmark!F433</f>
        <v>D1</v>
      </c>
      <c r="E433" s="51" t="str">
        <f aca="false">C_KPI_Benchmark!J433</f>
        <v>Conformance fitness</v>
      </c>
      <c r="F433" s="52" t="str">
        <f aca="false">C_KPI_Benchmark!K433</f>
        <v>ratio</v>
      </c>
      <c r="G433" s="51" t="str">
        <f aca="false">C_KPI_Benchmark!L433</f>
        <v>Higher is better</v>
      </c>
      <c r="H433" s="57" t="n">
        <f aca="false">C_KPI_Benchmark!N433</f>
        <v>0.9</v>
      </c>
      <c r="I433" s="58" t="n">
        <f aca="false">IF(C_KPI_Benchmark!O433&lt;&gt;"",C_KPI_Benchmark!O433,IF(G433="Higher is better",H433*(1-A_Scoring_Model!$C$16),H433*(1+A_Scoring_Model!$C$16)))</f>
        <v>0.8</v>
      </c>
      <c r="J433" s="59"/>
      <c r="K433" s="59"/>
      <c r="L433" s="59"/>
      <c r="M433" s="59"/>
      <c r="N433" s="56" t="str">
        <f aca="false">IF(J433="","",IF($H433=$I433,IF(OR(AND($G433="Higher is better",J433&gt;=$H433),AND($G433="Lower is better",J433&lt;=$H433)),A_Scoring_Model!$C$14,0),IF($G433="Higher is better",IF(J433&gt;=$H433,A_Scoring_Model!$C$14,IF(J433&lt;$I433,0,A_Scoring_Model!$C$15+(A_Scoring_Model!$C$14-A_Scoring_Model!$C$15)*(J433-$I433)/($H433-$I433))),IF(J433&lt;=$H433,A_Scoring_Model!$C$14,IF(J433&gt;$I433,0,A_Scoring_Model!$C$15+(A_Scoring_Model!$C$14-A_Scoring_Model!$C$15)*($I433-J433)/($I433-$H433))))))</f>
        <v/>
      </c>
      <c r="O433" s="56" t="str">
        <f aca="false">IF(K433="","",IF($H433=$I433,IF(OR(AND($G433="Higher is better",K433&gt;=$H433),AND($G433="Lower is better",K433&lt;=$H433)),A_Scoring_Model!$C$14,0),IF($G433="Higher is better",IF(K433&gt;=$H433,A_Scoring_Model!$C$14,IF(K433&lt;$I433,0,A_Scoring_Model!$C$15+(A_Scoring_Model!$C$14-A_Scoring_Model!$C$15)*(K433-$I433)/($H433-$I433))),IF(K433&lt;=$H433,A_Scoring_Model!$C$14,IF(K433&gt;$I433,0,A_Scoring_Model!$C$15+(A_Scoring_Model!$C$14-A_Scoring_Model!$C$15)*($I433-K433)/($I433-$H433))))))</f>
        <v/>
      </c>
      <c r="P433" s="56" t="str">
        <f aca="false">IF(L433="","",IF($H433=$I433,IF(OR(AND($G433="Higher is better",L433&gt;=$H433),AND($G433="Lower is better",L433&lt;=$H433)),A_Scoring_Model!$C$14,0),IF($G433="Higher is better",IF(L433&gt;=$H433,A_Scoring_Model!$C$14,IF(L433&lt;$I433,0,A_Scoring_Model!$C$15+(A_Scoring_Model!$C$14-A_Scoring_Model!$C$15)*(L433-$I433)/($H433-$I433))),IF(L433&lt;=$H433,A_Scoring_Model!$C$14,IF(L433&gt;$I433,0,A_Scoring_Model!$C$15+(A_Scoring_Model!$C$14-A_Scoring_Model!$C$15)*($I433-L433)/($I433-$H433))))))</f>
        <v/>
      </c>
      <c r="Q433" s="56" t="str">
        <f aca="false">IF(M433="","",IF($H433=$I433,IF(OR(AND($G433="Higher is better",M433&gt;=$H433),AND($G433="Lower is better",M433&lt;=$H433)),A_Scoring_Model!$C$14,0),IF($G433="Higher is better",IF(M433&gt;=$H433,A_Scoring_Model!$C$14,IF(M433&lt;$I433,0,A_Scoring_Model!$C$15+(A_Scoring_Model!$C$14-A_Scoring_Model!$C$15)*(M433-$I433)/($H433-$I433))),IF(M433&lt;=$H433,A_Scoring_Model!$C$14,IF(M433&gt;$I433,0,A_Scoring_Model!$C$15+(A_Scoring_Model!$C$14-A_Scoring_Model!$C$15)*($I433-M433)/($I433-$H433))))))</f>
        <v/>
      </c>
    </row>
    <row r="434" customFormat="false" ht="15" hidden="false" customHeight="false" outlineLevel="0" collapsed="false">
      <c r="A434" s="51" t="str">
        <f aca="false">C_KPI_Benchmark!A434</f>
        <v>8.c-D1-03</v>
      </c>
      <c r="B434" s="52" t="str">
        <f aca="false">C_KPI_Benchmark!D434</f>
        <v>8.c</v>
      </c>
      <c r="C434" s="51" t="str">
        <f aca="false">C_KPI_Benchmark!E434</f>
        <v>Process Optimizer Agent</v>
      </c>
      <c r="D434" s="52" t="str">
        <f aca="false">C_KPI_Benchmark!F434</f>
        <v>D1</v>
      </c>
      <c r="E434" s="51" t="str">
        <f aca="false">C_KPI_Benchmark!J434</f>
        <v>Recommendations adopted</v>
      </c>
      <c r="F434" s="52" t="str">
        <f aca="false">C_KPI_Benchmark!K434</f>
        <v>%</v>
      </c>
      <c r="G434" s="51" t="str">
        <f aca="false">C_KPI_Benchmark!L434</f>
        <v>Higher is better</v>
      </c>
      <c r="H434" s="53" t="n">
        <f aca="false">C_KPI_Benchmark!N434</f>
        <v>0.5</v>
      </c>
      <c r="I434" s="54" t="n">
        <f aca="false">IF(C_KPI_Benchmark!O434&lt;&gt;"",C_KPI_Benchmark!O434,IF(G434="Higher is better",H434*(1-A_Scoring_Model!$C$16),H434*(1+A_Scoring_Model!$C$16)))</f>
        <v>0.3</v>
      </c>
      <c r="J434" s="55"/>
      <c r="K434" s="55"/>
      <c r="L434" s="55"/>
      <c r="M434" s="55"/>
      <c r="N434" s="56" t="str">
        <f aca="false">IF(J434="","",IF($H434=$I434,IF(OR(AND($G434="Higher is better",J434&gt;=$H434),AND($G434="Lower is better",J434&lt;=$H434)),A_Scoring_Model!$C$14,0),IF($G434="Higher is better",IF(J434&gt;=$H434,A_Scoring_Model!$C$14,IF(J434&lt;$I434,0,A_Scoring_Model!$C$15+(A_Scoring_Model!$C$14-A_Scoring_Model!$C$15)*(J434-$I434)/($H434-$I434))),IF(J434&lt;=$H434,A_Scoring_Model!$C$14,IF(J434&gt;$I434,0,A_Scoring_Model!$C$15+(A_Scoring_Model!$C$14-A_Scoring_Model!$C$15)*($I434-J434)/($I434-$H434))))))</f>
        <v/>
      </c>
      <c r="O434" s="56" t="str">
        <f aca="false">IF(K434="","",IF($H434=$I434,IF(OR(AND($G434="Higher is better",K434&gt;=$H434),AND($G434="Lower is better",K434&lt;=$H434)),A_Scoring_Model!$C$14,0),IF($G434="Higher is better",IF(K434&gt;=$H434,A_Scoring_Model!$C$14,IF(K434&lt;$I434,0,A_Scoring_Model!$C$15+(A_Scoring_Model!$C$14-A_Scoring_Model!$C$15)*(K434-$I434)/($H434-$I434))),IF(K434&lt;=$H434,A_Scoring_Model!$C$14,IF(K434&gt;$I434,0,A_Scoring_Model!$C$15+(A_Scoring_Model!$C$14-A_Scoring_Model!$C$15)*($I434-K434)/($I434-$H434))))))</f>
        <v/>
      </c>
      <c r="P434" s="56" t="str">
        <f aca="false">IF(L434="","",IF($H434=$I434,IF(OR(AND($G434="Higher is better",L434&gt;=$H434),AND($G434="Lower is better",L434&lt;=$H434)),A_Scoring_Model!$C$14,0),IF($G434="Higher is better",IF(L434&gt;=$H434,A_Scoring_Model!$C$14,IF(L434&lt;$I434,0,A_Scoring_Model!$C$15+(A_Scoring_Model!$C$14-A_Scoring_Model!$C$15)*(L434-$I434)/($H434-$I434))),IF(L434&lt;=$H434,A_Scoring_Model!$C$14,IF(L434&gt;$I434,0,A_Scoring_Model!$C$15+(A_Scoring_Model!$C$14-A_Scoring_Model!$C$15)*($I434-L434)/($I434-$H434))))))</f>
        <v/>
      </c>
      <c r="Q434" s="56" t="str">
        <f aca="false">IF(M434="","",IF($H434=$I434,IF(OR(AND($G434="Higher is better",M434&gt;=$H434),AND($G434="Lower is better",M434&lt;=$H434)),A_Scoring_Model!$C$14,0),IF($G434="Higher is better",IF(M434&gt;=$H434,A_Scoring_Model!$C$14,IF(M434&lt;$I434,0,A_Scoring_Model!$C$15+(A_Scoring_Model!$C$14-A_Scoring_Model!$C$15)*(M434-$I434)/($H434-$I434))),IF(M434&lt;=$H434,A_Scoring_Model!$C$14,IF(M434&gt;$I434,0,A_Scoring_Model!$C$15+(A_Scoring_Model!$C$14-A_Scoring_Model!$C$15)*($I434-M434)/($I434-$H434))))))</f>
        <v/>
      </c>
    </row>
    <row r="435" customFormat="false" ht="15" hidden="false" customHeight="false" outlineLevel="0" collapsed="false">
      <c r="A435" s="51" t="str">
        <f aca="false">C_KPI_Benchmark!A435</f>
        <v>8.c-D2-04</v>
      </c>
      <c r="B435" s="52" t="str">
        <f aca="false">C_KPI_Benchmark!D435</f>
        <v>8.c</v>
      </c>
      <c r="C435" s="51" t="str">
        <f aca="false">C_KPI_Benchmark!E435</f>
        <v>Process Optimizer Agent</v>
      </c>
      <c r="D435" s="52" t="str">
        <f aca="false">C_KPI_Benchmark!F435</f>
        <v>D2</v>
      </c>
      <c r="E435" s="51" t="str">
        <f aca="false">C_KPI_Benchmark!J435</f>
        <v>Standard event-log schema from any ALM</v>
      </c>
      <c r="F435" s="52" t="str">
        <f aca="false">C_KPI_Benchmark!K435</f>
        <v>Yes/No</v>
      </c>
      <c r="G435" s="51" t="str">
        <f aca="false">C_KPI_Benchmark!L435</f>
        <v>Higher is better</v>
      </c>
      <c r="H435" s="60" t="n">
        <f aca="false">C_KPI_Benchmark!N435</f>
        <v>1</v>
      </c>
      <c r="I435" s="56" t="n">
        <f aca="false">IF(C_KPI_Benchmark!O435&lt;&gt;"",C_KPI_Benchmark!O435,IF(G435="Higher is better",H435*(1-A_Scoring_Model!$C$16),H435*(1+A_Scoring_Model!$C$16)))</f>
        <v>0.8</v>
      </c>
      <c r="J435" s="61"/>
      <c r="K435" s="61"/>
      <c r="L435" s="61"/>
      <c r="M435" s="61"/>
      <c r="N435" s="56" t="str">
        <f aca="false">IF(J435="","",IF($H435=$I435,IF(OR(AND($G435="Higher is better",J435&gt;=$H435),AND($G435="Lower is better",J435&lt;=$H435)),A_Scoring_Model!$C$14,0),IF($G435="Higher is better",IF(J435&gt;=$H435,A_Scoring_Model!$C$14,IF(J435&lt;$I435,0,A_Scoring_Model!$C$15+(A_Scoring_Model!$C$14-A_Scoring_Model!$C$15)*(J435-$I435)/($H435-$I435))),IF(J435&lt;=$H435,A_Scoring_Model!$C$14,IF(J435&gt;$I435,0,A_Scoring_Model!$C$15+(A_Scoring_Model!$C$14-A_Scoring_Model!$C$15)*($I435-J435)/($I435-$H435))))))</f>
        <v/>
      </c>
      <c r="O435" s="56" t="str">
        <f aca="false">IF(K435="","",IF($H435=$I435,IF(OR(AND($G435="Higher is better",K435&gt;=$H435),AND($G435="Lower is better",K435&lt;=$H435)),A_Scoring_Model!$C$14,0),IF($G435="Higher is better",IF(K435&gt;=$H435,A_Scoring_Model!$C$14,IF(K435&lt;$I435,0,A_Scoring_Model!$C$15+(A_Scoring_Model!$C$14-A_Scoring_Model!$C$15)*(K435-$I435)/($H435-$I435))),IF(K435&lt;=$H435,A_Scoring_Model!$C$14,IF(K435&gt;$I435,0,A_Scoring_Model!$C$15+(A_Scoring_Model!$C$14-A_Scoring_Model!$C$15)*($I435-K435)/($I435-$H435))))))</f>
        <v/>
      </c>
      <c r="P435" s="56" t="str">
        <f aca="false">IF(L435="","",IF($H435=$I435,IF(OR(AND($G435="Higher is better",L435&gt;=$H435),AND($G435="Lower is better",L435&lt;=$H435)),A_Scoring_Model!$C$14,0),IF($G435="Higher is better",IF(L435&gt;=$H435,A_Scoring_Model!$C$14,IF(L435&lt;$I435,0,A_Scoring_Model!$C$15+(A_Scoring_Model!$C$14-A_Scoring_Model!$C$15)*(L435-$I435)/($H435-$I435))),IF(L435&lt;=$H435,A_Scoring_Model!$C$14,IF(L435&gt;$I435,0,A_Scoring_Model!$C$15+(A_Scoring_Model!$C$14-A_Scoring_Model!$C$15)*($I435-L435)/($I435-$H435))))))</f>
        <v/>
      </c>
      <c r="Q435" s="56" t="str">
        <f aca="false">IF(M435="","",IF($H435=$I435,IF(OR(AND($G435="Higher is better",M435&gt;=$H435),AND($G435="Lower is better",M435&lt;=$H435)),A_Scoring_Model!$C$14,0),IF($G435="Higher is better",IF(M435&gt;=$H435,A_Scoring_Model!$C$14,IF(M435&lt;$I435,0,A_Scoring_Model!$C$15+(A_Scoring_Model!$C$14-A_Scoring_Model!$C$15)*(M435-$I435)/($H435-$I435))),IF(M435&lt;=$H435,A_Scoring_Model!$C$14,IF(M435&gt;$I435,0,A_Scoring_Model!$C$15+(A_Scoring_Model!$C$14-A_Scoring_Model!$C$15)*($I435-M435)/($I435-$H435))))))</f>
        <v/>
      </c>
    </row>
    <row r="436" customFormat="false" ht="23.85" hidden="false" customHeight="false" outlineLevel="0" collapsed="false">
      <c r="A436" s="51" t="str">
        <f aca="false">C_KPI_Benchmark!A436</f>
        <v>8.c-D2-05</v>
      </c>
      <c r="B436" s="52" t="str">
        <f aca="false">C_KPI_Benchmark!D436</f>
        <v>8.c</v>
      </c>
      <c r="C436" s="51" t="str">
        <f aca="false">C_KPI_Benchmark!E436</f>
        <v>Process Optimizer Agent</v>
      </c>
      <c r="D436" s="52" t="str">
        <f aca="false">C_KPI_Benchmark!F436</f>
        <v>D2</v>
      </c>
      <c r="E436" s="51" t="str">
        <f aca="false">C_KPI_Benchmark!J436</f>
        <v>Product lines supported with ≤10% efficacy drop (NVMe SSD, UFS, eMMC/uSD, PSSD)</v>
      </c>
      <c r="F436" s="52" t="str">
        <f aca="false">C_KPI_Benchmark!K436</f>
        <v>count</v>
      </c>
      <c r="G436" s="51" t="str">
        <f aca="false">C_KPI_Benchmark!L436</f>
        <v>Higher is better</v>
      </c>
      <c r="H436" s="62" t="n">
        <f aca="false">C_KPI_Benchmark!N436</f>
        <v>3</v>
      </c>
      <c r="I436" s="63" t="n">
        <f aca="false">IF(C_KPI_Benchmark!O436&lt;&gt;"",C_KPI_Benchmark!O436,IF(G436="Higher is better",H436*(1-A_Scoring_Model!$C$16),H436*(1+A_Scoring_Model!$C$16)))</f>
        <v>2</v>
      </c>
      <c r="J436" s="64"/>
      <c r="K436" s="64"/>
      <c r="L436" s="64"/>
      <c r="M436" s="64"/>
      <c r="N436" s="56" t="str">
        <f aca="false">IF(J436="","",IF($H436=$I436,IF(OR(AND($G436="Higher is better",J436&gt;=$H436),AND($G436="Lower is better",J436&lt;=$H436)),A_Scoring_Model!$C$14,0),IF($G436="Higher is better",IF(J436&gt;=$H436,A_Scoring_Model!$C$14,IF(J436&lt;$I436,0,A_Scoring_Model!$C$15+(A_Scoring_Model!$C$14-A_Scoring_Model!$C$15)*(J436-$I436)/($H436-$I436))),IF(J436&lt;=$H436,A_Scoring_Model!$C$14,IF(J436&gt;$I436,0,A_Scoring_Model!$C$15+(A_Scoring_Model!$C$14-A_Scoring_Model!$C$15)*($I436-J436)/($I436-$H436))))))</f>
        <v/>
      </c>
      <c r="O436" s="56" t="str">
        <f aca="false">IF(K436="","",IF($H436=$I436,IF(OR(AND($G436="Higher is better",K436&gt;=$H436),AND($G436="Lower is better",K436&lt;=$H436)),A_Scoring_Model!$C$14,0),IF($G436="Higher is better",IF(K436&gt;=$H436,A_Scoring_Model!$C$14,IF(K436&lt;$I436,0,A_Scoring_Model!$C$15+(A_Scoring_Model!$C$14-A_Scoring_Model!$C$15)*(K436-$I436)/($H436-$I436))),IF(K436&lt;=$H436,A_Scoring_Model!$C$14,IF(K436&gt;$I436,0,A_Scoring_Model!$C$15+(A_Scoring_Model!$C$14-A_Scoring_Model!$C$15)*($I436-K436)/($I436-$H436))))))</f>
        <v/>
      </c>
      <c r="P436" s="56" t="str">
        <f aca="false">IF(L436="","",IF($H436=$I436,IF(OR(AND($G436="Higher is better",L436&gt;=$H436),AND($G436="Lower is better",L436&lt;=$H436)),A_Scoring_Model!$C$14,0),IF($G436="Higher is better",IF(L436&gt;=$H436,A_Scoring_Model!$C$14,IF(L436&lt;$I436,0,A_Scoring_Model!$C$15+(A_Scoring_Model!$C$14-A_Scoring_Model!$C$15)*(L436-$I436)/($H436-$I436))),IF(L436&lt;=$H436,A_Scoring_Model!$C$14,IF(L436&gt;$I436,0,A_Scoring_Model!$C$15+(A_Scoring_Model!$C$14-A_Scoring_Model!$C$15)*($I436-L436)/($I436-$H436))))))</f>
        <v/>
      </c>
      <c r="Q436" s="56" t="str">
        <f aca="false">IF(M436="","",IF($H436=$I436,IF(OR(AND($G436="Higher is better",M436&gt;=$H436),AND($G436="Lower is better",M436&lt;=$H436)),A_Scoring_Model!$C$14,0),IF($G436="Higher is better",IF(M436&gt;=$H436,A_Scoring_Model!$C$14,IF(M436&lt;$I436,0,A_Scoring_Model!$C$15+(A_Scoring_Model!$C$14-A_Scoring_Model!$C$15)*(M436-$I436)/($H436-$I436))),IF(M436&lt;=$H436,A_Scoring_Model!$C$14,IF(M436&gt;$I436,0,A_Scoring_Model!$C$15+(A_Scoring_Model!$C$14-A_Scoring_Model!$C$15)*($I436-M436)/($I436-$H436))))))</f>
        <v/>
      </c>
    </row>
    <row r="437" customFormat="false" ht="15" hidden="false" customHeight="false" outlineLevel="0" collapsed="false">
      <c r="A437" s="51" t="str">
        <f aca="false">C_KPI_Benchmark!A437</f>
        <v>8.c-D2-06</v>
      </c>
      <c r="B437" s="52" t="str">
        <f aca="false">C_KPI_Benchmark!D437</f>
        <v>8.c</v>
      </c>
      <c r="C437" s="51" t="str">
        <f aca="false">C_KPI_Benchmark!E437</f>
        <v>Process Optimizer Agent</v>
      </c>
      <c r="D437" s="52" t="str">
        <f aca="false">C_KPI_Benchmark!F437</f>
        <v>D2</v>
      </c>
      <c r="E437" s="51" t="str">
        <f aca="false">C_KPI_Benchmark!J437</f>
        <v>Uses Zion shared services instead of re-implementing them</v>
      </c>
      <c r="F437" s="52" t="str">
        <f aca="false">C_KPI_Benchmark!K437</f>
        <v>Yes/No</v>
      </c>
      <c r="G437" s="51" t="str">
        <f aca="false">C_KPI_Benchmark!L437</f>
        <v>Higher is better</v>
      </c>
      <c r="H437" s="60" t="n">
        <f aca="false">C_KPI_Benchmark!N437</f>
        <v>1</v>
      </c>
      <c r="I437" s="56" t="n">
        <f aca="false">IF(C_KPI_Benchmark!O437&lt;&gt;"",C_KPI_Benchmark!O437,IF(G437="Higher is better",H437*(1-A_Scoring_Model!$C$16),H437*(1+A_Scoring_Model!$C$16)))</f>
        <v>0.8</v>
      </c>
      <c r="J437" s="61"/>
      <c r="K437" s="61"/>
      <c r="L437" s="61"/>
      <c r="M437" s="61"/>
      <c r="N437" s="56" t="str">
        <f aca="false">IF(J437="","",IF($H437=$I437,IF(OR(AND($G437="Higher is better",J437&gt;=$H437),AND($G437="Lower is better",J437&lt;=$H437)),A_Scoring_Model!$C$14,0),IF($G437="Higher is better",IF(J437&gt;=$H437,A_Scoring_Model!$C$14,IF(J437&lt;$I437,0,A_Scoring_Model!$C$15+(A_Scoring_Model!$C$14-A_Scoring_Model!$C$15)*(J437-$I437)/($H437-$I437))),IF(J437&lt;=$H437,A_Scoring_Model!$C$14,IF(J437&gt;$I437,0,A_Scoring_Model!$C$15+(A_Scoring_Model!$C$14-A_Scoring_Model!$C$15)*($I437-J437)/($I437-$H437))))))</f>
        <v/>
      </c>
      <c r="O437" s="56" t="str">
        <f aca="false">IF(K437="","",IF($H437=$I437,IF(OR(AND($G437="Higher is better",K437&gt;=$H437),AND($G437="Lower is better",K437&lt;=$H437)),A_Scoring_Model!$C$14,0),IF($G437="Higher is better",IF(K437&gt;=$H437,A_Scoring_Model!$C$14,IF(K437&lt;$I437,0,A_Scoring_Model!$C$15+(A_Scoring_Model!$C$14-A_Scoring_Model!$C$15)*(K437-$I437)/($H437-$I437))),IF(K437&lt;=$H437,A_Scoring_Model!$C$14,IF(K437&gt;$I437,0,A_Scoring_Model!$C$15+(A_Scoring_Model!$C$14-A_Scoring_Model!$C$15)*($I437-K437)/($I437-$H437))))))</f>
        <v/>
      </c>
      <c r="P437" s="56" t="str">
        <f aca="false">IF(L437="","",IF($H437=$I437,IF(OR(AND($G437="Higher is better",L437&gt;=$H437),AND($G437="Lower is better",L437&lt;=$H437)),A_Scoring_Model!$C$14,0),IF($G437="Higher is better",IF(L437&gt;=$H437,A_Scoring_Model!$C$14,IF(L437&lt;$I437,0,A_Scoring_Model!$C$15+(A_Scoring_Model!$C$14-A_Scoring_Model!$C$15)*(L437-$I437)/($H437-$I437))),IF(L437&lt;=$H437,A_Scoring_Model!$C$14,IF(L437&gt;$I437,0,A_Scoring_Model!$C$15+(A_Scoring_Model!$C$14-A_Scoring_Model!$C$15)*($I437-L437)/($I437-$H437))))))</f>
        <v/>
      </c>
      <c r="Q437" s="56" t="str">
        <f aca="false">IF(M437="","",IF($H437=$I437,IF(OR(AND($G437="Higher is better",M437&gt;=$H437),AND($G437="Lower is better",M437&lt;=$H437)),A_Scoring_Model!$C$14,0),IF($G437="Higher is better",IF(M437&gt;=$H437,A_Scoring_Model!$C$14,IF(M437&lt;$I437,0,A_Scoring_Model!$C$15+(A_Scoring_Model!$C$14-A_Scoring_Model!$C$15)*(M437-$I437)/($H437-$I437))),IF(M437&lt;=$H437,A_Scoring_Model!$C$14,IF(M437&gt;$I437,0,A_Scoring_Model!$C$15+(A_Scoring_Model!$C$14-A_Scoring_Model!$C$15)*($I437-M437)/($I437-$H437))))))</f>
        <v/>
      </c>
    </row>
    <row r="438" customFormat="false" ht="15" hidden="false" customHeight="false" outlineLevel="0" collapsed="false">
      <c r="A438" s="51" t="str">
        <f aca="false">C_KPI_Benchmark!A438</f>
        <v>8.c-D3-07</v>
      </c>
      <c r="B438" s="52" t="str">
        <f aca="false">C_KPI_Benchmark!D438</f>
        <v>8.c</v>
      </c>
      <c r="C438" s="51" t="str">
        <f aca="false">C_KPI_Benchmark!E438</f>
        <v>Process Optimizer Agent</v>
      </c>
      <c r="D438" s="52" t="str">
        <f aca="false">C_KPI_Benchmark!F438</f>
        <v>D3</v>
      </c>
      <c r="E438" s="51" t="str">
        <f aca="false">C_KPI_Benchmark!J438</f>
        <v>Processing time for 1M events</v>
      </c>
      <c r="F438" s="52" t="str">
        <f aca="false">C_KPI_Benchmark!K438</f>
        <v>min</v>
      </c>
      <c r="G438" s="51" t="str">
        <f aca="false">C_KPI_Benchmark!L438</f>
        <v>Lower is better</v>
      </c>
      <c r="H438" s="62" t="n">
        <f aca="false">C_KPI_Benchmark!N438</f>
        <v>10</v>
      </c>
      <c r="I438" s="63" t="n">
        <f aca="false">IF(C_KPI_Benchmark!O438&lt;&gt;"",C_KPI_Benchmark!O438,IF(G438="Higher is better",H438*(1-A_Scoring_Model!$C$16),H438*(1+A_Scoring_Model!$C$16)))</f>
        <v>12</v>
      </c>
      <c r="J438" s="64"/>
      <c r="K438" s="64"/>
      <c r="L438" s="64"/>
      <c r="M438" s="64"/>
      <c r="N438" s="56" t="str">
        <f aca="false">IF(J438="","",IF($H438=$I438,IF(OR(AND($G438="Higher is better",J438&gt;=$H438),AND($G438="Lower is better",J438&lt;=$H438)),A_Scoring_Model!$C$14,0),IF($G438="Higher is better",IF(J438&gt;=$H438,A_Scoring_Model!$C$14,IF(J438&lt;$I438,0,A_Scoring_Model!$C$15+(A_Scoring_Model!$C$14-A_Scoring_Model!$C$15)*(J438-$I438)/($H438-$I438))),IF(J438&lt;=$H438,A_Scoring_Model!$C$14,IF(J438&gt;$I438,0,A_Scoring_Model!$C$15+(A_Scoring_Model!$C$14-A_Scoring_Model!$C$15)*($I438-J438)/($I438-$H438))))))</f>
        <v/>
      </c>
      <c r="O438" s="56" t="str">
        <f aca="false">IF(K438="","",IF($H438=$I438,IF(OR(AND($G438="Higher is better",K438&gt;=$H438),AND($G438="Lower is better",K438&lt;=$H438)),A_Scoring_Model!$C$14,0),IF($G438="Higher is better",IF(K438&gt;=$H438,A_Scoring_Model!$C$14,IF(K438&lt;$I438,0,A_Scoring_Model!$C$15+(A_Scoring_Model!$C$14-A_Scoring_Model!$C$15)*(K438-$I438)/($H438-$I438))),IF(K438&lt;=$H438,A_Scoring_Model!$C$14,IF(K438&gt;$I438,0,A_Scoring_Model!$C$15+(A_Scoring_Model!$C$14-A_Scoring_Model!$C$15)*($I438-K438)/($I438-$H438))))))</f>
        <v/>
      </c>
      <c r="P438" s="56" t="str">
        <f aca="false">IF(L438="","",IF($H438=$I438,IF(OR(AND($G438="Higher is better",L438&gt;=$H438),AND($G438="Lower is better",L438&lt;=$H438)),A_Scoring_Model!$C$14,0),IF($G438="Higher is better",IF(L438&gt;=$H438,A_Scoring_Model!$C$14,IF(L438&lt;$I438,0,A_Scoring_Model!$C$15+(A_Scoring_Model!$C$14-A_Scoring_Model!$C$15)*(L438-$I438)/($H438-$I438))),IF(L438&lt;=$H438,A_Scoring_Model!$C$14,IF(L438&gt;$I438,0,A_Scoring_Model!$C$15+(A_Scoring_Model!$C$14-A_Scoring_Model!$C$15)*($I438-L438)/($I438-$H438))))))</f>
        <v/>
      </c>
      <c r="Q438" s="56" t="str">
        <f aca="false">IF(M438="","",IF($H438=$I438,IF(OR(AND($G438="Higher is better",M438&gt;=$H438),AND($G438="Lower is better",M438&lt;=$H438)),A_Scoring_Model!$C$14,0),IF($G438="Higher is better",IF(M438&gt;=$H438,A_Scoring_Model!$C$14,IF(M438&lt;$I438,0,A_Scoring_Model!$C$15+(A_Scoring_Model!$C$14-A_Scoring_Model!$C$15)*(M438-$I438)/($H438-$I438))),IF(M438&lt;=$H438,A_Scoring_Model!$C$14,IF(M438&gt;$I438,0,A_Scoring_Model!$C$15+(A_Scoring_Model!$C$14-A_Scoring_Model!$C$15)*($I438-M438)/($I438-$H438))))))</f>
        <v/>
      </c>
    </row>
    <row r="439" customFormat="false" ht="15" hidden="false" customHeight="false" outlineLevel="0" collapsed="false">
      <c r="A439" s="51" t="str">
        <f aca="false">C_KPI_Benchmark!A439</f>
        <v>8.c-D3-08</v>
      </c>
      <c r="B439" s="52" t="str">
        <f aca="false">C_KPI_Benchmark!D439</f>
        <v>8.c</v>
      </c>
      <c r="C439" s="51" t="str">
        <f aca="false">C_KPI_Benchmark!E439</f>
        <v>Process Optimizer Agent</v>
      </c>
      <c r="D439" s="52" t="str">
        <f aca="false">C_KPI_Benchmark!F439</f>
        <v>D3</v>
      </c>
      <c r="E439" s="51" t="str">
        <f aca="false">C_KPI_Benchmark!J439</f>
        <v>Latency degradation at 10× load</v>
      </c>
      <c r="F439" s="52" t="str">
        <f aca="false">C_KPI_Benchmark!K439</f>
        <v>%</v>
      </c>
      <c r="G439" s="51" t="str">
        <f aca="false">C_KPI_Benchmark!L439</f>
        <v>Lower is better</v>
      </c>
      <c r="H439" s="53" t="n">
        <f aca="false">C_KPI_Benchmark!N439</f>
        <v>0.2</v>
      </c>
      <c r="I439" s="54" t="n">
        <f aca="false">IF(C_KPI_Benchmark!O439&lt;&gt;"",C_KPI_Benchmark!O439,IF(G439="Higher is better",H439*(1-A_Scoring_Model!$C$16),H439*(1+A_Scoring_Model!$C$16)))</f>
        <v>0.4</v>
      </c>
      <c r="J439" s="55"/>
      <c r="K439" s="55"/>
      <c r="L439" s="55"/>
      <c r="M439" s="55"/>
      <c r="N439" s="56" t="str">
        <f aca="false">IF(J439="","",IF($H439=$I439,IF(OR(AND($G439="Higher is better",J439&gt;=$H439),AND($G439="Lower is better",J439&lt;=$H439)),A_Scoring_Model!$C$14,0),IF($G439="Higher is better",IF(J439&gt;=$H439,A_Scoring_Model!$C$14,IF(J439&lt;$I439,0,A_Scoring_Model!$C$15+(A_Scoring_Model!$C$14-A_Scoring_Model!$C$15)*(J439-$I439)/($H439-$I439))),IF(J439&lt;=$H439,A_Scoring_Model!$C$14,IF(J439&gt;$I439,0,A_Scoring_Model!$C$15+(A_Scoring_Model!$C$14-A_Scoring_Model!$C$15)*($I439-J439)/($I439-$H439))))))</f>
        <v/>
      </c>
      <c r="O439" s="56" t="str">
        <f aca="false">IF(K439="","",IF($H439=$I439,IF(OR(AND($G439="Higher is better",K439&gt;=$H439),AND($G439="Lower is better",K439&lt;=$H439)),A_Scoring_Model!$C$14,0),IF($G439="Higher is better",IF(K439&gt;=$H439,A_Scoring_Model!$C$14,IF(K439&lt;$I439,0,A_Scoring_Model!$C$15+(A_Scoring_Model!$C$14-A_Scoring_Model!$C$15)*(K439-$I439)/($H439-$I439))),IF(K439&lt;=$H439,A_Scoring_Model!$C$14,IF(K439&gt;$I439,0,A_Scoring_Model!$C$15+(A_Scoring_Model!$C$14-A_Scoring_Model!$C$15)*($I439-K439)/($I439-$H439))))))</f>
        <v/>
      </c>
      <c r="P439" s="56" t="str">
        <f aca="false">IF(L439="","",IF($H439=$I439,IF(OR(AND($G439="Higher is better",L439&gt;=$H439),AND($G439="Lower is better",L439&lt;=$H439)),A_Scoring_Model!$C$14,0),IF($G439="Higher is better",IF(L439&gt;=$H439,A_Scoring_Model!$C$14,IF(L439&lt;$I439,0,A_Scoring_Model!$C$15+(A_Scoring_Model!$C$14-A_Scoring_Model!$C$15)*(L439-$I439)/($H439-$I439))),IF(L439&lt;=$H439,A_Scoring_Model!$C$14,IF(L439&gt;$I439,0,A_Scoring_Model!$C$15+(A_Scoring_Model!$C$14-A_Scoring_Model!$C$15)*($I439-L439)/($I439-$H439))))))</f>
        <v/>
      </c>
      <c r="Q439" s="56" t="str">
        <f aca="false">IF(M439="","",IF($H439=$I439,IF(OR(AND($G439="Higher is better",M439&gt;=$H439),AND($G439="Lower is better",M439&lt;=$H439)),A_Scoring_Model!$C$14,0),IF($G439="Higher is better",IF(M439&gt;=$H439,A_Scoring_Model!$C$14,IF(M439&lt;$I439,0,A_Scoring_Model!$C$15+(A_Scoring_Model!$C$14-A_Scoring_Model!$C$15)*(M439-$I439)/($H439-$I439))),IF(M439&lt;=$H439,A_Scoring_Model!$C$14,IF(M439&gt;$I439,0,A_Scoring_Model!$C$15+(A_Scoring_Model!$C$14-A_Scoring_Model!$C$15)*($I439-M439)/($I439-$H439))))))</f>
        <v/>
      </c>
    </row>
    <row r="440" customFormat="false" ht="15" hidden="false" customHeight="false" outlineLevel="0" collapsed="false">
      <c r="A440" s="51" t="str">
        <f aca="false">C_KPI_Benchmark!A440</f>
        <v>8.c-D4-09</v>
      </c>
      <c r="B440" s="52" t="str">
        <f aca="false">C_KPI_Benchmark!D440</f>
        <v>8.c</v>
      </c>
      <c r="C440" s="51" t="str">
        <f aca="false">C_KPI_Benchmark!E440</f>
        <v>Process Optimizer Agent</v>
      </c>
      <c r="D440" s="52" t="str">
        <f aca="false">C_KPI_Benchmark!F440</f>
        <v>D4</v>
      </c>
      <c r="E440" s="51" t="str">
        <f aca="false">C_KPI_Benchmark!J440</f>
        <v>Simulated gains reported with confidence interval</v>
      </c>
      <c r="F440" s="52" t="str">
        <f aca="false">C_KPI_Benchmark!K440</f>
        <v>%</v>
      </c>
      <c r="G440" s="51" t="str">
        <f aca="false">C_KPI_Benchmark!L440</f>
        <v>Higher is better</v>
      </c>
      <c r="H440" s="53" t="n">
        <f aca="false">C_KPI_Benchmark!N440</f>
        <v>1</v>
      </c>
      <c r="I440" s="54" t="n">
        <f aca="false">IF(C_KPI_Benchmark!O440&lt;&gt;"",C_KPI_Benchmark!O440,IF(G440="Higher is better",H440*(1-A_Scoring_Model!$C$16),H440*(1+A_Scoring_Model!$C$16)))</f>
        <v>0.8</v>
      </c>
      <c r="J440" s="55"/>
      <c r="K440" s="55"/>
      <c r="L440" s="55"/>
      <c r="M440" s="55"/>
      <c r="N440" s="56" t="str">
        <f aca="false">IF(J440="","",IF($H440=$I440,IF(OR(AND($G440="Higher is better",J440&gt;=$H440),AND($G440="Lower is better",J440&lt;=$H440)),A_Scoring_Model!$C$14,0),IF($G440="Higher is better",IF(J440&gt;=$H440,A_Scoring_Model!$C$14,IF(J440&lt;$I440,0,A_Scoring_Model!$C$15+(A_Scoring_Model!$C$14-A_Scoring_Model!$C$15)*(J440-$I440)/($H440-$I440))),IF(J440&lt;=$H440,A_Scoring_Model!$C$14,IF(J440&gt;$I440,0,A_Scoring_Model!$C$15+(A_Scoring_Model!$C$14-A_Scoring_Model!$C$15)*($I440-J440)/($I440-$H440))))))</f>
        <v/>
      </c>
      <c r="O440" s="56" t="str">
        <f aca="false">IF(K440="","",IF($H440=$I440,IF(OR(AND($G440="Higher is better",K440&gt;=$H440),AND($G440="Lower is better",K440&lt;=$H440)),A_Scoring_Model!$C$14,0),IF($G440="Higher is better",IF(K440&gt;=$H440,A_Scoring_Model!$C$14,IF(K440&lt;$I440,0,A_Scoring_Model!$C$15+(A_Scoring_Model!$C$14-A_Scoring_Model!$C$15)*(K440-$I440)/($H440-$I440))),IF(K440&lt;=$H440,A_Scoring_Model!$C$14,IF(K440&gt;$I440,0,A_Scoring_Model!$C$15+(A_Scoring_Model!$C$14-A_Scoring_Model!$C$15)*($I440-K440)/($I440-$H440))))))</f>
        <v/>
      </c>
      <c r="P440" s="56" t="str">
        <f aca="false">IF(L440="","",IF($H440=$I440,IF(OR(AND($G440="Higher is better",L440&gt;=$H440),AND($G440="Lower is better",L440&lt;=$H440)),A_Scoring_Model!$C$14,0),IF($G440="Higher is better",IF(L440&gt;=$H440,A_Scoring_Model!$C$14,IF(L440&lt;$I440,0,A_Scoring_Model!$C$15+(A_Scoring_Model!$C$14-A_Scoring_Model!$C$15)*(L440-$I440)/($H440-$I440))),IF(L440&lt;=$H440,A_Scoring_Model!$C$14,IF(L440&gt;$I440,0,A_Scoring_Model!$C$15+(A_Scoring_Model!$C$14-A_Scoring_Model!$C$15)*($I440-L440)/($I440-$H440))))))</f>
        <v/>
      </c>
      <c r="Q440" s="56" t="str">
        <f aca="false">IF(M440="","",IF($H440=$I440,IF(OR(AND($G440="Higher is better",M440&gt;=$H440),AND($G440="Lower is better",M440&lt;=$H440)),A_Scoring_Model!$C$14,0),IF($G440="Higher is better",IF(M440&gt;=$H440,A_Scoring_Model!$C$14,IF(M440&lt;$I440,0,A_Scoring_Model!$C$15+(A_Scoring_Model!$C$14-A_Scoring_Model!$C$15)*(M440-$I440)/($H440-$I440))),IF(M440&lt;=$H440,A_Scoring_Model!$C$14,IF(M440&gt;$I440,0,A_Scoring_Model!$C$15+(A_Scoring_Model!$C$14-A_Scoring_Model!$C$15)*($I440-M440)/($I440-$H440))))))</f>
        <v/>
      </c>
    </row>
    <row r="441" customFormat="false" ht="15" hidden="false" customHeight="false" outlineLevel="0" collapsed="false">
      <c r="A441" s="51" t="str">
        <f aca="false">C_KPI_Benchmark!A441</f>
        <v>8.c-D4-10</v>
      </c>
      <c r="B441" s="52" t="str">
        <f aca="false">C_KPI_Benchmark!D441</f>
        <v>8.c</v>
      </c>
      <c r="C441" s="51" t="str">
        <f aca="false">C_KPI_Benchmark!E441</f>
        <v>Process Optimizer Agent</v>
      </c>
      <c r="D441" s="52" t="str">
        <f aca="false">C_KPI_Benchmark!F441</f>
        <v>D4</v>
      </c>
      <c r="E441" s="51" t="str">
        <f aca="false">C_KPI_Benchmark!J441</f>
        <v>Service availability</v>
      </c>
      <c r="F441" s="52" t="str">
        <f aca="false">C_KPI_Benchmark!K441</f>
        <v>%</v>
      </c>
      <c r="G441" s="51" t="str">
        <f aca="false">C_KPI_Benchmark!L441</f>
        <v>Higher is better</v>
      </c>
      <c r="H441" s="53" t="n">
        <f aca="false">C_KPI_Benchmark!N441</f>
        <v>0.995</v>
      </c>
      <c r="I441" s="54" t="n">
        <f aca="false">IF(C_KPI_Benchmark!O441&lt;&gt;"",C_KPI_Benchmark!O441,IF(G441="Higher is better",H441*(1-A_Scoring_Model!$C$16),H441*(1+A_Scoring_Model!$C$16)))</f>
        <v>0.99</v>
      </c>
      <c r="J441" s="55"/>
      <c r="K441" s="55"/>
      <c r="L441" s="55"/>
      <c r="M441" s="55"/>
      <c r="N441" s="56" t="str">
        <f aca="false">IF(J441="","",IF($H441=$I441,IF(OR(AND($G441="Higher is better",J441&gt;=$H441),AND($G441="Lower is better",J441&lt;=$H441)),A_Scoring_Model!$C$14,0),IF($G441="Higher is better",IF(J441&gt;=$H441,A_Scoring_Model!$C$14,IF(J441&lt;$I441,0,A_Scoring_Model!$C$15+(A_Scoring_Model!$C$14-A_Scoring_Model!$C$15)*(J441-$I441)/($H441-$I441))),IF(J441&lt;=$H441,A_Scoring_Model!$C$14,IF(J441&gt;$I441,0,A_Scoring_Model!$C$15+(A_Scoring_Model!$C$14-A_Scoring_Model!$C$15)*($I441-J441)/($I441-$H441))))))</f>
        <v/>
      </c>
      <c r="O441" s="56" t="str">
        <f aca="false">IF(K441="","",IF($H441=$I441,IF(OR(AND($G441="Higher is better",K441&gt;=$H441),AND($G441="Lower is better",K441&lt;=$H441)),A_Scoring_Model!$C$14,0),IF($G441="Higher is better",IF(K441&gt;=$H441,A_Scoring_Model!$C$14,IF(K441&lt;$I441,0,A_Scoring_Model!$C$15+(A_Scoring_Model!$C$14-A_Scoring_Model!$C$15)*(K441-$I441)/($H441-$I441))),IF(K441&lt;=$H441,A_Scoring_Model!$C$14,IF(K441&gt;$I441,0,A_Scoring_Model!$C$15+(A_Scoring_Model!$C$14-A_Scoring_Model!$C$15)*($I441-K441)/($I441-$H441))))))</f>
        <v/>
      </c>
      <c r="P441" s="56" t="str">
        <f aca="false">IF(L441="","",IF($H441=$I441,IF(OR(AND($G441="Higher is better",L441&gt;=$H441),AND($G441="Lower is better",L441&lt;=$H441)),A_Scoring_Model!$C$14,0),IF($G441="Higher is better",IF(L441&gt;=$H441,A_Scoring_Model!$C$14,IF(L441&lt;$I441,0,A_Scoring_Model!$C$15+(A_Scoring_Model!$C$14-A_Scoring_Model!$C$15)*(L441-$I441)/($H441-$I441))),IF(L441&lt;=$H441,A_Scoring_Model!$C$14,IF(L441&gt;$I441,0,A_Scoring_Model!$C$15+(A_Scoring_Model!$C$14-A_Scoring_Model!$C$15)*($I441-L441)/($I441-$H441))))))</f>
        <v/>
      </c>
      <c r="Q441" s="56" t="str">
        <f aca="false">IF(M441="","",IF($H441=$I441,IF(OR(AND($G441="Higher is better",M441&gt;=$H441),AND($G441="Lower is better",M441&lt;=$H441)),A_Scoring_Model!$C$14,0),IF($G441="Higher is better",IF(M441&gt;=$H441,A_Scoring_Model!$C$14,IF(M441&lt;$I441,0,A_Scoring_Model!$C$15+(A_Scoring_Model!$C$14-A_Scoring_Model!$C$15)*(M441-$I441)/($H441-$I441))),IF(M441&lt;=$H441,A_Scoring_Model!$C$14,IF(M441&gt;$I441,0,A_Scoring_Model!$C$15+(A_Scoring_Model!$C$14-A_Scoring_Model!$C$15)*($I441-M441)/($I441-$H441))))))</f>
        <v/>
      </c>
    </row>
    <row r="442" customFormat="false" ht="15" hidden="false" customHeight="false" outlineLevel="0" collapsed="false">
      <c r="A442" s="51" t="str">
        <f aca="false">C_KPI_Benchmark!A442</f>
        <v>8.c-D5-11</v>
      </c>
      <c r="B442" s="52" t="str">
        <f aca="false">C_KPI_Benchmark!D442</f>
        <v>8.c</v>
      </c>
      <c r="C442" s="51" t="str">
        <f aca="false">C_KPI_Benchmark!E442</f>
        <v>Process Optimizer Agent</v>
      </c>
      <c r="D442" s="52" t="str">
        <f aca="false">C_KPI_Benchmark!F442</f>
        <v>D5</v>
      </c>
      <c r="E442" s="51" t="str">
        <f aca="false">C_KPI_Benchmark!J442</f>
        <v>Activity cycle time reduction after adoption</v>
      </c>
      <c r="F442" s="52" t="str">
        <f aca="false">C_KPI_Benchmark!K442</f>
        <v>%</v>
      </c>
      <c r="G442" s="51" t="str">
        <f aca="false">C_KPI_Benchmark!L442</f>
        <v>Higher is better</v>
      </c>
      <c r="H442" s="53" t="n">
        <f aca="false">C_KPI_Benchmark!N442</f>
        <v>0.15</v>
      </c>
      <c r="I442" s="54" t="n">
        <f aca="false">IF(C_KPI_Benchmark!O442&lt;&gt;"",C_KPI_Benchmark!O442,IF(G442="Higher is better",H442*(1-A_Scoring_Model!$C$16),H442*(1+A_Scoring_Model!$C$16)))</f>
        <v>0.12</v>
      </c>
      <c r="J442" s="55"/>
      <c r="K442" s="55"/>
      <c r="L442" s="55"/>
      <c r="M442" s="55"/>
      <c r="N442" s="56" t="str">
        <f aca="false">IF(J442="","",IF($H442=$I442,IF(OR(AND($G442="Higher is better",J442&gt;=$H442),AND($G442="Lower is better",J442&lt;=$H442)),A_Scoring_Model!$C$14,0),IF($G442="Higher is better",IF(J442&gt;=$H442,A_Scoring_Model!$C$14,IF(J442&lt;$I442,0,A_Scoring_Model!$C$15+(A_Scoring_Model!$C$14-A_Scoring_Model!$C$15)*(J442-$I442)/($H442-$I442))),IF(J442&lt;=$H442,A_Scoring_Model!$C$14,IF(J442&gt;$I442,0,A_Scoring_Model!$C$15+(A_Scoring_Model!$C$14-A_Scoring_Model!$C$15)*($I442-J442)/($I442-$H442))))))</f>
        <v/>
      </c>
      <c r="O442" s="56" t="str">
        <f aca="false">IF(K442="","",IF($H442=$I442,IF(OR(AND($G442="Higher is better",K442&gt;=$H442),AND($G442="Lower is better",K442&lt;=$H442)),A_Scoring_Model!$C$14,0),IF($G442="Higher is better",IF(K442&gt;=$H442,A_Scoring_Model!$C$14,IF(K442&lt;$I442,0,A_Scoring_Model!$C$15+(A_Scoring_Model!$C$14-A_Scoring_Model!$C$15)*(K442-$I442)/($H442-$I442))),IF(K442&lt;=$H442,A_Scoring_Model!$C$14,IF(K442&gt;$I442,0,A_Scoring_Model!$C$15+(A_Scoring_Model!$C$14-A_Scoring_Model!$C$15)*($I442-K442)/($I442-$H442))))))</f>
        <v/>
      </c>
      <c r="P442" s="56" t="str">
        <f aca="false">IF(L442="","",IF($H442=$I442,IF(OR(AND($G442="Higher is better",L442&gt;=$H442),AND($G442="Lower is better",L442&lt;=$H442)),A_Scoring_Model!$C$14,0),IF($G442="Higher is better",IF(L442&gt;=$H442,A_Scoring_Model!$C$14,IF(L442&lt;$I442,0,A_Scoring_Model!$C$15+(A_Scoring_Model!$C$14-A_Scoring_Model!$C$15)*(L442-$I442)/($H442-$I442))),IF(L442&lt;=$H442,A_Scoring_Model!$C$14,IF(L442&gt;$I442,0,A_Scoring_Model!$C$15+(A_Scoring_Model!$C$14-A_Scoring_Model!$C$15)*($I442-L442)/($I442-$H442))))))</f>
        <v/>
      </c>
      <c r="Q442" s="56" t="str">
        <f aca="false">IF(M442="","",IF($H442=$I442,IF(OR(AND($G442="Higher is better",M442&gt;=$H442),AND($G442="Lower is better",M442&lt;=$H442)),A_Scoring_Model!$C$14,0),IF($G442="Higher is better",IF(M442&gt;=$H442,A_Scoring_Model!$C$14,IF(M442&lt;$I442,0,A_Scoring_Model!$C$15+(A_Scoring_Model!$C$14-A_Scoring_Model!$C$15)*(M442-$I442)/($H442-$I442))),IF(M442&lt;=$H442,A_Scoring_Model!$C$14,IF(M442&gt;$I442,0,A_Scoring_Model!$C$15+(A_Scoring_Model!$C$14-A_Scoring_Model!$C$15)*($I442-M442)/($I442-$H442))))))</f>
        <v/>
      </c>
    </row>
    <row r="443" customFormat="false" ht="15" hidden="false" customHeight="false" outlineLevel="0" collapsed="false">
      <c r="A443" s="51" t="str">
        <f aca="false">C_KPI_Benchmark!A443</f>
        <v>8.c-D6-12</v>
      </c>
      <c r="B443" s="52" t="str">
        <f aca="false">C_KPI_Benchmark!D443</f>
        <v>8.c</v>
      </c>
      <c r="C443" s="51" t="str">
        <f aca="false">C_KPI_Benchmark!E443</f>
        <v>Process Optimizer Agent</v>
      </c>
      <c r="D443" s="52" t="str">
        <f aca="false">C_KPI_Benchmark!F443</f>
        <v>D6</v>
      </c>
      <c r="E443" s="51" t="str">
        <f aca="false">C_KPI_Benchmark!J443</f>
        <v>Solution code test coverage</v>
      </c>
      <c r="F443" s="52" t="str">
        <f aca="false">C_KPI_Benchmark!K443</f>
        <v>%</v>
      </c>
      <c r="G443" s="51" t="str">
        <f aca="false">C_KPI_Benchmark!L443</f>
        <v>Higher is better</v>
      </c>
      <c r="H443" s="53" t="n">
        <f aca="false">C_KPI_Benchmark!N443</f>
        <v>0.8</v>
      </c>
      <c r="I443" s="54" t="n">
        <f aca="false">IF(C_KPI_Benchmark!O443&lt;&gt;"",C_KPI_Benchmark!O443,IF(G443="Higher is better",H443*(1-A_Scoring_Model!$C$16),H443*(1+A_Scoring_Model!$C$16)))</f>
        <v>0.6</v>
      </c>
      <c r="J443" s="55"/>
      <c r="K443" s="55"/>
      <c r="L443" s="55"/>
      <c r="M443" s="55"/>
      <c r="N443" s="56" t="str">
        <f aca="false">IF(J443="","",IF($H443=$I443,IF(OR(AND($G443="Higher is better",J443&gt;=$H443),AND($G443="Lower is better",J443&lt;=$H443)),A_Scoring_Model!$C$14,0),IF($G443="Higher is better",IF(J443&gt;=$H443,A_Scoring_Model!$C$14,IF(J443&lt;$I443,0,A_Scoring_Model!$C$15+(A_Scoring_Model!$C$14-A_Scoring_Model!$C$15)*(J443-$I443)/($H443-$I443))),IF(J443&lt;=$H443,A_Scoring_Model!$C$14,IF(J443&gt;$I443,0,A_Scoring_Model!$C$15+(A_Scoring_Model!$C$14-A_Scoring_Model!$C$15)*($I443-J443)/($I443-$H443))))))</f>
        <v/>
      </c>
      <c r="O443" s="56" t="str">
        <f aca="false">IF(K443="","",IF($H443=$I443,IF(OR(AND($G443="Higher is better",K443&gt;=$H443),AND($G443="Lower is better",K443&lt;=$H443)),A_Scoring_Model!$C$14,0),IF($G443="Higher is better",IF(K443&gt;=$H443,A_Scoring_Model!$C$14,IF(K443&lt;$I443,0,A_Scoring_Model!$C$15+(A_Scoring_Model!$C$14-A_Scoring_Model!$C$15)*(K443-$I443)/($H443-$I443))),IF(K443&lt;=$H443,A_Scoring_Model!$C$14,IF(K443&gt;$I443,0,A_Scoring_Model!$C$15+(A_Scoring_Model!$C$14-A_Scoring_Model!$C$15)*($I443-K443)/($I443-$H443))))))</f>
        <v/>
      </c>
      <c r="P443" s="56" t="str">
        <f aca="false">IF(L443="","",IF($H443=$I443,IF(OR(AND($G443="Higher is better",L443&gt;=$H443),AND($G443="Lower is better",L443&lt;=$H443)),A_Scoring_Model!$C$14,0),IF($G443="Higher is better",IF(L443&gt;=$H443,A_Scoring_Model!$C$14,IF(L443&lt;$I443,0,A_Scoring_Model!$C$15+(A_Scoring_Model!$C$14-A_Scoring_Model!$C$15)*(L443-$I443)/($H443-$I443))),IF(L443&lt;=$H443,A_Scoring_Model!$C$14,IF(L443&gt;$I443,0,A_Scoring_Model!$C$15+(A_Scoring_Model!$C$14-A_Scoring_Model!$C$15)*($I443-L443)/($I443-$H443))))))</f>
        <v/>
      </c>
      <c r="Q443" s="56" t="str">
        <f aca="false">IF(M443="","",IF($H443=$I443,IF(OR(AND($G443="Higher is better",M443&gt;=$H443),AND($G443="Lower is better",M443&lt;=$H443)),A_Scoring_Model!$C$14,0),IF($G443="Higher is better",IF(M443&gt;=$H443,A_Scoring_Model!$C$14,IF(M443&lt;$I443,0,A_Scoring_Model!$C$15+(A_Scoring_Model!$C$14-A_Scoring_Model!$C$15)*(M443-$I443)/($H443-$I443))),IF(M443&lt;=$H443,A_Scoring_Model!$C$14,IF(M443&gt;$I443,0,A_Scoring_Model!$C$15+(A_Scoring_Model!$C$14-A_Scoring_Model!$C$15)*($I443-M443)/($I443-$H443))))))</f>
        <v/>
      </c>
    </row>
    <row r="444" customFormat="false" ht="15" hidden="false" customHeight="false" outlineLevel="0" collapsed="false">
      <c r="A444" s="51" t="str">
        <f aca="false">C_KPI_Benchmark!A444</f>
        <v>8.c-D6-13</v>
      </c>
      <c r="B444" s="52" t="str">
        <f aca="false">C_KPI_Benchmark!D444</f>
        <v>8.c</v>
      </c>
      <c r="C444" s="51" t="str">
        <f aca="false">C_KPI_Benchmark!E444</f>
        <v>Process Optimizer Agent</v>
      </c>
      <c r="D444" s="52" t="str">
        <f aca="false">C_KPI_Benchmark!F444</f>
        <v>D6</v>
      </c>
      <c r="E444" s="51" t="str">
        <f aca="false">C_KPI_Benchmark!J444</f>
        <v>Review Shield critical findings</v>
      </c>
      <c r="F444" s="52" t="str">
        <f aca="false">C_KPI_Benchmark!K444</f>
        <v>count</v>
      </c>
      <c r="G444" s="51" t="str">
        <f aca="false">C_KPI_Benchmark!L444</f>
        <v>Lower is better</v>
      </c>
      <c r="H444" s="62" t="n">
        <f aca="false">C_KPI_Benchmark!N444</f>
        <v>0</v>
      </c>
      <c r="I444" s="63" t="n">
        <f aca="false">IF(C_KPI_Benchmark!O444&lt;&gt;"",C_KPI_Benchmark!O444,IF(G444="Higher is better",H444*(1-A_Scoring_Model!$C$16),H444*(1+A_Scoring_Model!$C$16)))</f>
        <v>0</v>
      </c>
      <c r="J444" s="64"/>
      <c r="K444" s="64"/>
      <c r="L444" s="64"/>
      <c r="M444" s="64"/>
      <c r="N444" s="56" t="str">
        <f aca="false">IF(J444="","",IF($H444=$I444,IF(OR(AND($G444="Higher is better",J444&gt;=$H444),AND($G444="Lower is better",J444&lt;=$H444)),A_Scoring_Model!$C$14,0),IF($G444="Higher is better",IF(J444&gt;=$H444,A_Scoring_Model!$C$14,IF(J444&lt;$I444,0,A_Scoring_Model!$C$15+(A_Scoring_Model!$C$14-A_Scoring_Model!$C$15)*(J444-$I444)/($H444-$I444))),IF(J444&lt;=$H444,A_Scoring_Model!$C$14,IF(J444&gt;$I444,0,A_Scoring_Model!$C$15+(A_Scoring_Model!$C$14-A_Scoring_Model!$C$15)*($I444-J444)/($I444-$H444))))))</f>
        <v/>
      </c>
      <c r="O444" s="56" t="str">
        <f aca="false">IF(K444="","",IF($H444=$I444,IF(OR(AND($G444="Higher is better",K444&gt;=$H444),AND($G444="Lower is better",K444&lt;=$H444)),A_Scoring_Model!$C$14,0),IF($G444="Higher is better",IF(K444&gt;=$H444,A_Scoring_Model!$C$14,IF(K444&lt;$I444,0,A_Scoring_Model!$C$15+(A_Scoring_Model!$C$14-A_Scoring_Model!$C$15)*(K444-$I444)/($H444-$I444))),IF(K444&lt;=$H444,A_Scoring_Model!$C$14,IF(K444&gt;$I444,0,A_Scoring_Model!$C$15+(A_Scoring_Model!$C$14-A_Scoring_Model!$C$15)*($I444-K444)/($I444-$H444))))))</f>
        <v/>
      </c>
      <c r="P444" s="56" t="str">
        <f aca="false">IF(L444="","",IF($H444=$I444,IF(OR(AND($G444="Higher is better",L444&gt;=$H444),AND($G444="Lower is better",L444&lt;=$H444)),A_Scoring_Model!$C$14,0),IF($G444="Higher is better",IF(L444&gt;=$H444,A_Scoring_Model!$C$14,IF(L444&lt;$I444,0,A_Scoring_Model!$C$15+(A_Scoring_Model!$C$14-A_Scoring_Model!$C$15)*(L444-$I444)/($H444-$I444))),IF(L444&lt;=$H444,A_Scoring_Model!$C$14,IF(L444&gt;$I444,0,A_Scoring_Model!$C$15+(A_Scoring_Model!$C$14-A_Scoring_Model!$C$15)*($I444-L444)/($I444-$H444))))))</f>
        <v/>
      </c>
      <c r="Q444" s="56" t="str">
        <f aca="false">IF(M444="","",IF($H444=$I444,IF(OR(AND($G444="Higher is better",M444&gt;=$H444),AND($G444="Lower is better",M444&lt;=$H444)),A_Scoring_Model!$C$14,0),IF($G444="Higher is better",IF(M444&gt;=$H444,A_Scoring_Model!$C$14,IF(M444&lt;$I444,0,A_Scoring_Model!$C$15+(A_Scoring_Model!$C$14-A_Scoring_Model!$C$15)*(M444-$I444)/($H444-$I444))),IF(M444&lt;=$H444,A_Scoring_Model!$C$14,IF(M444&gt;$I444,0,A_Scoring_Model!$C$15+(A_Scoring_Model!$C$14-A_Scoring_Model!$C$15)*($I444-M444)/($I444-$H444))))))</f>
        <v/>
      </c>
    </row>
    <row r="445" customFormat="false" ht="15" hidden="false" customHeight="false" outlineLevel="0" collapsed="false">
      <c r="A445" s="51" t="str">
        <f aca="false">C_KPI_Benchmark!A445</f>
        <v>8.c-D6-14</v>
      </c>
      <c r="B445" s="52" t="str">
        <f aca="false">C_KPI_Benchmark!D445</f>
        <v>8.c</v>
      </c>
      <c r="C445" s="51" t="str">
        <f aca="false">C_KPI_Benchmark!E445</f>
        <v>Process Optimizer Agent</v>
      </c>
      <c r="D445" s="52" t="str">
        <f aca="false">C_KPI_Benchmark!F445</f>
        <v>D6</v>
      </c>
      <c r="E445" s="51" t="str">
        <f aca="false">C_KPI_Benchmark!J445</f>
        <v>SAST high findings and exposed secrets</v>
      </c>
      <c r="F445" s="52" t="str">
        <f aca="false">C_KPI_Benchmark!K445</f>
        <v>count</v>
      </c>
      <c r="G445" s="51" t="str">
        <f aca="false">C_KPI_Benchmark!L445</f>
        <v>Lower is better</v>
      </c>
      <c r="H445" s="62" t="n">
        <f aca="false">C_KPI_Benchmark!N445</f>
        <v>0</v>
      </c>
      <c r="I445" s="63" t="n">
        <f aca="false">IF(C_KPI_Benchmark!O445&lt;&gt;"",C_KPI_Benchmark!O445,IF(G445="Higher is better",H445*(1-A_Scoring_Model!$C$16),H445*(1+A_Scoring_Model!$C$16)))</f>
        <v>0</v>
      </c>
      <c r="J445" s="64"/>
      <c r="K445" s="64"/>
      <c r="L445" s="64"/>
      <c r="M445" s="64"/>
      <c r="N445" s="56" t="str">
        <f aca="false">IF(J445="","",IF($H445=$I445,IF(OR(AND($G445="Higher is better",J445&gt;=$H445),AND($G445="Lower is better",J445&lt;=$H445)),A_Scoring_Model!$C$14,0),IF($G445="Higher is better",IF(J445&gt;=$H445,A_Scoring_Model!$C$14,IF(J445&lt;$I445,0,A_Scoring_Model!$C$15+(A_Scoring_Model!$C$14-A_Scoring_Model!$C$15)*(J445-$I445)/($H445-$I445))),IF(J445&lt;=$H445,A_Scoring_Model!$C$14,IF(J445&gt;$I445,0,A_Scoring_Model!$C$15+(A_Scoring_Model!$C$14-A_Scoring_Model!$C$15)*($I445-J445)/($I445-$H445))))))</f>
        <v/>
      </c>
      <c r="O445" s="56" t="str">
        <f aca="false">IF(K445="","",IF($H445=$I445,IF(OR(AND($G445="Higher is better",K445&gt;=$H445),AND($G445="Lower is better",K445&lt;=$H445)),A_Scoring_Model!$C$14,0),IF($G445="Higher is better",IF(K445&gt;=$H445,A_Scoring_Model!$C$14,IF(K445&lt;$I445,0,A_Scoring_Model!$C$15+(A_Scoring_Model!$C$14-A_Scoring_Model!$C$15)*(K445-$I445)/($H445-$I445))),IF(K445&lt;=$H445,A_Scoring_Model!$C$14,IF(K445&gt;$I445,0,A_Scoring_Model!$C$15+(A_Scoring_Model!$C$14-A_Scoring_Model!$C$15)*($I445-K445)/($I445-$H445))))))</f>
        <v/>
      </c>
      <c r="P445" s="56" t="str">
        <f aca="false">IF(L445="","",IF($H445=$I445,IF(OR(AND($G445="Higher is better",L445&gt;=$H445),AND($G445="Lower is better",L445&lt;=$H445)),A_Scoring_Model!$C$14,0),IF($G445="Higher is better",IF(L445&gt;=$H445,A_Scoring_Model!$C$14,IF(L445&lt;$I445,0,A_Scoring_Model!$C$15+(A_Scoring_Model!$C$14-A_Scoring_Model!$C$15)*(L445-$I445)/($H445-$I445))),IF(L445&lt;=$H445,A_Scoring_Model!$C$14,IF(L445&gt;$I445,0,A_Scoring_Model!$C$15+(A_Scoring_Model!$C$14-A_Scoring_Model!$C$15)*($I445-L445)/($I445-$H445))))))</f>
        <v/>
      </c>
      <c r="Q445" s="56" t="str">
        <f aca="false">IF(M445="","",IF($H445=$I445,IF(OR(AND($G445="Higher is better",M445&gt;=$H445),AND($G445="Lower is better",M445&lt;=$H445)),A_Scoring_Model!$C$14,0),IF($G445="Higher is better",IF(M445&gt;=$H445,A_Scoring_Model!$C$14,IF(M445&lt;$I445,0,A_Scoring_Model!$C$15+(A_Scoring_Model!$C$14-A_Scoring_Model!$C$15)*(M445-$I445)/($H445-$I445))),IF(M445&lt;=$H445,A_Scoring_Model!$C$14,IF(M445&gt;$I445,0,A_Scoring_Model!$C$15+(A_Scoring_Model!$C$14-A_Scoring_Model!$C$15)*($I445-M445)/($I445-$H445))))))</f>
        <v/>
      </c>
    </row>
    <row r="446" customFormat="false" ht="23.85" hidden="false" customHeight="false" outlineLevel="0" collapsed="false">
      <c r="A446" s="51" t="str">
        <f aca="false">C_KPI_Benchmark!A446</f>
        <v>8.c-D6-15</v>
      </c>
      <c r="B446" s="52" t="str">
        <f aca="false">C_KPI_Benchmark!D446</f>
        <v>8.c</v>
      </c>
      <c r="C446" s="51" t="str">
        <f aca="false">C_KPI_Benchmark!E446</f>
        <v>Process Optimizer Agent</v>
      </c>
      <c r="D446" s="52" t="str">
        <f aca="false">C_KPI_Benchmark!F446</f>
        <v>D6</v>
      </c>
      <c r="E446" s="51" t="str">
        <f aca="false">C_KPI_Benchmark!J446</f>
        <v>Documentation pack complete (README, I/O contract, model card, runbook)</v>
      </c>
      <c r="F446" s="52" t="str">
        <f aca="false">C_KPI_Benchmark!K446</f>
        <v>Yes/No</v>
      </c>
      <c r="G446" s="51" t="str">
        <f aca="false">C_KPI_Benchmark!L446</f>
        <v>Higher is better</v>
      </c>
      <c r="H446" s="60" t="n">
        <f aca="false">C_KPI_Benchmark!N446</f>
        <v>1</v>
      </c>
      <c r="I446" s="56" t="n">
        <f aca="false">IF(C_KPI_Benchmark!O446&lt;&gt;"",C_KPI_Benchmark!O446,IF(G446="Higher is better",H446*(1-A_Scoring_Model!$C$16),H446*(1+A_Scoring_Model!$C$16)))</f>
        <v>0.8</v>
      </c>
      <c r="J446" s="61"/>
      <c r="K446" s="61"/>
      <c r="L446" s="61"/>
      <c r="M446" s="61"/>
      <c r="N446" s="56" t="str">
        <f aca="false">IF(J446="","",IF($H446=$I446,IF(OR(AND($G446="Higher is better",J446&gt;=$H446),AND($G446="Lower is better",J446&lt;=$H446)),A_Scoring_Model!$C$14,0),IF($G446="Higher is better",IF(J446&gt;=$H446,A_Scoring_Model!$C$14,IF(J446&lt;$I446,0,A_Scoring_Model!$C$15+(A_Scoring_Model!$C$14-A_Scoring_Model!$C$15)*(J446-$I446)/($H446-$I446))),IF(J446&lt;=$H446,A_Scoring_Model!$C$14,IF(J446&gt;$I446,0,A_Scoring_Model!$C$15+(A_Scoring_Model!$C$14-A_Scoring_Model!$C$15)*($I446-J446)/($I446-$H446))))))</f>
        <v/>
      </c>
      <c r="O446" s="56" t="str">
        <f aca="false">IF(K446="","",IF($H446=$I446,IF(OR(AND($G446="Higher is better",K446&gt;=$H446),AND($G446="Lower is better",K446&lt;=$H446)),A_Scoring_Model!$C$14,0),IF($G446="Higher is better",IF(K446&gt;=$H446,A_Scoring_Model!$C$14,IF(K446&lt;$I446,0,A_Scoring_Model!$C$15+(A_Scoring_Model!$C$14-A_Scoring_Model!$C$15)*(K446-$I446)/($H446-$I446))),IF(K446&lt;=$H446,A_Scoring_Model!$C$14,IF(K446&gt;$I446,0,A_Scoring_Model!$C$15+(A_Scoring_Model!$C$14-A_Scoring_Model!$C$15)*($I446-K446)/($I446-$H446))))))</f>
        <v/>
      </c>
      <c r="P446" s="56" t="str">
        <f aca="false">IF(L446="","",IF($H446=$I446,IF(OR(AND($G446="Higher is better",L446&gt;=$H446),AND($G446="Lower is better",L446&lt;=$H446)),A_Scoring_Model!$C$14,0),IF($G446="Higher is better",IF(L446&gt;=$H446,A_Scoring_Model!$C$14,IF(L446&lt;$I446,0,A_Scoring_Model!$C$15+(A_Scoring_Model!$C$14-A_Scoring_Model!$C$15)*(L446-$I446)/($H446-$I446))),IF(L446&lt;=$H446,A_Scoring_Model!$C$14,IF(L446&gt;$I446,0,A_Scoring_Model!$C$15+(A_Scoring_Model!$C$14-A_Scoring_Model!$C$15)*($I446-L446)/($I446-$H446))))))</f>
        <v/>
      </c>
      <c r="Q446" s="56" t="str">
        <f aca="false">IF(M446="","",IF($H446=$I446,IF(OR(AND($G446="Higher is better",M446&gt;=$H446),AND($G446="Lower is better",M446&lt;=$H446)),A_Scoring_Model!$C$14,0),IF($G446="Higher is better",IF(M446&gt;=$H446,A_Scoring_Model!$C$14,IF(M446&lt;$I446,0,A_Scoring_Model!$C$15+(A_Scoring_Model!$C$14-A_Scoring_Model!$C$15)*(M446-$I446)/($H446-$I446))),IF(M446&lt;=$H446,A_Scoring_Model!$C$14,IF(M446&gt;$I446,0,A_Scoring_Model!$C$15+(A_Scoring_Model!$C$14-A_Scoring_Model!$C$15)*($I446-M446)/($I446-$H446))))))</f>
        <v/>
      </c>
    </row>
    <row r="447" customFormat="false" ht="15" hidden="false" customHeight="false" outlineLevel="0" collapsed="false">
      <c r="A447" s="51" t="str">
        <f aca="false">C_KPI_Benchmark!A447</f>
        <v>8.c-D6-16</v>
      </c>
      <c r="B447" s="52" t="str">
        <f aca="false">C_KPI_Benchmark!D447</f>
        <v>8.c</v>
      </c>
      <c r="C447" s="51" t="str">
        <f aca="false">C_KPI_Benchmark!E447</f>
        <v>Process Optimizer Agent</v>
      </c>
      <c r="D447" s="52" t="str">
        <f aca="false">C_KPI_Benchmark!F447</f>
        <v>D6</v>
      </c>
      <c r="E447" s="51" t="str">
        <f aca="false">C_KPI_Benchmark!J447</f>
        <v>Named owner and support SLA</v>
      </c>
      <c r="F447" s="52" t="str">
        <f aca="false">C_KPI_Benchmark!K447</f>
        <v>Yes/No</v>
      </c>
      <c r="G447" s="51" t="str">
        <f aca="false">C_KPI_Benchmark!L447</f>
        <v>Higher is better</v>
      </c>
      <c r="H447" s="60" t="n">
        <f aca="false">C_KPI_Benchmark!N447</f>
        <v>1</v>
      </c>
      <c r="I447" s="56" t="n">
        <f aca="false">IF(C_KPI_Benchmark!O447&lt;&gt;"",C_KPI_Benchmark!O447,IF(G447="Higher is better",H447*(1-A_Scoring_Model!$C$16),H447*(1+A_Scoring_Model!$C$16)))</f>
        <v>0.8</v>
      </c>
      <c r="J447" s="61"/>
      <c r="K447" s="61"/>
      <c r="L447" s="61"/>
      <c r="M447" s="61"/>
      <c r="N447" s="56" t="str">
        <f aca="false">IF(J447="","",IF($H447=$I447,IF(OR(AND($G447="Higher is better",J447&gt;=$H447),AND($G447="Lower is better",J447&lt;=$H447)),A_Scoring_Model!$C$14,0),IF($G447="Higher is better",IF(J447&gt;=$H447,A_Scoring_Model!$C$14,IF(J447&lt;$I447,0,A_Scoring_Model!$C$15+(A_Scoring_Model!$C$14-A_Scoring_Model!$C$15)*(J447-$I447)/($H447-$I447))),IF(J447&lt;=$H447,A_Scoring_Model!$C$14,IF(J447&gt;$I447,0,A_Scoring_Model!$C$15+(A_Scoring_Model!$C$14-A_Scoring_Model!$C$15)*($I447-J447)/($I447-$H447))))))</f>
        <v/>
      </c>
      <c r="O447" s="56" t="str">
        <f aca="false">IF(K447="","",IF($H447=$I447,IF(OR(AND($G447="Higher is better",K447&gt;=$H447),AND($G447="Lower is better",K447&lt;=$H447)),A_Scoring_Model!$C$14,0),IF($G447="Higher is better",IF(K447&gt;=$H447,A_Scoring_Model!$C$14,IF(K447&lt;$I447,0,A_Scoring_Model!$C$15+(A_Scoring_Model!$C$14-A_Scoring_Model!$C$15)*(K447-$I447)/($H447-$I447))),IF(K447&lt;=$H447,A_Scoring_Model!$C$14,IF(K447&gt;$I447,0,A_Scoring_Model!$C$15+(A_Scoring_Model!$C$14-A_Scoring_Model!$C$15)*($I447-K447)/($I447-$H447))))))</f>
        <v/>
      </c>
      <c r="P447" s="56" t="str">
        <f aca="false">IF(L447="","",IF($H447=$I447,IF(OR(AND($G447="Higher is better",L447&gt;=$H447),AND($G447="Lower is better",L447&lt;=$H447)),A_Scoring_Model!$C$14,0),IF($G447="Higher is better",IF(L447&gt;=$H447,A_Scoring_Model!$C$14,IF(L447&lt;$I447,0,A_Scoring_Model!$C$15+(A_Scoring_Model!$C$14-A_Scoring_Model!$C$15)*(L447-$I447)/($H447-$I447))),IF(L447&lt;=$H447,A_Scoring_Model!$C$14,IF(L447&gt;$I447,0,A_Scoring_Model!$C$15+(A_Scoring_Model!$C$14-A_Scoring_Model!$C$15)*($I447-L447)/($I447-$H447))))))</f>
        <v/>
      </c>
      <c r="Q447" s="56" t="str">
        <f aca="false">IF(M447="","",IF($H447=$I447,IF(OR(AND($G447="Higher is better",M447&gt;=$H447),AND($G447="Lower is better",M447&lt;=$H447)),A_Scoring_Model!$C$14,0),IF($G447="Higher is better",IF(M447&gt;=$H447,A_Scoring_Model!$C$14,IF(M447&lt;$I447,0,A_Scoring_Model!$C$15+(A_Scoring_Model!$C$14-A_Scoring_Model!$C$15)*(M447-$I447)/($H447-$I447))),IF(M447&lt;=$H447,A_Scoring_Model!$C$14,IF(M447&gt;$I447,0,A_Scoring_Model!$C$15+(A_Scoring_Model!$C$14-A_Scoring_Model!$C$15)*($I447-M447)/($I447-$H447))))))</f>
        <v/>
      </c>
    </row>
    <row r="448" customFormat="false" ht="15" hidden="false" customHeight="false" outlineLevel="0" collapsed="false">
      <c r="A448" s="51" t="str">
        <f aca="false">C_KPI_Benchmark!A448</f>
        <v>9.a-D1-01</v>
      </c>
      <c r="B448" s="52" t="str">
        <f aca="false">C_KPI_Benchmark!D448</f>
        <v>9.a</v>
      </c>
      <c r="C448" s="51" t="str">
        <f aca="false">C_KPI_Benchmark!E448</f>
        <v>Release Gate Validator Agent</v>
      </c>
      <c r="D448" s="52" t="str">
        <f aca="false">C_KPI_Benchmark!F448</f>
        <v>D1</v>
      </c>
      <c r="E448" s="51" t="str">
        <f aca="false">C_KPI_Benchmark!J448</f>
        <v>Decision agreement with release board</v>
      </c>
      <c r="F448" s="52" t="str">
        <f aca="false">C_KPI_Benchmark!K448</f>
        <v>%</v>
      </c>
      <c r="G448" s="51" t="str">
        <f aca="false">C_KPI_Benchmark!L448</f>
        <v>Higher is better</v>
      </c>
      <c r="H448" s="53" t="n">
        <f aca="false">C_KPI_Benchmark!N448</f>
        <v>0.95</v>
      </c>
      <c r="I448" s="54" t="n">
        <f aca="false">IF(C_KPI_Benchmark!O448&lt;&gt;"",C_KPI_Benchmark!O448,IF(G448="Higher is better",H448*(1-A_Scoring_Model!$C$16),H448*(1+A_Scoring_Model!$C$16)))</f>
        <v>0.9</v>
      </c>
      <c r="J448" s="55"/>
      <c r="K448" s="55"/>
      <c r="L448" s="55"/>
      <c r="M448" s="55"/>
      <c r="N448" s="56" t="str">
        <f aca="false">IF(J448="","",IF($H448=$I448,IF(OR(AND($G448="Higher is better",J448&gt;=$H448),AND($G448="Lower is better",J448&lt;=$H448)),A_Scoring_Model!$C$14,0),IF($G448="Higher is better",IF(J448&gt;=$H448,A_Scoring_Model!$C$14,IF(J448&lt;$I448,0,A_Scoring_Model!$C$15+(A_Scoring_Model!$C$14-A_Scoring_Model!$C$15)*(J448-$I448)/($H448-$I448))),IF(J448&lt;=$H448,A_Scoring_Model!$C$14,IF(J448&gt;$I448,0,A_Scoring_Model!$C$15+(A_Scoring_Model!$C$14-A_Scoring_Model!$C$15)*($I448-J448)/($I448-$H448))))))</f>
        <v/>
      </c>
      <c r="O448" s="56" t="str">
        <f aca="false">IF(K448="","",IF($H448=$I448,IF(OR(AND($G448="Higher is better",K448&gt;=$H448),AND($G448="Lower is better",K448&lt;=$H448)),A_Scoring_Model!$C$14,0),IF($G448="Higher is better",IF(K448&gt;=$H448,A_Scoring_Model!$C$14,IF(K448&lt;$I448,0,A_Scoring_Model!$C$15+(A_Scoring_Model!$C$14-A_Scoring_Model!$C$15)*(K448-$I448)/($H448-$I448))),IF(K448&lt;=$H448,A_Scoring_Model!$C$14,IF(K448&gt;$I448,0,A_Scoring_Model!$C$15+(A_Scoring_Model!$C$14-A_Scoring_Model!$C$15)*($I448-K448)/($I448-$H448))))))</f>
        <v/>
      </c>
      <c r="P448" s="56" t="str">
        <f aca="false">IF(L448="","",IF($H448=$I448,IF(OR(AND($G448="Higher is better",L448&gt;=$H448),AND($G448="Lower is better",L448&lt;=$H448)),A_Scoring_Model!$C$14,0),IF($G448="Higher is better",IF(L448&gt;=$H448,A_Scoring_Model!$C$14,IF(L448&lt;$I448,0,A_Scoring_Model!$C$15+(A_Scoring_Model!$C$14-A_Scoring_Model!$C$15)*(L448-$I448)/($H448-$I448))),IF(L448&lt;=$H448,A_Scoring_Model!$C$14,IF(L448&gt;$I448,0,A_Scoring_Model!$C$15+(A_Scoring_Model!$C$14-A_Scoring_Model!$C$15)*($I448-L448)/($I448-$H448))))))</f>
        <v/>
      </c>
      <c r="Q448" s="56" t="str">
        <f aca="false">IF(M448="","",IF($H448=$I448,IF(OR(AND($G448="Higher is better",M448&gt;=$H448),AND($G448="Lower is better",M448&lt;=$H448)),A_Scoring_Model!$C$14,0),IF($G448="Higher is better",IF(M448&gt;=$H448,A_Scoring_Model!$C$14,IF(M448&lt;$I448,0,A_Scoring_Model!$C$15+(A_Scoring_Model!$C$14-A_Scoring_Model!$C$15)*(M448-$I448)/($H448-$I448))),IF(M448&lt;=$H448,A_Scoring_Model!$C$14,IF(M448&gt;$I448,0,A_Scoring_Model!$C$15+(A_Scoring_Model!$C$14-A_Scoring_Model!$C$15)*($I448-M448)/($I448-$H448))))))</f>
        <v/>
      </c>
    </row>
    <row r="449" customFormat="false" ht="15" hidden="false" customHeight="false" outlineLevel="0" collapsed="false">
      <c r="A449" s="51" t="str">
        <f aca="false">C_KPI_Benchmark!A449</f>
        <v>9.a-D1-02</v>
      </c>
      <c r="B449" s="52" t="str">
        <f aca="false">C_KPI_Benchmark!D449</f>
        <v>9.a</v>
      </c>
      <c r="C449" s="51" t="str">
        <f aca="false">C_KPI_Benchmark!E449</f>
        <v>Release Gate Validator Agent</v>
      </c>
      <c r="D449" s="52" t="str">
        <f aca="false">C_KPI_Benchmark!F449</f>
        <v>D1</v>
      </c>
      <c r="E449" s="51" t="str">
        <f aca="false">C_KPI_Benchmark!J449</f>
        <v>Missing-evidence detection recall</v>
      </c>
      <c r="F449" s="52" t="str">
        <f aca="false">C_KPI_Benchmark!K449</f>
        <v>%</v>
      </c>
      <c r="G449" s="51" t="str">
        <f aca="false">C_KPI_Benchmark!L449</f>
        <v>Higher is better</v>
      </c>
      <c r="H449" s="53" t="n">
        <f aca="false">C_KPI_Benchmark!N449</f>
        <v>1</v>
      </c>
      <c r="I449" s="54" t="n">
        <f aca="false">IF(C_KPI_Benchmark!O449&lt;&gt;"",C_KPI_Benchmark!O449,IF(G449="Higher is better",H449*(1-A_Scoring_Model!$C$16),H449*(1+A_Scoring_Model!$C$16)))</f>
        <v>1</v>
      </c>
      <c r="J449" s="55"/>
      <c r="K449" s="55"/>
      <c r="L449" s="55"/>
      <c r="M449" s="55"/>
      <c r="N449" s="56" t="str">
        <f aca="false">IF(J449="","",IF($H449=$I449,IF(OR(AND($G449="Higher is better",J449&gt;=$H449),AND($G449="Lower is better",J449&lt;=$H449)),A_Scoring_Model!$C$14,0),IF($G449="Higher is better",IF(J449&gt;=$H449,A_Scoring_Model!$C$14,IF(J449&lt;$I449,0,A_Scoring_Model!$C$15+(A_Scoring_Model!$C$14-A_Scoring_Model!$C$15)*(J449-$I449)/($H449-$I449))),IF(J449&lt;=$H449,A_Scoring_Model!$C$14,IF(J449&gt;$I449,0,A_Scoring_Model!$C$15+(A_Scoring_Model!$C$14-A_Scoring_Model!$C$15)*($I449-J449)/($I449-$H449))))))</f>
        <v/>
      </c>
      <c r="O449" s="56" t="str">
        <f aca="false">IF(K449="","",IF($H449=$I449,IF(OR(AND($G449="Higher is better",K449&gt;=$H449),AND($G449="Lower is better",K449&lt;=$H449)),A_Scoring_Model!$C$14,0),IF($G449="Higher is better",IF(K449&gt;=$H449,A_Scoring_Model!$C$14,IF(K449&lt;$I449,0,A_Scoring_Model!$C$15+(A_Scoring_Model!$C$14-A_Scoring_Model!$C$15)*(K449-$I449)/($H449-$I449))),IF(K449&lt;=$H449,A_Scoring_Model!$C$14,IF(K449&gt;$I449,0,A_Scoring_Model!$C$15+(A_Scoring_Model!$C$14-A_Scoring_Model!$C$15)*($I449-K449)/($I449-$H449))))))</f>
        <v/>
      </c>
      <c r="P449" s="56" t="str">
        <f aca="false">IF(L449="","",IF($H449=$I449,IF(OR(AND($G449="Higher is better",L449&gt;=$H449),AND($G449="Lower is better",L449&lt;=$H449)),A_Scoring_Model!$C$14,0),IF($G449="Higher is better",IF(L449&gt;=$H449,A_Scoring_Model!$C$14,IF(L449&lt;$I449,0,A_Scoring_Model!$C$15+(A_Scoring_Model!$C$14-A_Scoring_Model!$C$15)*(L449-$I449)/($H449-$I449))),IF(L449&lt;=$H449,A_Scoring_Model!$C$14,IF(L449&gt;$I449,0,A_Scoring_Model!$C$15+(A_Scoring_Model!$C$14-A_Scoring_Model!$C$15)*($I449-L449)/($I449-$H449))))))</f>
        <v/>
      </c>
      <c r="Q449" s="56" t="str">
        <f aca="false">IF(M449="","",IF($H449=$I449,IF(OR(AND($G449="Higher is better",M449&gt;=$H449),AND($G449="Lower is better",M449&lt;=$H449)),A_Scoring_Model!$C$14,0),IF($G449="Higher is better",IF(M449&gt;=$H449,A_Scoring_Model!$C$14,IF(M449&lt;$I449,0,A_Scoring_Model!$C$15+(A_Scoring_Model!$C$14-A_Scoring_Model!$C$15)*(M449-$I449)/($H449-$I449))),IF(M449&lt;=$H449,A_Scoring_Model!$C$14,IF(M449&gt;$I449,0,A_Scoring_Model!$C$15+(A_Scoring_Model!$C$14-A_Scoring_Model!$C$15)*($I449-M449)/($I449-$H449))))))</f>
        <v/>
      </c>
    </row>
    <row r="450" customFormat="false" ht="15" hidden="false" customHeight="false" outlineLevel="0" collapsed="false">
      <c r="A450" s="51" t="str">
        <f aca="false">C_KPI_Benchmark!A450</f>
        <v>9.a-D1-03</v>
      </c>
      <c r="B450" s="52" t="str">
        <f aca="false">C_KPI_Benchmark!D450</f>
        <v>9.a</v>
      </c>
      <c r="C450" s="51" t="str">
        <f aca="false">C_KPI_Benchmark!E450</f>
        <v>Release Gate Validator Agent</v>
      </c>
      <c r="D450" s="52" t="str">
        <f aca="false">C_KPI_Benchmark!F450</f>
        <v>D1</v>
      </c>
      <c r="E450" s="51" t="str">
        <f aca="false">C_KPI_Benchmark!J450</f>
        <v>False Go on seeded blockers</v>
      </c>
      <c r="F450" s="52" t="str">
        <f aca="false">C_KPI_Benchmark!K450</f>
        <v>count</v>
      </c>
      <c r="G450" s="51" t="str">
        <f aca="false">C_KPI_Benchmark!L450</f>
        <v>Lower is better</v>
      </c>
      <c r="H450" s="62" t="n">
        <f aca="false">C_KPI_Benchmark!N450</f>
        <v>0</v>
      </c>
      <c r="I450" s="63" t="n">
        <f aca="false">IF(C_KPI_Benchmark!O450&lt;&gt;"",C_KPI_Benchmark!O450,IF(G450="Higher is better",H450*(1-A_Scoring_Model!$C$16),H450*(1+A_Scoring_Model!$C$16)))</f>
        <v>0</v>
      </c>
      <c r="J450" s="64"/>
      <c r="K450" s="64"/>
      <c r="L450" s="64"/>
      <c r="M450" s="64"/>
      <c r="N450" s="56" t="str">
        <f aca="false">IF(J450="","",IF($H450=$I450,IF(OR(AND($G450="Higher is better",J450&gt;=$H450),AND($G450="Lower is better",J450&lt;=$H450)),A_Scoring_Model!$C$14,0),IF($G450="Higher is better",IF(J450&gt;=$H450,A_Scoring_Model!$C$14,IF(J450&lt;$I450,0,A_Scoring_Model!$C$15+(A_Scoring_Model!$C$14-A_Scoring_Model!$C$15)*(J450-$I450)/($H450-$I450))),IF(J450&lt;=$H450,A_Scoring_Model!$C$14,IF(J450&gt;$I450,0,A_Scoring_Model!$C$15+(A_Scoring_Model!$C$14-A_Scoring_Model!$C$15)*($I450-J450)/($I450-$H450))))))</f>
        <v/>
      </c>
      <c r="O450" s="56" t="str">
        <f aca="false">IF(K450="","",IF($H450=$I450,IF(OR(AND($G450="Higher is better",K450&gt;=$H450),AND($G450="Lower is better",K450&lt;=$H450)),A_Scoring_Model!$C$14,0),IF($G450="Higher is better",IF(K450&gt;=$H450,A_Scoring_Model!$C$14,IF(K450&lt;$I450,0,A_Scoring_Model!$C$15+(A_Scoring_Model!$C$14-A_Scoring_Model!$C$15)*(K450-$I450)/($H450-$I450))),IF(K450&lt;=$H450,A_Scoring_Model!$C$14,IF(K450&gt;$I450,0,A_Scoring_Model!$C$15+(A_Scoring_Model!$C$14-A_Scoring_Model!$C$15)*($I450-K450)/($I450-$H450))))))</f>
        <v/>
      </c>
      <c r="P450" s="56" t="str">
        <f aca="false">IF(L450="","",IF($H450=$I450,IF(OR(AND($G450="Higher is better",L450&gt;=$H450),AND($G450="Lower is better",L450&lt;=$H450)),A_Scoring_Model!$C$14,0),IF($G450="Higher is better",IF(L450&gt;=$H450,A_Scoring_Model!$C$14,IF(L450&lt;$I450,0,A_Scoring_Model!$C$15+(A_Scoring_Model!$C$14-A_Scoring_Model!$C$15)*(L450-$I450)/($H450-$I450))),IF(L450&lt;=$H450,A_Scoring_Model!$C$14,IF(L450&gt;$I450,0,A_Scoring_Model!$C$15+(A_Scoring_Model!$C$14-A_Scoring_Model!$C$15)*($I450-L450)/($I450-$H450))))))</f>
        <v/>
      </c>
      <c r="Q450" s="56" t="str">
        <f aca="false">IF(M450="","",IF($H450=$I450,IF(OR(AND($G450="Higher is better",M450&gt;=$H450),AND($G450="Lower is better",M450&lt;=$H450)),A_Scoring_Model!$C$14,0),IF($G450="Higher is better",IF(M450&gt;=$H450,A_Scoring_Model!$C$14,IF(M450&lt;$I450,0,A_Scoring_Model!$C$15+(A_Scoring_Model!$C$14-A_Scoring_Model!$C$15)*(M450-$I450)/($H450-$I450))),IF(M450&lt;=$H450,A_Scoring_Model!$C$14,IF(M450&gt;$I450,0,A_Scoring_Model!$C$15+(A_Scoring_Model!$C$14-A_Scoring_Model!$C$15)*($I450-M450)/($I450-$H450))))))</f>
        <v/>
      </c>
    </row>
    <row r="451" customFormat="false" ht="15" hidden="false" customHeight="false" outlineLevel="0" collapsed="false">
      <c r="A451" s="51" t="str">
        <f aca="false">C_KPI_Benchmark!A451</f>
        <v>9.a-D2-04</v>
      </c>
      <c r="B451" s="52" t="str">
        <f aca="false">C_KPI_Benchmark!D451</f>
        <v>9.a</v>
      </c>
      <c r="C451" s="51" t="str">
        <f aca="false">C_KPI_Benchmark!E451</f>
        <v>Release Gate Validator Agent</v>
      </c>
      <c r="D451" s="52" t="str">
        <f aca="false">C_KPI_Benchmark!F451</f>
        <v>D2</v>
      </c>
      <c r="E451" s="51" t="str">
        <f aca="false">C_KPI_Benchmark!J451</f>
        <v>Gate policies per customer / product in YAML</v>
      </c>
      <c r="F451" s="52" t="str">
        <f aca="false">C_KPI_Benchmark!K451</f>
        <v>Yes/No</v>
      </c>
      <c r="G451" s="51" t="str">
        <f aca="false">C_KPI_Benchmark!L451</f>
        <v>Higher is better</v>
      </c>
      <c r="H451" s="60" t="n">
        <f aca="false">C_KPI_Benchmark!N451</f>
        <v>1</v>
      </c>
      <c r="I451" s="56" t="n">
        <f aca="false">IF(C_KPI_Benchmark!O451&lt;&gt;"",C_KPI_Benchmark!O451,IF(G451="Higher is better",H451*(1-A_Scoring_Model!$C$16),H451*(1+A_Scoring_Model!$C$16)))</f>
        <v>0.8</v>
      </c>
      <c r="J451" s="61"/>
      <c r="K451" s="61"/>
      <c r="L451" s="61"/>
      <c r="M451" s="61"/>
      <c r="N451" s="56" t="str">
        <f aca="false">IF(J451="","",IF($H451=$I451,IF(OR(AND($G451="Higher is better",J451&gt;=$H451),AND($G451="Lower is better",J451&lt;=$H451)),A_Scoring_Model!$C$14,0),IF($G451="Higher is better",IF(J451&gt;=$H451,A_Scoring_Model!$C$14,IF(J451&lt;$I451,0,A_Scoring_Model!$C$15+(A_Scoring_Model!$C$14-A_Scoring_Model!$C$15)*(J451-$I451)/($H451-$I451))),IF(J451&lt;=$H451,A_Scoring_Model!$C$14,IF(J451&gt;$I451,0,A_Scoring_Model!$C$15+(A_Scoring_Model!$C$14-A_Scoring_Model!$C$15)*($I451-J451)/($I451-$H451))))))</f>
        <v/>
      </c>
      <c r="O451" s="56" t="str">
        <f aca="false">IF(K451="","",IF($H451=$I451,IF(OR(AND($G451="Higher is better",K451&gt;=$H451),AND($G451="Lower is better",K451&lt;=$H451)),A_Scoring_Model!$C$14,0),IF($G451="Higher is better",IF(K451&gt;=$H451,A_Scoring_Model!$C$14,IF(K451&lt;$I451,0,A_Scoring_Model!$C$15+(A_Scoring_Model!$C$14-A_Scoring_Model!$C$15)*(K451-$I451)/($H451-$I451))),IF(K451&lt;=$H451,A_Scoring_Model!$C$14,IF(K451&gt;$I451,0,A_Scoring_Model!$C$15+(A_Scoring_Model!$C$14-A_Scoring_Model!$C$15)*($I451-K451)/($I451-$H451))))))</f>
        <v/>
      </c>
      <c r="P451" s="56" t="str">
        <f aca="false">IF(L451="","",IF($H451=$I451,IF(OR(AND($G451="Higher is better",L451&gt;=$H451),AND($G451="Lower is better",L451&lt;=$H451)),A_Scoring_Model!$C$14,0),IF($G451="Higher is better",IF(L451&gt;=$H451,A_Scoring_Model!$C$14,IF(L451&lt;$I451,0,A_Scoring_Model!$C$15+(A_Scoring_Model!$C$14-A_Scoring_Model!$C$15)*(L451-$I451)/($H451-$I451))),IF(L451&lt;=$H451,A_Scoring_Model!$C$14,IF(L451&gt;$I451,0,A_Scoring_Model!$C$15+(A_Scoring_Model!$C$14-A_Scoring_Model!$C$15)*($I451-L451)/($I451-$H451))))))</f>
        <v/>
      </c>
      <c r="Q451" s="56" t="str">
        <f aca="false">IF(M451="","",IF($H451=$I451,IF(OR(AND($G451="Higher is better",M451&gt;=$H451),AND($G451="Lower is better",M451&lt;=$H451)),A_Scoring_Model!$C$14,0),IF($G451="Higher is better",IF(M451&gt;=$H451,A_Scoring_Model!$C$14,IF(M451&lt;$I451,0,A_Scoring_Model!$C$15+(A_Scoring_Model!$C$14-A_Scoring_Model!$C$15)*(M451-$I451)/($H451-$I451))),IF(M451&lt;=$H451,A_Scoring_Model!$C$14,IF(M451&gt;$I451,0,A_Scoring_Model!$C$15+(A_Scoring_Model!$C$14-A_Scoring_Model!$C$15)*($I451-M451)/($I451-$H451))))))</f>
        <v/>
      </c>
    </row>
    <row r="452" customFormat="false" ht="23.85" hidden="false" customHeight="false" outlineLevel="0" collapsed="false">
      <c r="A452" s="51" t="str">
        <f aca="false">C_KPI_Benchmark!A452</f>
        <v>9.a-D2-05</v>
      </c>
      <c r="B452" s="52" t="str">
        <f aca="false">C_KPI_Benchmark!D452</f>
        <v>9.a</v>
      </c>
      <c r="C452" s="51" t="str">
        <f aca="false">C_KPI_Benchmark!E452</f>
        <v>Release Gate Validator Agent</v>
      </c>
      <c r="D452" s="52" t="str">
        <f aca="false">C_KPI_Benchmark!F452</f>
        <v>D2</v>
      </c>
      <c r="E452" s="51" t="str">
        <f aca="false">C_KPI_Benchmark!J452</f>
        <v>Product lines supported with ≤10% efficacy drop (NVMe SSD, UFS, eMMC/uSD, PSSD)</v>
      </c>
      <c r="F452" s="52" t="str">
        <f aca="false">C_KPI_Benchmark!K452</f>
        <v>count</v>
      </c>
      <c r="G452" s="51" t="str">
        <f aca="false">C_KPI_Benchmark!L452</f>
        <v>Higher is better</v>
      </c>
      <c r="H452" s="62" t="n">
        <f aca="false">C_KPI_Benchmark!N452</f>
        <v>3</v>
      </c>
      <c r="I452" s="63" t="n">
        <f aca="false">IF(C_KPI_Benchmark!O452&lt;&gt;"",C_KPI_Benchmark!O452,IF(G452="Higher is better",H452*(1-A_Scoring_Model!$C$16),H452*(1+A_Scoring_Model!$C$16)))</f>
        <v>2</v>
      </c>
      <c r="J452" s="64"/>
      <c r="K452" s="64"/>
      <c r="L452" s="64"/>
      <c r="M452" s="64"/>
      <c r="N452" s="56" t="str">
        <f aca="false">IF(J452="","",IF($H452=$I452,IF(OR(AND($G452="Higher is better",J452&gt;=$H452),AND($G452="Lower is better",J452&lt;=$H452)),A_Scoring_Model!$C$14,0),IF($G452="Higher is better",IF(J452&gt;=$H452,A_Scoring_Model!$C$14,IF(J452&lt;$I452,0,A_Scoring_Model!$C$15+(A_Scoring_Model!$C$14-A_Scoring_Model!$C$15)*(J452-$I452)/($H452-$I452))),IF(J452&lt;=$H452,A_Scoring_Model!$C$14,IF(J452&gt;$I452,0,A_Scoring_Model!$C$15+(A_Scoring_Model!$C$14-A_Scoring_Model!$C$15)*($I452-J452)/($I452-$H452))))))</f>
        <v/>
      </c>
      <c r="O452" s="56" t="str">
        <f aca="false">IF(K452="","",IF($H452=$I452,IF(OR(AND($G452="Higher is better",K452&gt;=$H452),AND($G452="Lower is better",K452&lt;=$H452)),A_Scoring_Model!$C$14,0),IF($G452="Higher is better",IF(K452&gt;=$H452,A_Scoring_Model!$C$14,IF(K452&lt;$I452,0,A_Scoring_Model!$C$15+(A_Scoring_Model!$C$14-A_Scoring_Model!$C$15)*(K452-$I452)/($H452-$I452))),IF(K452&lt;=$H452,A_Scoring_Model!$C$14,IF(K452&gt;$I452,0,A_Scoring_Model!$C$15+(A_Scoring_Model!$C$14-A_Scoring_Model!$C$15)*($I452-K452)/($I452-$H452))))))</f>
        <v/>
      </c>
      <c r="P452" s="56" t="str">
        <f aca="false">IF(L452="","",IF($H452=$I452,IF(OR(AND($G452="Higher is better",L452&gt;=$H452),AND($G452="Lower is better",L452&lt;=$H452)),A_Scoring_Model!$C$14,0),IF($G452="Higher is better",IF(L452&gt;=$H452,A_Scoring_Model!$C$14,IF(L452&lt;$I452,0,A_Scoring_Model!$C$15+(A_Scoring_Model!$C$14-A_Scoring_Model!$C$15)*(L452-$I452)/($H452-$I452))),IF(L452&lt;=$H452,A_Scoring_Model!$C$14,IF(L452&gt;$I452,0,A_Scoring_Model!$C$15+(A_Scoring_Model!$C$14-A_Scoring_Model!$C$15)*($I452-L452)/($I452-$H452))))))</f>
        <v/>
      </c>
      <c r="Q452" s="56" t="str">
        <f aca="false">IF(M452="","",IF($H452=$I452,IF(OR(AND($G452="Higher is better",M452&gt;=$H452),AND($G452="Lower is better",M452&lt;=$H452)),A_Scoring_Model!$C$14,0),IF($G452="Higher is better",IF(M452&gt;=$H452,A_Scoring_Model!$C$14,IF(M452&lt;$I452,0,A_Scoring_Model!$C$15+(A_Scoring_Model!$C$14-A_Scoring_Model!$C$15)*(M452-$I452)/($H452-$I452))),IF(M452&lt;=$H452,A_Scoring_Model!$C$14,IF(M452&gt;$I452,0,A_Scoring_Model!$C$15+(A_Scoring_Model!$C$14-A_Scoring_Model!$C$15)*($I452-M452)/($I452-$H452))))))</f>
        <v/>
      </c>
    </row>
    <row r="453" customFormat="false" ht="15" hidden="false" customHeight="false" outlineLevel="0" collapsed="false">
      <c r="A453" s="51" t="str">
        <f aca="false">C_KPI_Benchmark!A453</f>
        <v>9.a-D2-06</v>
      </c>
      <c r="B453" s="52" t="str">
        <f aca="false">C_KPI_Benchmark!D453</f>
        <v>9.a</v>
      </c>
      <c r="C453" s="51" t="str">
        <f aca="false">C_KPI_Benchmark!E453</f>
        <v>Release Gate Validator Agent</v>
      </c>
      <c r="D453" s="52" t="str">
        <f aca="false">C_KPI_Benchmark!F453</f>
        <v>D2</v>
      </c>
      <c r="E453" s="51" t="str">
        <f aca="false">C_KPI_Benchmark!J453</f>
        <v>Uses Zion shared services instead of re-implementing them</v>
      </c>
      <c r="F453" s="52" t="str">
        <f aca="false">C_KPI_Benchmark!K453</f>
        <v>Yes/No</v>
      </c>
      <c r="G453" s="51" t="str">
        <f aca="false">C_KPI_Benchmark!L453</f>
        <v>Higher is better</v>
      </c>
      <c r="H453" s="60" t="n">
        <f aca="false">C_KPI_Benchmark!N453</f>
        <v>1</v>
      </c>
      <c r="I453" s="56" t="n">
        <f aca="false">IF(C_KPI_Benchmark!O453&lt;&gt;"",C_KPI_Benchmark!O453,IF(G453="Higher is better",H453*(1-A_Scoring_Model!$C$16),H453*(1+A_Scoring_Model!$C$16)))</f>
        <v>0.8</v>
      </c>
      <c r="J453" s="61"/>
      <c r="K453" s="61"/>
      <c r="L453" s="61"/>
      <c r="M453" s="61"/>
      <c r="N453" s="56" t="str">
        <f aca="false">IF(J453="","",IF($H453=$I453,IF(OR(AND($G453="Higher is better",J453&gt;=$H453),AND($G453="Lower is better",J453&lt;=$H453)),A_Scoring_Model!$C$14,0),IF($G453="Higher is better",IF(J453&gt;=$H453,A_Scoring_Model!$C$14,IF(J453&lt;$I453,0,A_Scoring_Model!$C$15+(A_Scoring_Model!$C$14-A_Scoring_Model!$C$15)*(J453-$I453)/($H453-$I453))),IF(J453&lt;=$H453,A_Scoring_Model!$C$14,IF(J453&gt;$I453,0,A_Scoring_Model!$C$15+(A_Scoring_Model!$C$14-A_Scoring_Model!$C$15)*($I453-J453)/($I453-$H453))))))</f>
        <v/>
      </c>
      <c r="O453" s="56" t="str">
        <f aca="false">IF(K453="","",IF($H453=$I453,IF(OR(AND($G453="Higher is better",K453&gt;=$H453),AND($G453="Lower is better",K453&lt;=$H453)),A_Scoring_Model!$C$14,0),IF($G453="Higher is better",IF(K453&gt;=$H453,A_Scoring_Model!$C$14,IF(K453&lt;$I453,0,A_Scoring_Model!$C$15+(A_Scoring_Model!$C$14-A_Scoring_Model!$C$15)*(K453-$I453)/($H453-$I453))),IF(K453&lt;=$H453,A_Scoring_Model!$C$14,IF(K453&gt;$I453,0,A_Scoring_Model!$C$15+(A_Scoring_Model!$C$14-A_Scoring_Model!$C$15)*($I453-K453)/($I453-$H453))))))</f>
        <v/>
      </c>
      <c r="P453" s="56" t="str">
        <f aca="false">IF(L453="","",IF($H453=$I453,IF(OR(AND($G453="Higher is better",L453&gt;=$H453),AND($G453="Lower is better",L453&lt;=$H453)),A_Scoring_Model!$C$14,0),IF($G453="Higher is better",IF(L453&gt;=$H453,A_Scoring_Model!$C$14,IF(L453&lt;$I453,0,A_Scoring_Model!$C$15+(A_Scoring_Model!$C$14-A_Scoring_Model!$C$15)*(L453-$I453)/($H453-$I453))),IF(L453&lt;=$H453,A_Scoring_Model!$C$14,IF(L453&gt;$I453,0,A_Scoring_Model!$C$15+(A_Scoring_Model!$C$14-A_Scoring_Model!$C$15)*($I453-L453)/($I453-$H453))))))</f>
        <v/>
      </c>
      <c r="Q453" s="56" t="str">
        <f aca="false">IF(M453="","",IF($H453=$I453,IF(OR(AND($G453="Higher is better",M453&gt;=$H453),AND($G453="Lower is better",M453&lt;=$H453)),A_Scoring_Model!$C$14,0),IF($G453="Higher is better",IF(M453&gt;=$H453,A_Scoring_Model!$C$14,IF(M453&lt;$I453,0,A_Scoring_Model!$C$15+(A_Scoring_Model!$C$14-A_Scoring_Model!$C$15)*(M453-$I453)/($H453-$I453))),IF(M453&lt;=$H453,A_Scoring_Model!$C$14,IF(M453&gt;$I453,0,A_Scoring_Model!$C$15+(A_Scoring_Model!$C$14-A_Scoring_Model!$C$15)*($I453-M453)/($I453-$H453))))))</f>
        <v/>
      </c>
    </row>
    <row r="454" customFormat="false" ht="15" hidden="false" customHeight="false" outlineLevel="0" collapsed="false">
      <c r="A454" s="51" t="str">
        <f aca="false">C_KPI_Benchmark!A454</f>
        <v>9.a-D3-07</v>
      </c>
      <c r="B454" s="52" t="str">
        <f aca="false">C_KPI_Benchmark!D454</f>
        <v>9.a</v>
      </c>
      <c r="C454" s="51" t="str">
        <f aca="false">C_KPI_Benchmark!E454</f>
        <v>Release Gate Validator Agent</v>
      </c>
      <c r="D454" s="52" t="str">
        <f aca="false">C_KPI_Benchmark!F454</f>
        <v>D3</v>
      </c>
      <c r="E454" s="51" t="str">
        <f aca="false">C_KPI_Benchmark!J454</f>
        <v>Validation time per RC</v>
      </c>
      <c r="F454" s="52" t="str">
        <f aca="false">C_KPI_Benchmark!K454</f>
        <v>min</v>
      </c>
      <c r="G454" s="51" t="str">
        <f aca="false">C_KPI_Benchmark!L454</f>
        <v>Lower is better</v>
      </c>
      <c r="H454" s="62" t="n">
        <f aca="false">C_KPI_Benchmark!N454</f>
        <v>5</v>
      </c>
      <c r="I454" s="63" t="n">
        <f aca="false">IF(C_KPI_Benchmark!O454&lt;&gt;"",C_KPI_Benchmark!O454,IF(G454="Higher is better",H454*(1-A_Scoring_Model!$C$16),H454*(1+A_Scoring_Model!$C$16)))</f>
        <v>6</v>
      </c>
      <c r="J454" s="64"/>
      <c r="K454" s="64"/>
      <c r="L454" s="64"/>
      <c r="M454" s="64"/>
      <c r="N454" s="56" t="str">
        <f aca="false">IF(J454="","",IF($H454=$I454,IF(OR(AND($G454="Higher is better",J454&gt;=$H454),AND($G454="Lower is better",J454&lt;=$H454)),A_Scoring_Model!$C$14,0),IF($G454="Higher is better",IF(J454&gt;=$H454,A_Scoring_Model!$C$14,IF(J454&lt;$I454,0,A_Scoring_Model!$C$15+(A_Scoring_Model!$C$14-A_Scoring_Model!$C$15)*(J454-$I454)/($H454-$I454))),IF(J454&lt;=$H454,A_Scoring_Model!$C$14,IF(J454&gt;$I454,0,A_Scoring_Model!$C$15+(A_Scoring_Model!$C$14-A_Scoring_Model!$C$15)*($I454-J454)/($I454-$H454))))))</f>
        <v/>
      </c>
      <c r="O454" s="56" t="str">
        <f aca="false">IF(K454="","",IF($H454=$I454,IF(OR(AND($G454="Higher is better",K454&gt;=$H454),AND($G454="Lower is better",K454&lt;=$H454)),A_Scoring_Model!$C$14,0),IF($G454="Higher is better",IF(K454&gt;=$H454,A_Scoring_Model!$C$14,IF(K454&lt;$I454,0,A_Scoring_Model!$C$15+(A_Scoring_Model!$C$14-A_Scoring_Model!$C$15)*(K454-$I454)/($H454-$I454))),IF(K454&lt;=$H454,A_Scoring_Model!$C$14,IF(K454&gt;$I454,0,A_Scoring_Model!$C$15+(A_Scoring_Model!$C$14-A_Scoring_Model!$C$15)*($I454-K454)/($I454-$H454))))))</f>
        <v/>
      </c>
      <c r="P454" s="56" t="str">
        <f aca="false">IF(L454="","",IF($H454=$I454,IF(OR(AND($G454="Higher is better",L454&gt;=$H454),AND($G454="Lower is better",L454&lt;=$H454)),A_Scoring_Model!$C$14,0),IF($G454="Higher is better",IF(L454&gt;=$H454,A_Scoring_Model!$C$14,IF(L454&lt;$I454,0,A_Scoring_Model!$C$15+(A_Scoring_Model!$C$14-A_Scoring_Model!$C$15)*(L454-$I454)/($H454-$I454))),IF(L454&lt;=$H454,A_Scoring_Model!$C$14,IF(L454&gt;$I454,0,A_Scoring_Model!$C$15+(A_Scoring_Model!$C$14-A_Scoring_Model!$C$15)*($I454-L454)/($I454-$H454))))))</f>
        <v/>
      </c>
      <c r="Q454" s="56" t="str">
        <f aca="false">IF(M454="","",IF($H454=$I454,IF(OR(AND($G454="Higher is better",M454&gt;=$H454),AND($G454="Lower is better",M454&lt;=$H454)),A_Scoring_Model!$C$14,0),IF($G454="Higher is better",IF(M454&gt;=$H454,A_Scoring_Model!$C$14,IF(M454&lt;$I454,0,A_Scoring_Model!$C$15+(A_Scoring_Model!$C$14-A_Scoring_Model!$C$15)*(M454-$I454)/($H454-$I454))),IF(M454&lt;=$H454,A_Scoring_Model!$C$14,IF(M454&gt;$I454,0,A_Scoring_Model!$C$15+(A_Scoring_Model!$C$14-A_Scoring_Model!$C$15)*($I454-M454)/($I454-$H454))))))</f>
        <v/>
      </c>
    </row>
    <row r="455" customFormat="false" ht="15" hidden="false" customHeight="false" outlineLevel="0" collapsed="false">
      <c r="A455" s="51" t="str">
        <f aca="false">C_KPI_Benchmark!A455</f>
        <v>9.a-D3-08</v>
      </c>
      <c r="B455" s="52" t="str">
        <f aca="false">C_KPI_Benchmark!D455</f>
        <v>9.a</v>
      </c>
      <c r="C455" s="51" t="str">
        <f aca="false">C_KPI_Benchmark!E455</f>
        <v>Release Gate Validator Agent</v>
      </c>
      <c r="D455" s="52" t="str">
        <f aca="false">C_KPI_Benchmark!F455</f>
        <v>D3</v>
      </c>
      <c r="E455" s="51" t="str">
        <f aca="false">C_KPI_Benchmark!J455</f>
        <v>Latency degradation at 10× load</v>
      </c>
      <c r="F455" s="52" t="str">
        <f aca="false">C_KPI_Benchmark!K455</f>
        <v>%</v>
      </c>
      <c r="G455" s="51" t="str">
        <f aca="false">C_KPI_Benchmark!L455</f>
        <v>Lower is better</v>
      </c>
      <c r="H455" s="53" t="n">
        <f aca="false">C_KPI_Benchmark!N455</f>
        <v>0.2</v>
      </c>
      <c r="I455" s="54" t="n">
        <f aca="false">IF(C_KPI_Benchmark!O455&lt;&gt;"",C_KPI_Benchmark!O455,IF(G455="Higher is better",H455*(1-A_Scoring_Model!$C$16),H455*(1+A_Scoring_Model!$C$16)))</f>
        <v>0.4</v>
      </c>
      <c r="J455" s="55"/>
      <c r="K455" s="55"/>
      <c r="L455" s="55"/>
      <c r="M455" s="55"/>
      <c r="N455" s="56" t="str">
        <f aca="false">IF(J455="","",IF($H455=$I455,IF(OR(AND($G455="Higher is better",J455&gt;=$H455),AND($G455="Lower is better",J455&lt;=$H455)),A_Scoring_Model!$C$14,0),IF($G455="Higher is better",IF(J455&gt;=$H455,A_Scoring_Model!$C$14,IF(J455&lt;$I455,0,A_Scoring_Model!$C$15+(A_Scoring_Model!$C$14-A_Scoring_Model!$C$15)*(J455-$I455)/($H455-$I455))),IF(J455&lt;=$H455,A_Scoring_Model!$C$14,IF(J455&gt;$I455,0,A_Scoring_Model!$C$15+(A_Scoring_Model!$C$14-A_Scoring_Model!$C$15)*($I455-J455)/($I455-$H455))))))</f>
        <v/>
      </c>
      <c r="O455" s="56" t="str">
        <f aca="false">IF(K455="","",IF($H455=$I455,IF(OR(AND($G455="Higher is better",K455&gt;=$H455),AND($G455="Lower is better",K455&lt;=$H455)),A_Scoring_Model!$C$14,0),IF($G455="Higher is better",IF(K455&gt;=$H455,A_Scoring_Model!$C$14,IF(K455&lt;$I455,0,A_Scoring_Model!$C$15+(A_Scoring_Model!$C$14-A_Scoring_Model!$C$15)*(K455-$I455)/($H455-$I455))),IF(K455&lt;=$H455,A_Scoring_Model!$C$14,IF(K455&gt;$I455,0,A_Scoring_Model!$C$15+(A_Scoring_Model!$C$14-A_Scoring_Model!$C$15)*($I455-K455)/($I455-$H455))))))</f>
        <v/>
      </c>
      <c r="P455" s="56" t="str">
        <f aca="false">IF(L455="","",IF($H455=$I455,IF(OR(AND($G455="Higher is better",L455&gt;=$H455),AND($G455="Lower is better",L455&lt;=$H455)),A_Scoring_Model!$C$14,0),IF($G455="Higher is better",IF(L455&gt;=$H455,A_Scoring_Model!$C$14,IF(L455&lt;$I455,0,A_Scoring_Model!$C$15+(A_Scoring_Model!$C$14-A_Scoring_Model!$C$15)*(L455-$I455)/($H455-$I455))),IF(L455&lt;=$H455,A_Scoring_Model!$C$14,IF(L455&gt;$I455,0,A_Scoring_Model!$C$15+(A_Scoring_Model!$C$14-A_Scoring_Model!$C$15)*($I455-L455)/($I455-$H455))))))</f>
        <v/>
      </c>
      <c r="Q455" s="56" t="str">
        <f aca="false">IF(M455="","",IF($H455=$I455,IF(OR(AND($G455="Higher is better",M455&gt;=$H455),AND($G455="Lower is better",M455&lt;=$H455)),A_Scoring_Model!$C$14,0),IF($G455="Higher is better",IF(M455&gt;=$H455,A_Scoring_Model!$C$14,IF(M455&lt;$I455,0,A_Scoring_Model!$C$15+(A_Scoring_Model!$C$14-A_Scoring_Model!$C$15)*(M455-$I455)/($H455-$I455))),IF(M455&lt;=$H455,A_Scoring_Model!$C$14,IF(M455&gt;$I455,0,A_Scoring_Model!$C$15+(A_Scoring_Model!$C$14-A_Scoring_Model!$C$15)*($I455-M455)/($I455-$H455))))))</f>
        <v/>
      </c>
    </row>
    <row r="456" customFormat="false" ht="15" hidden="false" customHeight="false" outlineLevel="0" collapsed="false">
      <c r="A456" s="51" t="str">
        <f aca="false">C_KPI_Benchmark!A456</f>
        <v>9.a-D4-09</v>
      </c>
      <c r="B456" s="52" t="str">
        <f aca="false">C_KPI_Benchmark!D456</f>
        <v>9.a</v>
      </c>
      <c r="C456" s="51" t="str">
        <f aca="false">C_KPI_Benchmark!E456</f>
        <v>Release Gate Validator Agent</v>
      </c>
      <c r="D456" s="52" t="str">
        <f aca="false">C_KPI_Benchmark!F456</f>
        <v>D4</v>
      </c>
      <c r="E456" s="51" t="str">
        <f aca="false">C_KPI_Benchmark!J456</f>
        <v>Final Go made by a human</v>
      </c>
      <c r="F456" s="52" t="str">
        <f aca="false">C_KPI_Benchmark!K456</f>
        <v>%</v>
      </c>
      <c r="G456" s="51" t="str">
        <f aca="false">C_KPI_Benchmark!L456</f>
        <v>Higher is better</v>
      </c>
      <c r="H456" s="53" t="n">
        <f aca="false">C_KPI_Benchmark!N456</f>
        <v>1</v>
      </c>
      <c r="I456" s="54" t="n">
        <f aca="false">IF(C_KPI_Benchmark!O456&lt;&gt;"",C_KPI_Benchmark!O456,IF(G456="Higher is better",H456*(1-A_Scoring_Model!$C$16),H456*(1+A_Scoring_Model!$C$16)))</f>
        <v>0.8</v>
      </c>
      <c r="J456" s="55"/>
      <c r="K456" s="55"/>
      <c r="L456" s="55"/>
      <c r="M456" s="55"/>
      <c r="N456" s="56" t="str">
        <f aca="false">IF(J456="","",IF($H456=$I456,IF(OR(AND($G456="Higher is better",J456&gt;=$H456),AND($G456="Lower is better",J456&lt;=$H456)),A_Scoring_Model!$C$14,0),IF($G456="Higher is better",IF(J456&gt;=$H456,A_Scoring_Model!$C$14,IF(J456&lt;$I456,0,A_Scoring_Model!$C$15+(A_Scoring_Model!$C$14-A_Scoring_Model!$C$15)*(J456-$I456)/($H456-$I456))),IF(J456&lt;=$H456,A_Scoring_Model!$C$14,IF(J456&gt;$I456,0,A_Scoring_Model!$C$15+(A_Scoring_Model!$C$14-A_Scoring_Model!$C$15)*($I456-J456)/($I456-$H456))))))</f>
        <v/>
      </c>
      <c r="O456" s="56" t="str">
        <f aca="false">IF(K456="","",IF($H456=$I456,IF(OR(AND($G456="Higher is better",K456&gt;=$H456),AND($G456="Lower is better",K456&lt;=$H456)),A_Scoring_Model!$C$14,0),IF($G456="Higher is better",IF(K456&gt;=$H456,A_Scoring_Model!$C$14,IF(K456&lt;$I456,0,A_Scoring_Model!$C$15+(A_Scoring_Model!$C$14-A_Scoring_Model!$C$15)*(K456-$I456)/($H456-$I456))),IF(K456&lt;=$H456,A_Scoring_Model!$C$14,IF(K456&gt;$I456,0,A_Scoring_Model!$C$15+(A_Scoring_Model!$C$14-A_Scoring_Model!$C$15)*($I456-K456)/($I456-$H456))))))</f>
        <v/>
      </c>
      <c r="P456" s="56" t="str">
        <f aca="false">IF(L456="","",IF($H456=$I456,IF(OR(AND($G456="Higher is better",L456&gt;=$H456),AND($G456="Lower is better",L456&lt;=$H456)),A_Scoring_Model!$C$14,0),IF($G456="Higher is better",IF(L456&gt;=$H456,A_Scoring_Model!$C$14,IF(L456&lt;$I456,0,A_Scoring_Model!$C$15+(A_Scoring_Model!$C$14-A_Scoring_Model!$C$15)*(L456-$I456)/($H456-$I456))),IF(L456&lt;=$H456,A_Scoring_Model!$C$14,IF(L456&gt;$I456,0,A_Scoring_Model!$C$15+(A_Scoring_Model!$C$14-A_Scoring_Model!$C$15)*($I456-L456)/($I456-$H456))))))</f>
        <v/>
      </c>
      <c r="Q456" s="56" t="str">
        <f aca="false">IF(M456="","",IF($H456=$I456,IF(OR(AND($G456="Higher is better",M456&gt;=$H456),AND($G456="Lower is better",M456&lt;=$H456)),A_Scoring_Model!$C$14,0),IF($G456="Higher is better",IF(M456&gt;=$H456,A_Scoring_Model!$C$14,IF(M456&lt;$I456,0,A_Scoring_Model!$C$15+(A_Scoring_Model!$C$14-A_Scoring_Model!$C$15)*(M456-$I456)/($H456-$I456))),IF(M456&lt;=$H456,A_Scoring_Model!$C$14,IF(M456&gt;$I456,0,A_Scoring_Model!$C$15+(A_Scoring_Model!$C$14-A_Scoring_Model!$C$15)*($I456-M456)/($I456-$H456))))))</f>
        <v/>
      </c>
    </row>
    <row r="457" customFormat="false" ht="15" hidden="false" customHeight="false" outlineLevel="0" collapsed="false">
      <c r="A457" s="51" t="str">
        <f aca="false">C_KPI_Benchmark!A457</f>
        <v>9.a-D4-10</v>
      </c>
      <c r="B457" s="52" t="str">
        <f aca="false">C_KPI_Benchmark!D457</f>
        <v>9.a</v>
      </c>
      <c r="C457" s="51" t="str">
        <f aca="false">C_KPI_Benchmark!E457</f>
        <v>Release Gate Validator Agent</v>
      </c>
      <c r="D457" s="52" t="str">
        <f aca="false">C_KPI_Benchmark!F457</f>
        <v>D4</v>
      </c>
      <c r="E457" s="51" t="str">
        <f aca="false">C_KPI_Benchmark!J457</f>
        <v>Service availability</v>
      </c>
      <c r="F457" s="52" t="str">
        <f aca="false">C_KPI_Benchmark!K457</f>
        <v>%</v>
      </c>
      <c r="G457" s="51" t="str">
        <f aca="false">C_KPI_Benchmark!L457</f>
        <v>Higher is better</v>
      </c>
      <c r="H457" s="53" t="n">
        <f aca="false">C_KPI_Benchmark!N457</f>
        <v>0.995</v>
      </c>
      <c r="I457" s="54" t="n">
        <f aca="false">IF(C_KPI_Benchmark!O457&lt;&gt;"",C_KPI_Benchmark!O457,IF(G457="Higher is better",H457*(1-A_Scoring_Model!$C$16),H457*(1+A_Scoring_Model!$C$16)))</f>
        <v>0.99</v>
      </c>
      <c r="J457" s="55"/>
      <c r="K457" s="55"/>
      <c r="L457" s="55"/>
      <c r="M457" s="55"/>
      <c r="N457" s="56" t="str">
        <f aca="false">IF(J457="","",IF($H457=$I457,IF(OR(AND($G457="Higher is better",J457&gt;=$H457),AND($G457="Lower is better",J457&lt;=$H457)),A_Scoring_Model!$C$14,0),IF($G457="Higher is better",IF(J457&gt;=$H457,A_Scoring_Model!$C$14,IF(J457&lt;$I457,0,A_Scoring_Model!$C$15+(A_Scoring_Model!$C$14-A_Scoring_Model!$C$15)*(J457-$I457)/($H457-$I457))),IF(J457&lt;=$H457,A_Scoring_Model!$C$14,IF(J457&gt;$I457,0,A_Scoring_Model!$C$15+(A_Scoring_Model!$C$14-A_Scoring_Model!$C$15)*($I457-J457)/($I457-$H457))))))</f>
        <v/>
      </c>
      <c r="O457" s="56" t="str">
        <f aca="false">IF(K457="","",IF($H457=$I457,IF(OR(AND($G457="Higher is better",K457&gt;=$H457),AND($G457="Lower is better",K457&lt;=$H457)),A_Scoring_Model!$C$14,0),IF($G457="Higher is better",IF(K457&gt;=$H457,A_Scoring_Model!$C$14,IF(K457&lt;$I457,0,A_Scoring_Model!$C$15+(A_Scoring_Model!$C$14-A_Scoring_Model!$C$15)*(K457-$I457)/($H457-$I457))),IF(K457&lt;=$H457,A_Scoring_Model!$C$14,IF(K457&gt;$I457,0,A_Scoring_Model!$C$15+(A_Scoring_Model!$C$14-A_Scoring_Model!$C$15)*($I457-K457)/($I457-$H457))))))</f>
        <v/>
      </c>
      <c r="P457" s="56" t="str">
        <f aca="false">IF(L457="","",IF($H457=$I457,IF(OR(AND($G457="Higher is better",L457&gt;=$H457),AND($G457="Lower is better",L457&lt;=$H457)),A_Scoring_Model!$C$14,0),IF($G457="Higher is better",IF(L457&gt;=$H457,A_Scoring_Model!$C$14,IF(L457&lt;$I457,0,A_Scoring_Model!$C$15+(A_Scoring_Model!$C$14-A_Scoring_Model!$C$15)*(L457-$I457)/($H457-$I457))),IF(L457&lt;=$H457,A_Scoring_Model!$C$14,IF(L457&gt;$I457,0,A_Scoring_Model!$C$15+(A_Scoring_Model!$C$14-A_Scoring_Model!$C$15)*($I457-L457)/($I457-$H457))))))</f>
        <v/>
      </c>
      <c r="Q457" s="56" t="str">
        <f aca="false">IF(M457="","",IF($H457=$I457,IF(OR(AND($G457="Higher is better",M457&gt;=$H457),AND($G457="Lower is better",M457&lt;=$H457)),A_Scoring_Model!$C$14,0),IF($G457="Higher is better",IF(M457&gt;=$H457,A_Scoring_Model!$C$14,IF(M457&lt;$I457,0,A_Scoring_Model!$C$15+(A_Scoring_Model!$C$14-A_Scoring_Model!$C$15)*(M457-$I457)/($H457-$I457))),IF(M457&lt;=$H457,A_Scoring_Model!$C$14,IF(M457&gt;$I457,0,A_Scoring_Model!$C$15+(A_Scoring_Model!$C$14-A_Scoring_Model!$C$15)*($I457-M457)/($I457-$H457))))))</f>
        <v/>
      </c>
    </row>
    <row r="458" customFormat="false" ht="15" hidden="false" customHeight="false" outlineLevel="0" collapsed="false">
      <c r="A458" s="51" t="str">
        <f aca="false">C_KPI_Benchmark!A458</f>
        <v>9.a-D5-11</v>
      </c>
      <c r="B458" s="52" t="str">
        <f aca="false">C_KPI_Benchmark!D458</f>
        <v>9.a</v>
      </c>
      <c r="C458" s="51" t="str">
        <f aca="false">C_KPI_Benchmark!E458</f>
        <v>Release Gate Validator Agent</v>
      </c>
      <c r="D458" s="52" t="str">
        <f aca="false">C_KPI_Benchmark!F458</f>
        <v>D5</v>
      </c>
      <c r="E458" s="51" t="str">
        <f aca="false">C_KPI_Benchmark!J458</f>
        <v>Release readiness review time reduction</v>
      </c>
      <c r="F458" s="52" t="str">
        <f aca="false">C_KPI_Benchmark!K458</f>
        <v>%</v>
      </c>
      <c r="G458" s="51" t="str">
        <f aca="false">C_KPI_Benchmark!L458</f>
        <v>Higher is better</v>
      </c>
      <c r="H458" s="53" t="n">
        <f aca="false">C_KPI_Benchmark!N458</f>
        <v>0.5</v>
      </c>
      <c r="I458" s="54" t="n">
        <f aca="false">IF(C_KPI_Benchmark!O458&lt;&gt;"",C_KPI_Benchmark!O458,IF(G458="Higher is better",H458*(1-A_Scoring_Model!$C$16),H458*(1+A_Scoring_Model!$C$16)))</f>
        <v>0.4</v>
      </c>
      <c r="J458" s="55"/>
      <c r="K458" s="55"/>
      <c r="L458" s="55"/>
      <c r="M458" s="55"/>
      <c r="N458" s="56" t="str">
        <f aca="false">IF(J458="","",IF($H458=$I458,IF(OR(AND($G458="Higher is better",J458&gt;=$H458),AND($G458="Lower is better",J458&lt;=$H458)),A_Scoring_Model!$C$14,0),IF($G458="Higher is better",IF(J458&gt;=$H458,A_Scoring_Model!$C$14,IF(J458&lt;$I458,0,A_Scoring_Model!$C$15+(A_Scoring_Model!$C$14-A_Scoring_Model!$C$15)*(J458-$I458)/($H458-$I458))),IF(J458&lt;=$H458,A_Scoring_Model!$C$14,IF(J458&gt;$I458,0,A_Scoring_Model!$C$15+(A_Scoring_Model!$C$14-A_Scoring_Model!$C$15)*($I458-J458)/($I458-$H458))))))</f>
        <v/>
      </c>
      <c r="O458" s="56" t="str">
        <f aca="false">IF(K458="","",IF($H458=$I458,IF(OR(AND($G458="Higher is better",K458&gt;=$H458),AND($G458="Lower is better",K458&lt;=$H458)),A_Scoring_Model!$C$14,0),IF($G458="Higher is better",IF(K458&gt;=$H458,A_Scoring_Model!$C$14,IF(K458&lt;$I458,0,A_Scoring_Model!$C$15+(A_Scoring_Model!$C$14-A_Scoring_Model!$C$15)*(K458-$I458)/($H458-$I458))),IF(K458&lt;=$H458,A_Scoring_Model!$C$14,IF(K458&gt;$I458,0,A_Scoring_Model!$C$15+(A_Scoring_Model!$C$14-A_Scoring_Model!$C$15)*($I458-K458)/($I458-$H458))))))</f>
        <v/>
      </c>
      <c r="P458" s="56" t="str">
        <f aca="false">IF(L458="","",IF($H458=$I458,IF(OR(AND($G458="Higher is better",L458&gt;=$H458),AND($G458="Lower is better",L458&lt;=$H458)),A_Scoring_Model!$C$14,0),IF($G458="Higher is better",IF(L458&gt;=$H458,A_Scoring_Model!$C$14,IF(L458&lt;$I458,0,A_Scoring_Model!$C$15+(A_Scoring_Model!$C$14-A_Scoring_Model!$C$15)*(L458-$I458)/($H458-$I458))),IF(L458&lt;=$H458,A_Scoring_Model!$C$14,IF(L458&gt;$I458,0,A_Scoring_Model!$C$15+(A_Scoring_Model!$C$14-A_Scoring_Model!$C$15)*($I458-L458)/($I458-$H458))))))</f>
        <v/>
      </c>
      <c r="Q458" s="56" t="str">
        <f aca="false">IF(M458="","",IF($H458=$I458,IF(OR(AND($G458="Higher is better",M458&gt;=$H458),AND($G458="Lower is better",M458&lt;=$H458)),A_Scoring_Model!$C$14,0),IF($G458="Higher is better",IF(M458&gt;=$H458,A_Scoring_Model!$C$14,IF(M458&lt;$I458,0,A_Scoring_Model!$C$15+(A_Scoring_Model!$C$14-A_Scoring_Model!$C$15)*(M458-$I458)/($H458-$I458))),IF(M458&lt;=$H458,A_Scoring_Model!$C$14,IF(M458&gt;$I458,0,A_Scoring_Model!$C$15+(A_Scoring_Model!$C$14-A_Scoring_Model!$C$15)*($I458-M458)/($I458-$H458))))))</f>
        <v/>
      </c>
    </row>
    <row r="459" customFormat="false" ht="15" hidden="false" customHeight="false" outlineLevel="0" collapsed="false">
      <c r="A459" s="51" t="str">
        <f aca="false">C_KPI_Benchmark!A459</f>
        <v>9.a-D6-12</v>
      </c>
      <c r="B459" s="52" t="str">
        <f aca="false">C_KPI_Benchmark!D459</f>
        <v>9.a</v>
      </c>
      <c r="C459" s="51" t="str">
        <f aca="false">C_KPI_Benchmark!E459</f>
        <v>Release Gate Validator Agent</v>
      </c>
      <c r="D459" s="52" t="str">
        <f aca="false">C_KPI_Benchmark!F459</f>
        <v>D6</v>
      </c>
      <c r="E459" s="51" t="str">
        <f aca="false">C_KPI_Benchmark!J459</f>
        <v>Solution code test coverage</v>
      </c>
      <c r="F459" s="52" t="str">
        <f aca="false">C_KPI_Benchmark!K459</f>
        <v>%</v>
      </c>
      <c r="G459" s="51" t="str">
        <f aca="false">C_KPI_Benchmark!L459</f>
        <v>Higher is better</v>
      </c>
      <c r="H459" s="53" t="n">
        <f aca="false">C_KPI_Benchmark!N459</f>
        <v>0.8</v>
      </c>
      <c r="I459" s="54" t="n">
        <f aca="false">IF(C_KPI_Benchmark!O459&lt;&gt;"",C_KPI_Benchmark!O459,IF(G459="Higher is better",H459*(1-A_Scoring_Model!$C$16),H459*(1+A_Scoring_Model!$C$16)))</f>
        <v>0.6</v>
      </c>
      <c r="J459" s="55"/>
      <c r="K459" s="55"/>
      <c r="L459" s="55"/>
      <c r="M459" s="55"/>
      <c r="N459" s="56" t="str">
        <f aca="false">IF(J459="","",IF($H459=$I459,IF(OR(AND($G459="Higher is better",J459&gt;=$H459),AND($G459="Lower is better",J459&lt;=$H459)),A_Scoring_Model!$C$14,0),IF($G459="Higher is better",IF(J459&gt;=$H459,A_Scoring_Model!$C$14,IF(J459&lt;$I459,0,A_Scoring_Model!$C$15+(A_Scoring_Model!$C$14-A_Scoring_Model!$C$15)*(J459-$I459)/($H459-$I459))),IF(J459&lt;=$H459,A_Scoring_Model!$C$14,IF(J459&gt;$I459,0,A_Scoring_Model!$C$15+(A_Scoring_Model!$C$14-A_Scoring_Model!$C$15)*($I459-J459)/($I459-$H459))))))</f>
        <v/>
      </c>
      <c r="O459" s="56" t="str">
        <f aca="false">IF(K459="","",IF($H459=$I459,IF(OR(AND($G459="Higher is better",K459&gt;=$H459),AND($G459="Lower is better",K459&lt;=$H459)),A_Scoring_Model!$C$14,0),IF($G459="Higher is better",IF(K459&gt;=$H459,A_Scoring_Model!$C$14,IF(K459&lt;$I459,0,A_Scoring_Model!$C$15+(A_Scoring_Model!$C$14-A_Scoring_Model!$C$15)*(K459-$I459)/($H459-$I459))),IF(K459&lt;=$H459,A_Scoring_Model!$C$14,IF(K459&gt;$I459,0,A_Scoring_Model!$C$15+(A_Scoring_Model!$C$14-A_Scoring_Model!$C$15)*($I459-K459)/($I459-$H459))))))</f>
        <v/>
      </c>
      <c r="P459" s="56" t="str">
        <f aca="false">IF(L459="","",IF($H459=$I459,IF(OR(AND($G459="Higher is better",L459&gt;=$H459),AND($G459="Lower is better",L459&lt;=$H459)),A_Scoring_Model!$C$14,0),IF($G459="Higher is better",IF(L459&gt;=$H459,A_Scoring_Model!$C$14,IF(L459&lt;$I459,0,A_Scoring_Model!$C$15+(A_Scoring_Model!$C$14-A_Scoring_Model!$C$15)*(L459-$I459)/($H459-$I459))),IF(L459&lt;=$H459,A_Scoring_Model!$C$14,IF(L459&gt;$I459,0,A_Scoring_Model!$C$15+(A_Scoring_Model!$C$14-A_Scoring_Model!$C$15)*($I459-L459)/($I459-$H459))))))</f>
        <v/>
      </c>
      <c r="Q459" s="56" t="str">
        <f aca="false">IF(M459="","",IF($H459=$I459,IF(OR(AND($G459="Higher is better",M459&gt;=$H459),AND($G459="Lower is better",M459&lt;=$H459)),A_Scoring_Model!$C$14,0),IF($G459="Higher is better",IF(M459&gt;=$H459,A_Scoring_Model!$C$14,IF(M459&lt;$I459,0,A_Scoring_Model!$C$15+(A_Scoring_Model!$C$14-A_Scoring_Model!$C$15)*(M459-$I459)/($H459-$I459))),IF(M459&lt;=$H459,A_Scoring_Model!$C$14,IF(M459&gt;$I459,0,A_Scoring_Model!$C$15+(A_Scoring_Model!$C$14-A_Scoring_Model!$C$15)*($I459-M459)/($I459-$H459))))))</f>
        <v/>
      </c>
    </row>
    <row r="460" customFormat="false" ht="15" hidden="false" customHeight="false" outlineLevel="0" collapsed="false">
      <c r="A460" s="51" t="str">
        <f aca="false">C_KPI_Benchmark!A460</f>
        <v>9.a-D6-13</v>
      </c>
      <c r="B460" s="52" t="str">
        <f aca="false">C_KPI_Benchmark!D460</f>
        <v>9.a</v>
      </c>
      <c r="C460" s="51" t="str">
        <f aca="false">C_KPI_Benchmark!E460</f>
        <v>Release Gate Validator Agent</v>
      </c>
      <c r="D460" s="52" t="str">
        <f aca="false">C_KPI_Benchmark!F460</f>
        <v>D6</v>
      </c>
      <c r="E460" s="51" t="str">
        <f aca="false">C_KPI_Benchmark!J460</f>
        <v>Review Shield critical findings</v>
      </c>
      <c r="F460" s="52" t="str">
        <f aca="false">C_KPI_Benchmark!K460</f>
        <v>count</v>
      </c>
      <c r="G460" s="51" t="str">
        <f aca="false">C_KPI_Benchmark!L460</f>
        <v>Lower is better</v>
      </c>
      <c r="H460" s="62" t="n">
        <f aca="false">C_KPI_Benchmark!N460</f>
        <v>0</v>
      </c>
      <c r="I460" s="63" t="n">
        <f aca="false">IF(C_KPI_Benchmark!O460&lt;&gt;"",C_KPI_Benchmark!O460,IF(G460="Higher is better",H460*(1-A_Scoring_Model!$C$16),H460*(1+A_Scoring_Model!$C$16)))</f>
        <v>0</v>
      </c>
      <c r="J460" s="64"/>
      <c r="K460" s="64"/>
      <c r="L460" s="64"/>
      <c r="M460" s="64"/>
      <c r="N460" s="56" t="str">
        <f aca="false">IF(J460="","",IF($H460=$I460,IF(OR(AND($G460="Higher is better",J460&gt;=$H460),AND($G460="Lower is better",J460&lt;=$H460)),A_Scoring_Model!$C$14,0),IF($G460="Higher is better",IF(J460&gt;=$H460,A_Scoring_Model!$C$14,IF(J460&lt;$I460,0,A_Scoring_Model!$C$15+(A_Scoring_Model!$C$14-A_Scoring_Model!$C$15)*(J460-$I460)/($H460-$I460))),IF(J460&lt;=$H460,A_Scoring_Model!$C$14,IF(J460&gt;$I460,0,A_Scoring_Model!$C$15+(A_Scoring_Model!$C$14-A_Scoring_Model!$C$15)*($I460-J460)/($I460-$H460))))))</f>
        <v/>
      </c>
      <c r="O460" s="56" t="str">
        <f aca="false">IF(K460="","",IF($H460=$I460,IF(OR(AND($G460="Higher is better",K460&gt;=$H460),AND($G460="Lower is better",K460&lt;=$H460)),A_Scoring_Model!$C$14,0),IF($G460="Higher is better",IF(K460&gt;=$H460,A_Scoring_Model!$C$14,IF(K460&lt;$I460,0,A_Scoring_Model!$C$15+(A_Scoring_Model!$C$14-A_Scoring_Model!$C$15)*(K460-$I460)/($H460-$I460))),IF(K460&lt;=$H460,A_Scoring_Model!$C$14,IF(K460&gt;$I460,0,A_Scoring_Model!$C$15+(A_Scoring_Model!$C$14-A_Scoring_Model!$C$15)*($I460-K460)/($I460-$H460))))))</f>
        <v/>
      </c>
      <c r="P460" s="56" t="str">
        <f aca="false">IF(L460="","",IF($H460=$I460,IF(OR(AND($G460="Higher is better",L460&gt;=$H460),AND($G460="Lower is better",L460&lt;=$H460)),A_Scoring_Model!$C$14,0),IF($G460="Higher is better",IF(L460&gt;=$H460,A_Scoring_Model!$C$14,IF(L460&lt;$I460,0,A_Scoring_Model!$C$15+(A_Scoring_Model!$C$14-A_Scoring_Model!$C$15)*(L460-$I460)/($H460-$I460))),IF(L460&lt;=$H460,A_Scoring_Model!$C$14,IF(L460&gt;$I460,0,A_Scoring_Model!$C$15+(A_Scoring_Model!$C$14-A_Scoring_Model!$C$15)*($I460-L460)/($I460-$H460))))))</f>
        <v/>
      </c>
      <c r="Q460" s="56" t="str">
        <f aca="false">IF(M460="","",IF($H460=$I460,IF(OR(AND($G460="Higher is better",M460&gt;=$H460),AND($G460="Lower is better",M460&lt;=$H460)),A_Scoring_Model!$C$14,0),IF($G460="Higher is better",IF(M460&gt;=$H460,A_Scoring_Model!$C$14,IF(M460&lt;$I460,0,A_Scoring_Model!$C$15+(A_Scoring_Model!$C$14-A_Scoring_Model!$C$15)*(M460-$I460)/($H460-$I460))),IF(M460&lt;=$H460,A_Scoring_Model!$C$14,IF(M460&gt;$I460,0,A_Scoring_Model!$C$15+(A_Scoring_Model!$C$14-A_Scoring_Model!$C$15)*($I460-M460)/($I460-$H460))))))</f>
        <v/>
      </c>
    </row>
    <row r="461" customFormat="false" ht="15" hidden="false" customHeight="false" outlineLevel="0" collapsed="false">
      <c r="A461" s="51" t="str">
        <f aca="false">C_KPI_Benchmark!A461</f>
        <v>9.a-D6-14</v>
      </c>
      <c r="B461" s="52" t="str">
        <f aca="false">C_KPI_Benchmark!D461</f>
        <v>9.a</v>
      </c>
      <c r="C461" s="51" t="str">
        <f aca="false">C_KPI_Benchmark!E461</f>
        <v>Release Gate Validator Agent</v>
      </c>
      <c r="D461" s="52" t="str">
        <f aca="false">C_KPI_Benchmark!F461</f>
        <v>D6</v>
      </c>
      <c r="E461" s="51" t="str">
        <f aca="false">C_KPI_Benchmark!J461</f>
        <v>SAST high findings and exposed secrets</v>
      </c>
      <c r="F461" s="52" t="str">
        <f aca="false">C_KPI_Benchmark!K461</f>
        <v>count</v>
      </c>
      <c r="G461" s="51" t="str">
        <f aca="false">C_KPI_Benchmark!L461</f>
        <v>Lower is better</v>
      </c>
      <c r="H461" s="62" t="n">
        <f aca="false">C_KPI_Benchmark!N461</f>
        <v>0</v>
      </c>
      <c r="I461" s="63" t="n">
        <f aca="false">IF(C_KPI_Benchmark!O461&lt;&gt;"",C_KPI_Benchmark!O461,IF(G461="Higher is better",H461*(1-A_Scoring_Model!$C$16),H461*(1+A_Scoring_Model!$C$16)))</f>
        <v>0</v>
      </c>
      <c r="J461" s="64"/>
      <c r="K461" s="64"/>
      <c r="L461" s="64"/>
      <c r="M461" s="64"/>
      <c r="N461" s="56" t="str">
        <f aca="false">IF(J461="","",IF($H461=$I461,IF(OR(AND($G461="Higher is better",J461&gt;=$H461),AND($G461="Lower is better",J461&lt;=$H461)),A_Scoring_Model!$C$14,0),IF($G461="Higher is better",IF(J461&gt;=$H461,A_Scoring_Model!$C$14,IF(J461&lt;$I461,0,A_Scoring_Model!$C$15+(A_Scoring_Model!$C$14-A_Scoring_Model!$C$15)*(J461-$I461)/($H461-$I461))),IF(J461&lt;=$H461,A_Scoring_Model!$C$14,IF(J461&gt;$I461,0,A_Scoring_Model!$C$15+(A_Scoring_Model!$C$14-A_Scoring_Model!$C$15)*($I461-J461)/($I461-$H461))))))</f>
        <v/>
      </c>
      <c r="O461" s="56" t="str">
        <f aca="false">IF(K461="","",IF($H461=$I461,IF(OR(AND($G461="Higher is better",K461&gt;=$H461),AND($G461="Lower is better",K461&lt;=$H461)),A_Scoring_Model!$C$14,0),IF($G461="Higher is better",IF(K461&gt;=$H461,A_Scoring_Model!$C$14,IF(K461&lt;$I461,0,A_Scoring_Model!$C$15+(A_Scoring_Model!$C$14-A_Scoring_Model!$C$15)*(K461-$I461)/($H461-$I461))),IF(K461&lt;=$H461,A_Scoring_Model!$C$14,IF(K461&gt;$I461,0,A_Scoring_Model!$C$15+(A_Scoring_Model!$C$14-A_Scoring_Model!$C$15)*($I461-K461)/($I461-$H461))))))</f>
        <v/>
      </c>
      <c r="P461" s="56" t="str">
        <f aca="false">IF(L461="","",IF($H461=$I461,IF(OR(AND($G461="Higher is better",L461&gt;=$H461),AND($G461="Lower is better",L461&lt;=$H461)),A_Scoring_Model!$C$14,0),IF($G461="Higher is better",IF(L461&gt;=$H461,A_Scoring_Model!$C$14,IF(L461&lt;$I461,0,A_Scoring_Model!$C$15+(A_Scoring_Model!$C$14-A_Scoring_Model!$C$15)*(L461-$I461)/($H461-$I461))),IF(L461&lt;=$H461,A_Scoring_Model!$C$14,IF(L461&gt;$I461,0,A_Scoring_Model!$C$15+(A_Scoring_Model!$C$14-A_Scoring_Model!$C$15)*($I461-L461)/($I461-$H461))))))</f>
        <v/>
      </c>
      <c r="Q461" s="56" t="str">
        <f aca="false">IF(M461="","",IF($H461=$I461,IF(OR(AND($G461="Higher is better",M461&gt;=$H461),AND($G461="Lower is better",M461&lt;=$H461)),A_Scoring_Model!$C$14,0),IF($G461="Higher is better",IF(M461&gt;=$H461,A_Scoring_Model!$C$14,IF(M461&lt;$I461,0,A_Scoring_Model!$C$15+(A_Scoring_Model!$C$14-A_Scoring_Model!$C$15)*(M461-$I461)/($H461-$I461))),IF(M461&lt;=$H461,A_Scoring_Model!$C$14,IF(M461&gt;$I461,0,A_Scoring_Model!$C$15+(A_Scoring_Model!$C$14-A_Scoring_Model!$C$15)*($I461-M461)/($I461-$H461))))))</f>
        <v/>
      </c>
    </row>
    <row r="462" customFormat="false" ht="23.85" hidden="false" customHeight="false" outlineLevel="0" collapsed="false">
      <c r="A462" s="51" t="str">
        <f aca="false">C_KPI_Benchmark!A462</f>
        <v>9.a-D6-15</v>
      </c>
      <c r="B462" s="52" t="str">
        <f aca="false">C_KPI_Benchmark!D462</f>
        <v>9.a</v>
      </c>
      <c r="C462" s="51" t="str">
        <f aca="false">C_KPI_Benchmark!E462</f>
        <v>Release Gate Validator Agent</v>
      </c>
      <c r="D462" s="52" t="str">
        <f aca="false">C_KPI_Benchmark!F462</f>
        <v>D6</v>
      </c>
      <c r="E462" s="51" t="str">
        <f aca="false">C_KPI_Benchmark!J462</f>
        <v>Documentation pack complete (README, I/O contract, model card, runbook)</v>
      </c>
      <c r="F462" s="52" t="str">
        <f aca="false">C_KPI_Benchmark!K462</f>
        <v>Yes/No</v>
      </c>
      <c r="G462" s="51" t="str">
        <f aca="false">C_KPI_Benchmark!L462</f>
        <v>Higher is better</v>
      </c>
      <c r="H462" s="60" t="n">
        <f aca="false">C_KPI_Benchmark!N462</f>
        <v>1</v>
      </c>
      <c r="I462" s="56" t="n">
        <f aca="false">IF(C_KPI_Benchmark!O462&lt;&gt;"",C_KPI_Benchmark!O462,IF(G462="Higher is better",H462*(1-A_Scoring_Model!$C$16),H462*(1+A_Scoring_Model!$C$16)))</f>
        <v>0.8</v>
      </c>
      <c r="J462" s="61"/>
      <c r="K462" s="61"/>
      <c r="L462" s="61"/>
      <c r="M462" s="61"/>
      <c r="N462" s="56" t="str">
        <f aca="false">IF(J462="","",IF($H462=$I462,IF(OR(AND($G462="Higher is better",J462&gt;=$H462),AND($G462="Lower is better",J462&lt;=$H462)),A_Scoring_Model!$C$14,0),IF($G462="Higher is better",IF(J462&gt;=$H462,A_Scoring_Model!$C$14,IF(J462&lt;$I462,0,A_Scoring_Model!$C$15+(A_Scoring_Model!$C$14-A_Scoring_Model!$C$15)*(J462-$I462)/($H462-$I462))),IF(J462&lt;=$H462,A_Scoring_Model!$C$14,IF(J462&gt;$I462,0,A_Scoring_Model!$C$15+(A_Scoring_Model!$C$14-A_Scoring_Model!$C$15)*($I462-J462)/($I462-$H462))))))</f>
        <v/>
      </c>
      <c r="O462" s="56" t="str">
        <f aca="false">IF(K462="","",IF($H462=$I462,IF(OR(AND($G462="Higher is better",K462&gt;=$H462),AND($G462="Lower is better",K462&lt;=$H462)),A_Scoring_Model!$C$14,0),IF($G462="Higher is better",IF(K462&gt;=$H462,A_Scoring_Model!$C$14,IF(K462&lt;$I462,0,A_Scoring_Model!$C$15+(A_Scoring_Model!$C$14-A_Scoring_Model!$C$15)*(K462-$I462)/($H462-$I462))),IF(K462&lt;=$H462,A_Scoring_Model!$C$14,IF(K462&gt;$I462,0,A_Scoring_Model!$C$15+(A_Scoring_Model!$C$14-A_Scoring_Model!$C$15)*($I462-K462)/($I462-$H462))))))</f>
        <v/>
      </c>
      <c r="P462" s="56" t="str">
        <f aca="false">IF(L462="","",IF($H462=$I462,IF(OR(AND($G462="Higher is better",L462&gt;=$H462),AND($G462="Lower is better",L462&lt;=$H462)),A_Scoring_Model!$C$14,0),IF($G462="Higher is better",IF(L462&gt;=$H462,A_Scoring_Model!$C$14,IF(L462&lt;$I462,0,A_Scoring_Model!$C$15+(A_Scoring_Model!$C$14-A_Scoring_Model!$C$15)*(L462-$I462)/($H462-$I462))),IF(L462&lt;=$H462,A_Scoring_Model!$C$14,IF(L462&gt;$I462,0,A_Scoring_Model!$C$15+(A_Scoring_Model!$C$14-A_Scoring_Model!$C$15)*($I462-L462)/($I462-$H462))))))</f>
        <v/>
      </c>
      <c r="Q462" s="56" t="str">
        <f aca="false">IF(M462="","",IF($H462=$I462,IF(OR(AND($G462="Higher is better",M462&gt;=$H462),AND($G462="Lower is better",M462&lt;=$H462)),A_Scoring_Model!$C$14,0),IF($G462="Higher is better",IF(M462&gt;=$H462,A_Scoring_Model!$C$14,IF(M462&lt;$I462,0,A_Scoring_Model!$C$15+(A_Scoring_Model!$C$14-A_Scoring_Model!$C$15)*(M462-$I462)/($H462-$I462))),IF(M462&lt;=$H462,A_Scoring_Model!$C$14,IF(M462&gt;$I462,0,A_Scoring_Model!$C$15+(A_Scoring_Model!$C$14-A_Scoring_Model!$C$15)*($I462-M462)/($I462-$H462))))))</f>
        <v/>
      </c>
    </row>
    <row r="463" customFormat="false" ht="15" hidden="false" customHeight="false" outlineLevel="0" collapsed="false">
      <c r="A463" s="51" t="str">
        <f aca="false">C_KPI_Benchmark!A463</f>
        <v>9.a-D6-16</v>
      </c>
      <c r="B463" s="52" t="str">
        <f aca="false">C_KPI_Benchmark!D463</f>
        <v>9.a</v>
      </c>
      <c r="C463" s="51" t="str">
        <f aca="false">C_KPI_Benchmark!E463</f>
        <v>Release Gate Validator Agent</v>
      </c>
      <c r="D463" s="52" t="str">
        <f aca="false">C_KPI_Benchmark!F463</f>
        <v>D6</v>
      </c>
      <c r="E463" s="51" t="str">
        <f aca="false">C_KPI_Benchmark!J463</f>
        <v>Named owner and support SLA</v>
      </c>
      <c r="F463" s="52" t="str">
        <f aca="false">C_KPI_Benchmark!K463</f>
        <v>Yes/No</v>
      </c>
      <c r="G463" s="51" t="str">
        <f aca="false">C_KPI_Benchmark!L463</f>
        <v>Higher is better</v>
      </c>
      <c r="H463" s="60" t="n">
        <f aca="false">C_KPI_Benchmark!N463</f>
        <v>1</v>
      </c>
      <c r="I463" s="56" t="n">
        <f aca="false">IF(C_KPI_Benchmark!O463&lt;&gt;"",C_KPI_Benchmark!O463,IF(G463="Higher is better",H463*(1-A_Scoring_Model!$C$16),H463*(1+A_Scoring_Model!$C$16)))</f>
        <v>0.8</v>
      </c>
      <c r="J463" s="61"/>
      <c r="K463" s="61"/>
      <c r="L463" s="61"/>
      <c r="M463" s="61"/>
      <c r="N463" s="56" t="str">
        <f aca="false">IF(J463="","",IF($H463=$I463,IF(OR(AND($G463="Higher is better",J463&gt;=$H463),AND($G463="Lower is better",J463&lt;=$H463)),A_Scoring_Model!$C$14,0),IF($G463="Higher is better",IF(J463&gt;=$H463,A_Scoring_Model!$C$14,IF(J463&lt;$I463,0,A_Scoring_Model!$C$15+(A_Scoring_Model!$C$14-A_Scoring_Model!$C$15)*(J463-$I463)/($H463-$I463))),IF(J463&lt;=$H463,A_Scoring_Model!$C$14,IF(J463&gt;$I463,0,A_Scoring_Model!$C$15+(A_Scoring_Model!$C$14-A_Scoring_Model!$C$15)*($I463-J463)/($I463-$H463))))))</f>
        <v/>
      </c>
      <c r="O463" s="56" t="str">
        <f aca="false">IF(K463="","",IF($H463=$I463,IF(OR(AND($G463="Higher is better",K463&gt;=$H463),AND($G463="Lower is better",K463&lt;=$H463)),A_Scoring_Model!$C$14,0),IF($G463="Higher is better",IF(K463&gt;=$H463,A_Scoring_Model!$C$14,IF(K463&lt;$I463,0,A_Scoring_Model!$C$15+(A_Scoring_Model!$C$14-A_Scoring_Model!$C$15)*(K463-$I463)/($H463-$I463))),IF(K463&lt;=$H463,A_Scoring_Model!$C$14,IF(K463&gt;$I463,0,A_Scoring_Model!$C$15+(A_Scoring_Model!$C$14-A_Scoring_Model!$C$15)*($I463-K463)/($I463-$H463))))))</f>
        <v/>
      </c>
      <c r="P463" s="56" t="str">
        <f aca="false">IF(L463="","",IF($H463=$I463,IF(OR(AND($G463="Higher is better",L463&gt;=$H463),AND($G463="Lower is better",L463&lt;=$H463)),A_Scoring_Model!$C$14,0),IF($G463="Higher is better",IF(L463&gt;=$H463,A_Scoring_Model!$C$14,IF(L463&lt;$I463,0,A_Scoring_Model!$C$15+(A_Scoring_Model!$C$14-A_Scoring_Model!$C$15)*(L463-$I463)/($H463-$I463))),IF(L463&lt;=$H463,A_Scoring_Model!$C$14,IF(L463&gt;$I463,0,A_Scoring_Model!$C$15+(A_Scoring_Model!$C$14-A_Scoring_Model!$C$15)*($I463-L463)/($I463-$H463))))))</f>
        <v/>
      </c>
      <c r="Q463" s="56" t="str">
        <f aca="false">IF(M463="","",IF($H463=$I463,IF(OR(AND($G463="Higher is better",M463&gt;=$H463),AND($G463="Lower is better",M463&lt;=$H463)),A_Scoring_Model!$C$14,0),IF($G463="Higher is better",IF(M463&gt;=$H463,A_Scoring_Model!$C$14,IF(M463&lt;$I463,0,A_Scoring_Model!$C$15+(A_Scoring_Model!$C$14-A_Scoring_Model!$C$15)*(M463-$I463)/($H463-$I463))),IF(M463&lt;=$H463,A_Scoring_Model!$C$14,IF(M463&gt;$I463,0,A_Scoring_Model!$C$15+(A_Scoring_Model!$C$14-A_Scoring_Model!$C$15)*($I463-M463)/($I463-$H463))))))</f>
        <v/>
      </c>
    </row>
    <row r="464" customFormat="false" ht="15" hidden="false" customHeight="false" outlineLevel="0" collapsed="false">
      <c r="A464" s="51" t="str">
        <f aca="false">C_KPI_Benchmark!A464</f>
        <v>9.b-D1-01</v>
      </c>
      <c r="B464" s="52" t="str">
        <f aca="false">C_KPI_Benchmark!D464</f>
        <v>9.b</v>
      </c>
      <c r="C464" s="51" t="str">
        <f aca="false">C_KPI_Benchmark!E464</f>
        <v>Deployment Verifier Agent</v>
      </c>
      <c r="D464" s="52" t="str">
        <f aca="false">C_KPI_Benchmark!F464</f>
        <v>D1</v>
      </c>
      <c r="E464" s="51" t="str">
        <f aca="false">C_KPI_Benchmark!J464</f>
        <v>Deployment fault detection recall</v>
      </c>
      <c r="F464" s="52" t="str">
        <f aca="false">C_KPI_Benchmark!K464</f>
        <v>%</v>
      </c>
      <c r="G464" s="51" t="str">
        <f aca="false">C_KPI_Benchmark!L464</f>
        <v>Higher is better</v>
      </c>
      <c r="H464" s="53" t="n">
        <f aca="false">C_KPI_Benchmark!N464</f>
        <v>0.98</v>
      </c>
      <c r="I464" s="54" t="n">
        <f aca="false">IF(C_KPI_Benchmark!O464&lt;&gt;"",C_KPI_Benchmark!O464,IF(G464="Higher is better",H464*(1-A_Scoring_Model!$C$16),H464*(1+A_Scoring_Model!$C$16)))</f>
        <v>0.95</v>
      </c>
      <c r="J464" s="55"/>
      <c r="K464" s="55"/>
      <c r="L464" s="55"/>
      <c r="M464" s="55"/>
      <c r="N464" s="56" t="str">
        <f aca="false">IF(J464="","",IF($H464=$I464,IF(OR(AND($G464="Higher is better",J464&gt;=$H464),AND($G464="Lower is better",J464&lt;=$H464)),A_Scoring_Model!$C$14,0),IF($G464="Higher is better",IF(J464&gt;=$H464,A_Scoring_Model!$C$14,IF(J464&lt;$I464,0,A_Scoring_Model!$C$15+(A_Scoring_Model!$C$14-A_Scoring_Model!$C$15)*(J464-$I464)/($H464-$I464))),IF(J464&lt;=$H464,A_Scoring_Model!$C$14,IF(J464&gt;$I464,0,A_Scoring_Model!$C$15+(A_Scoring_Model!$C$14-A_Scoring_Model!$C$15)*($I464-J464)/($I464-$H464))))))</f>
        <v/>
      </c>
      <c r="O464" s="56" t="str">
        <f aca="false">IF(K464="","",IF($H464=$I464,IF(OR(AND($G464="Higher is better",K464&gt;=$H464),AND($G464="Lower is better",K464&lt;=$H464)),A_Scoring_Model!$C$14,0),IF($G464="Higher is better",IF(K464&gt;=$H464,A_Scoring_Model!$C$14,IF(K464&lt;$I464,0,A_Scoring_Model!$C$15+(A_Scoring_Model!$C$14-A_Scoring_Model!$C$15)*(K464-$I464)/($H464-$I464))),IF(K464&lt;=$H464,A_Scoring_Model!$C$14,IF(K464&gt;$I464,0,A_Scoring_Model!$C$15+(A_Scoring_Model!$C$14-A_Scoring_Model!$C$15)*($I464-K464)/($I464-$H464))))))</f>
        <v/>
      </c>
      <c r="P464" s="56" t="str">
        <f aca="false">IF(L464="","",IF($H464=$I464,IF(OR(AND($G464="Higher is better",L464&gt;=$H464),AND($G464="Lower is better",L464&lt;=$H464)),A_Scoring_Model!$C$14,0),IF($G464="Higher is better",IF(L464&gt;=$H464,A_Scoring_Model!$C$14,IF(L464&lt;$I464,0,A_Scoring_Model!$C$15+(A_Scoring_Model!$C$14-A_Scoring_Model!$C$15)*(L464-$I464)/($H464-$I464))),IF(L464&lt;=$H464,A_Scoring_Model!$C$14,IF(L464&gt;$I464,0,A_Scoring_Model!$C$15+(A_Scoring_Model!$C$14-A_Scoring_Model!$C$15)*($I464-L464)/($I464-$H464))))))</f>
        <v/>
      </c>
      <c r="Q464" s="56" t="str">
        <f aca="false">IF(M464="","",IF($H464=$I464,IF(OR(AND($G464="Higher is better",M464&gt;=$H464),AND($G464="Lower is better",M464&lt;=$H464)),A_Scoring_Model!$C$14,0),IF($G464="Higher is better",IF(M464&gt;=$H464,A_Scoring_Model!$C$14,IF(M464&lt;$I464,0,A_Scoring_Model!$C$15+(A_Scoring_Model!$C$14-A_Scoring_Model!$C$15)*(M464-$I464)/($H464-$I464))),IF(M464&lt;=$H464,A_Scoring_Model!$C$14,IF(M464&gt;$I464,0,A_Scoring_Model!$C$15+(A_Scoring_Model!$C$14-A_Scoring_Model!$C$15)*($I464-M464)/($I464-$H464))))))</f>
        <v/>
      </c>
    </row>
    <row r="465" customFormat="false" ht="15" hidden="false" customHeight="false" outlineLevel="0" collapsed="false">
      <c r="A465" s="51" t="str">
        <f aca="false">C_KPI_Benchmark!A465</f>
        <v>9.b-D1-02</v>
      </c>
      <c r="B465" s="52" t="str">
        <f aca="false">C_KPI_Benchmark!D465</f>
        <v>9.b</v>
      </c>
      <c r="C465" s="51" t="str">
        <f aca="false">C_KPI_Benchmark!E465</f>
        <v>Deployment Verifier Agent</v>
      </c>
      <c r="D465" s="52" t="str">
        <f aca="false">C_KPI_Benchmark!F465</f>
        <v>D1</v>
      </c>
      <c r="E465" s="51" t="str">
        <f aca="false">C_KPI_Benchmark!J465</f>
        <v>FW / image integrity verification</v>
      </c>
      <c r="F465" s="52" t="str">
        <f aca="false">C_KPI_Benchmark!K465</f>
        <v>%</v>
      </c>
      <c r="G465" s="51" t="str">
        <f aca="false">C_KPI_Benchmark!L465</f>
        <v>Higher is better</v>
      </c>
      <c r="H465" s="53" t="n">
        <f aca="false">C_KPI_Benchmark!N465</f>
        <v>1</v>
      </c>
      <c r="I465" s="54" t="n">
        <f aca="false">IF(C_KPI_Benchmark!O465&lt;&gt;"",C_KPI_Benchmark!O465,IF(G465="Higher is better",H465*(1-A_Scoring_Model!$C$16),H465*(1+A_Scoring_Model!$C$16)))</f>
        <v>1</v>
      </c>
      <c r="J465" s="55"/>
      <c r="K465" s="55"/>
      <c r="L465" s="55"/>
      <c r="M465" s="55"/>
      <c r="N465" s="56" t="str">
        <f aca="false">IF(J465="","",IF($H465=$I465,IF(OR(AND($G465="Higher is better",J465&gt;=$H465),AND($G465="Lower is better",J465&lt;=$H465)),A_Scoring_Model!$C$14,0),IF($G465="Higher is better",IF(J465&gt;=$H465,A_Scoring_Model!$C$14,IF(J465&lt;$I465,0,A_Scoring_Model!$C$15+(A_Scoring_Model!$C$14-A_Scoring_Model!$C$15)*(J465-$I465)/($H465-$I465))),IF(J465&lt;=$H465,A_Scoring_Model!$C$14,IF(J465&gt;$I465,0,A_Scoring_Model!$C$15+(A_Scoring_Model!$C$14-A_Scoring_Model!$C$15)*($I465-J465)/($I465-$H465))))))</f>
        <v/>
      </c>
      <c r="O465" s="56" t="str">
        <f aca="false">IF(K465="","",IF($H465=$I465,IF(OR(AND($G465="Higher is better",K465&gt;=$H465),AND($G465="Lower is better",K465&lt;=$H465)),A_Scoring_Model!$C$14,0),IF($G465="Higher is better",IF(K465&gt;=$H465,A_Scoring_Model!$C$14,IF(K465&lt;$I465,0,A_Scoring_Model!$C$15+(A_Scoring_Model!$C$14-A_Scoring_Model!$C$15)*(K465-$I465)/($H465-$I465))),IF(K465&lt;=$H465,A_Scoring_Model!$C$14,IF(K465&gt;$I465,0,A_Scoring_Model!$C$15+(A_Scoring_Model!$C$14-A_Scoring_Model!$C$15)*($I465-K465)/($I465-$H465))))))</f>
        <v/>
      </c>
      <c r="P465" s="56" t="str">
        <f aca="false">IF(L465="","",IF($H465=$I465,IF(OR(AND($G465="Higher is better",L465&gt;=$H465),AND($G465="Lower is better",L465&lt;=$H465)),A_Scoring_Model!$C$14,0),IF($G465="Higher is better",IF(L465&gt;=$H465,A_Scoring_Model!$C$14,IF(L465&lt;$I465,0,A_Scoring_Model!$C$15+(A_Scoring_Model!$C$14-A_Scoring_Model!$C$15)*(L465-$I465)/($H465-$I465))),IF(L465&lt;=$H465,A_Scoring_Model!$C$14,IF(L465&gt;$I465,0,A_Scoring_Model!$C$15+(A_Scoring_Model!$C$14-A_Scoring_Model!$C$15)*($I465-L465)/($I465-$H465))))))</f>
        <v/>
      </c>
      <c r="Q465" s="56" t="str">
        <f aca="false">IF(M465="","",IF($H465=$I465,IF(OR(AND($G465="Higher is better",M465&gt;=$H465),AND($G465="Lower is better",M465&lt;=$H465)),A_Scoring_Model!$C$14,0),IF($G465="Higher is better",IF(M465&gt;=$H465,A_Scoring_Model!$C$14,IF(M465&lt;$I465,0,A_Scoring_Model!$C$15+(A_Scoring_Model!$C$14-A_Scoring_Model!$C$15)*(M465-$I465)/($H465-$I465))),IF(M465&lt;=$H465,A_Scoring_Model!$C$14,IF(M465&gt;$I465,0,A_Scoring_Model!$C$15+(A_Scoring_Model!$C$14-A_Scoring_Model!$C$15)*($I465-M465)/($I465-$H465))))))</f>
        <v/>
      </c>
    </row>
    <row r="466" customFormat="false" ht="23.85" hidden="false" customHeight="false" outlineLevel="0" collapsed="false">
      <c r="A466" s="51" t="str">
        <f aca="false">C_KPI_Benchmark!A466</f>
        <v>9.b-D2-03</v>
      </c>
      <c r="B466" s="52" t="str">
        <f aca="false">C_KPI_Benchmark!D466</f>
        <v>9.b</v>
      </c>
      <c r="C466" s="51" t="str">
        <f aca="false">C_KPI_Benchmark!E466</f>
        <v>Deployment Verifier Agent</v>
      </c>
      <c r="D466" s="52" t="str">
        <f aca="false">C_KPI_Benchmark!F466</f>
        <v>D2</v>
      </c>
      <c r="E466" s="51" t="str">
        <f aca="false">C_KPI_Benchmark!J466</f>
        <v>Check-packs per target (customer platform, OEM qualification)</v>
      </c>
      <c r="F466" s="52" t="str">
        <f aca="false">C_KPI_Benchmark!K466</f>
        <v>Yes/No</v>
      </c>
      <c r="G466" s="51" t="str">
        <f aca="false">C_KPI_Benchmark!L466</f>
        <v>Higher is better</v>
      </c>
      <c r="H466" s="60" t="n">
        <f aca="false">C_KPI_Benchmark!N466</f>
        <v>1</v>
      </c>
      <c r="I466" s="56" t="n">
        <f aca="false">IF(C_KPI_Benchmark!O466&lt;&gt;"",C_KPI_Benchmark!O466,IF(G466="Higher is better",H466*(1-A_Scoring_Model!$C$16),H466*(1+A_Scoring_Model!$C$16)))</f>
        <v>0.8</v>
      </c>
      <c r="J466" s="61"/>
      <c r="K466" s="61"/>
      <c r="L466" s="61"/>
      <c r="M466" s="61"/>
      <c r="N466" s="56" t="str">
        <f aca="false">IF(J466="","",IF($H466=$I466,IF(OR(AND($G466="Higher is better",J466&gt;=$H466),AND($G466="Lower is better",J466&lt;=$H466)),A_Scoring_Model!$C$14,0),IF($G466="Higher is better",IF(J466&gt;=$H466,A_Scoring_Model!$C$14,IF(J466&lt;$I466,0,A_Scoring_Model!$C$15+(A_Scoring_Model!$C$14-A_Scoring_Model!$C$15)*(J466-$I466)/($H466-$I466))),IF(J466&lt;=$H466,A_Scoring_Model!$C$14,IF(J466&gt;$I466,0,A_Scoring_Model!$C$15+(A_Scoring_Model!$C$14-A_Scoring_Model!$C$15)*($I466-J466)/($I466-$H466))))))</f>
        <v/>
      </c>
      <c r="O466" s="56" t="str">
        <f aca="false">IF(K466="","",IF($H466=$I466,IF(OR(AND($G466="Higher is better",K466&gt;=$H466),AND($G466="Lower is better",K466&lt;=$H466)),A_Scoring_Model!$C$14,0),IF($G466="Higher is better",IF(K466&gt;=$H466,A_Scoring_Model!$C$14,IF(K466&lt;$I466,0,A_Scoring_Model!$C$15+(A_Scoring_Model!$C$14-A_Scoring_Model!$C$15)*(K466-$I466)/($H466-$I466))),IF(K466&lt;=$H466,A_Scoring_Model!$C$14,IF(K466&gt;$I466,0,A_Scoring_Model!$C$15+(A_Scoring_Model!$C$14-A_Scoring_Model!$C$15)*($I466-K466)/($I466-$H466))))))</f>
        <v/>
      </c>
      <c r="P466" s="56" t="str">
        <f aca="false">IF(L466="","",IF($H466=$I466,IF(OR(AND($G466="Higher is better",L466&gt;=$H466),AND($G466="Lower is better",L466&lt;=$H466)),A_Scoring_Model!$C$14,0),IF($G466="Higher is better",IF(L466&gt;=$H466,A_Scoring_Model!$C$14,IF(L466&lt;$I466,0,A_Scoring_Model!$C$15+(A_Scoring_Model!$C$14-A_Scoring_Model!$C$15)*(L466-$I466)/($H466-$I466))),IF(L466&lt;=$H466,A_Scoring_Model!$C$14,IF(L466&gt;$I466,0,A_Scoring_Model!$C$15+(A_Scoring_Model!$C$14-A_Scoring_Model!$C$15)*($I466-L466)/($I466-$H466))))))</f>
        <v/>
      </c>
      <c r="Q466" s="56" t="str">
        <f aca="false">IF(M466="","",IF($H466=$I466,IF(OR(AND($G466="Higher is better",M466&gt;=$H466),AND($G466="Lower is better",M466&lt;=$H466)),A_Scoring_Model!$C$14,0),IF($G466="Higher is better",IF(M466&gt;=$H466,A_Scoring_Model!$C$14,IF(M466&lt;$I466,0,A_Scoring_Model!$C$15+(A_Scoring_Model!$C$14-A_Scoring_Model!$C$15)*(M466-$I466)/($H466-$I466))),IF(M466&lt;=$H466,A_Scoring_Model!$C$14,IF(M466&gt;$I466,0,A_Scoring_Model!$C$15+(A_Scoring_Model!$C$14-A_Scoring_Model!$C$15)*($I466-M466)/($I466-$H466))))))</f>
        <v/>
      </c>
    </row>
    <row r="467" customFormat="false" ht="23.85" hidden="false" customHeight="false" outlineLevel="0" collapsed="false">
      <c r="A467" s="51" t="str">
        <f aca="false">C_KPI_Benchmark!A467</f>
        <v>9.b-D2-04</v>
      </c>
      <c r="B467" s="52" t="str">
        <f aca="false">C_KPI_Benchmark!D467</f>
        <v>9.b</v>
      </c>
      <c r="C467" s="51" t="str">
        <f aca="false">C_KPI_Benchmark!E467</f>
        <v>Deployment Verifier Agent</v>
      </c>
      <c r="D467" s="52" t="str">
        <f aca="false">C_KPI_Benchmark!F467</f>
        <v>D2</v>
      </c>
      <c r="E467" s="51" t="str">
        <f aca="false">C_KPI_Benchmark!J467</f>
        <v>Product lines supported with ≤10% efficacy drop (NVMe SSD, UFS, eMMC/uSD, PSSD)</v>
      </c>
      <c r="F467" s="52" t="str">
        <f aca="false">C_KPI_Benchmark!K467</f>
        <v>count</v>
      </c>
      <c r="G467" s="51" t="str">
        <f aca="false">C_KPI_Benchmark!L467</f>
        <v>Higher is better</v>
      </c>
      <c r="H467" s="62" t="n">
        <f aca="false">C_KPI_Benchmark!N467</f>
        <v>3</v>
      </c>
      <c r="I467" s="63" t="n">
        <f aca="false">IF(C_KPI_Benchmark!O467&lt;&gt;"",C_KPI_Benchmark!O467,IF(G467="Higher is better",H467*(1-A_Scoring_Model!$C$16),H467*(1+A_Scoring_Model!$C$16)))</f>
        <v>2</v>
      </c>
      <c r="J467" s="64"/>
      <c r="K467" s="64"/>
      <c r="L467" s="64"/>
      <c r="M467" s="64"/>
      <c r="N467" s="56" t="str">
        <f aca="false">IF(J467="","",IF($H467=$I467,IF(OR(AND($G467="Higher is better",J467&gt;=$H467),AND($G467="Lower is better",J467&lt;=$H467)),A_Scoring_Model!$C$14,0),IF($G467="Higher is better",IF(J467&gt;=$H467,A_Scoring_Model!$C$14,IF(J467&lt;$I467,0,A_Scoring_Model!$C$15+(A_Scoring_Model!$C$14-A_Scoring_Model!$C$15)*(J467-$I467)/($H467-$I467))),IF(J467&lt;=$H467,A_Scoring_Model!$C$14,IF(J467&gt;$I467,0,A_Scoring_Model!$C$15+(A_Scoring_Model!$C$14-A_Scoring_Model!$C$15)*($I467-J467)/($I467-$H467))))))</f>
        <v/>
      </c>
      <c r="O467" s="56" t="str">
        <f aca="false">IF(K467="","",IF($H467=$I467,IF(OR(AND($G467="Higher is better",K467&gt;=$H467),AND($G467="Lower is better",K467&lt;=$H467)),A_Scoring_Model!$C$14,0),IF($G467="Higher is better",IF(K467&gt;=$H467,A_Scoring_Model!$C$14,IF(K467&lt;$I467,0,A_Scoring_Model!$C$15+(A_Scoring_Model!$C$14-A_Scoring_Model!$C$15)*(K467-$I467)/($H467-$I467))),IF(K467&lt;=$H467,A_Scoring_Model!$C$14,IF(K467&gt;$I467,0,A_Scoring_Model!$C$15+(A_Scoring_Model!$C$14-A_Scoring_Model!$C$15)*($I467-K467)/($I467-$H467))))))</f>
        <v/>
      </c>
      <c r="P467" s="56" t="str">
        <f aca="false">IF(L467="","",IF($H467=$I467,IF(OR(AND($G467="Higher is better",L467&gt;=$H467),AND($G467="Lower is better",L467&lt;=$H467)),A_Scoring_Model!$C$14,0),IF($G467="Higher is better",IF(L467&gt;=$H467,A_Scoring_Model!$C$14,IF(L467&lt;$I467,0,A_Scoring_Model!$C$15+(A_Scoring_Model!$C$14-A_Scoring_Model!$C$15)*(L467-$I467)/($H467-$I467))),IF(L467&lt;=$H467,A_Scoring_Model!$C$14,IF(L467&gt;$I467,0,A_Scoring_Model!$C$15+(A_Scoring_Model!$C$14-A_Scoring_Model!$C$15)*($I467-L467)/($I467-$H467))))))</f>
        <v/>
      </c>
      <c r="Q467" s="56" t="str">
        <f aca="false">IF(M467="","",IF($H467=$I467,IF(OR(AND($G467="Higher is better",M467&gt;=$H467),AND($G467="Lower is better",M467&lt;=$H467)),A_Scoring_Model!$C$14,0),IF($G467="Higher is better",IF(M467&gt;=$H467,A_Scoring_Model!$C$14,IF(M467&lt;$I467,0,A_Scoring_Model!$C$15+(A_Scoring_Model!$C$14-A_Scoring_Model!$C$15)*(M467-$I467)/($H467-$I467))),IF(M467&lt;=$H467,A_Scoring_Model!$C$14,IF(M467&gt;$I467,0,A_Scoring_Model!$C$15+(A_Scoring_Model!$C$14-A_Scoring_Model!$C$15)*($I467-M467)/($I467-$H467))))))</f>
        <v/>
      </c>
    </row>
    <row r="468" customFormat="false" ht="15" hidden="false" customHeight="false" outlineLevel="0" collapsed="false">
      <c r="A468" s="51" t="str">
        <f aca="false">C_KPI_Benchmark!A468</f>
        <v>9.b-D2-05</v>
      </c>
      <c r="B468" s="52" t="str">
        <f aca="false">C_KPI_Benchmark!D468</f>
        <v>9.b</v>
      </c>
      <c r="C468" s="51" t="str">
        <f aca="false">C_KPI_Benchmark!E468</f>
        <v>Deployment Verifier Agent</v>
      </c>
      <c r="D468" s="52" t="str">
        <f aca="false">C_KPI_Benchmark!F468</f>
        <v>D2</v>
      </c>
      <c r="E468" s="51" t="str">
        <f aca="false">C_KPI_Benchmark!J468</f>
        <v>Uses Zion shared services instead of re-implementing them</v>
      </c>
      <c r="F468" s="52" t="str">
        <f aca="false">C_KPI_Benchmark!K468</f>
        <v>Yes/No</v>
      </c>
      <c r="G468" s="51" t="str">
        <f aca="false">C_KPI_Benchmark!L468</f>
        <v>Higher is better</v>
      </c>
      <c r="H468" s="60" t="n">
        <f aca="false">C_KPI_Benchmark!N468</f>
        <v>1</v>
      </c>
      <c r="I468" s="56" t="n">
        <f aca="false">IF(C_KPI_Benchmark!O468&lt;&gt;"",C_KPI_Benchmark!O468,IF(G468="Higher is better",H468*(1-A_Scoring_Model!$C$16),H468*(1+A_Scoring_Model!$C$16)))</f>
        <v>0.8</v>
      </c>
      <c r="J468" s="61"/>
      <c r="K468" s="61"/>
      <c r="L468" s="61"/>
      <c r="M468" s="61"/>
      <c r="N468" s="56" t="str">
        <f aca="false">IF(J468="","",IF($H468=$I468,IF(OR(AND($G468="Higher is better",J468&gt;=$H468),AND($G468="Lower is better",J468&lt;=$H468)),A_Scoring_Model!$C$14,0),IF($G468="Higher is better",IF(J468&gt;=$H468,A_Scoring_Model!$C$14,IF(J468&lt;$I468,0,A_Scoring_Model!$C$15+(A_Scoring_Model!$C$14-A_Scoring_Model!$C$15)*(J468-$I468)/($H468-$I468))),IF(J468&lt;=$H468,A_Scoring_Model!$C$14,IF(J468&gt;$I468,0,A_Scoring_Model!$C$15+(A_Scoring_Model!$C$14-A_Scoring_Model!$C$15)*($I468-J468)/($I468-$H468))))))</f>
        <v/>
      </c>
      <c r="O468" s="56" t="str">
        <f aca="false">IF(K468="","",IF($H468=$I468,IF(OR(AND($G468="Higher is better",K468&gt;=$H468),AND($G468="Lower is better",K468&lt;=$H468)),A_Scoring_Model!$C$14,0),IF($G468="Higher is better",IF(K468&gt;=$H468,A_Scoring_Model!$C$14,IF(K468&lt;$I468,0,A_Scoring_Model!$C$15+(A_Scoring_Model!$C$14-A_Scoring_Model!$C$15)*(K468-$I468)/($H468-$I468))),IF(K468&lt;=$H468,A_Scoring_Model!$C$14,IF(K468&gt;$I468,0,A_Scoring_Model!$C$15+(A_Scoring_Model!$C$14-A_Scoring_Model!$C$15)*($I468-K468)/($I468-$H468))))))</f>
        <v/>
      </c>
      <c r="P468" s="56" t="str">
        <f aca="false">IF(L468="","",IF($H468=$I468,IF(OR(AND($G468="Higher is better",L468&gt;=$H468),AND($G468="Lower is better",L468&lt;=$H468)),A_Scoring_Model!$C$14,0),IF($G468="Higher is better",IF(L468&gt;=$H468,A_Scoring_Model!$C$14,IF(L468&lt;$I468,0,A_Scoring_Model!$C$15+(A_Scoring_Model!$C$14-A_Scoring_Model!$C$15)*(L468-$I468)/($H468-$I468))),IF(L468&lt;=$H468,A_Scoring_Model!$C$14,IF(L468&gt;$I468,0,A_Scoring_Model!$C$15+(A_Scoring_Model!$C$14-A_Scoring_Model!$C$15)*($I468-L468)/($I468-$H468))))))</f>
        <v/>
      </c>
      <c r="Q468" s="56" t="str">
        <f aca="false">IF(M468="","",IF($H468=$I468,IF(OR(AND($G468="Higher is better",M468&gt;=$H468),AND($G468="Lower is better",M468&lt;=$H468)),A_Scoring_Model!$C$14,0),IF($G468="Higher is better",IF(M468&gt;=$H468,A_Scoring_Model!$C$14,IF(M468&lt;$I468,0,A_Scoring_Model!$C$15+(A_Scoring_Model!$C$14-A_Scoring_Model!$C$15)*(M468-$I468)/($H468-$I468))),IF(M468&lt;=$H468,A_Scoring_Model!$C$14,IF(M468&gt;$I468,0,A_Scoring_Model!$C$15+(A_Scoring_Model!$C$14-A_Scoring_Model!$C$15)*($I468-M468)/($I468-$H468))))))</f>
        <v/>
      </c>
    </row>
    <row r="469" customFormat="false" ht="15" hidden="false" customHeight="false" outlineLevel="0" collapsed="false">
      <c r="A469" s="51" t="str">
        <f aca="false">C_KPI_Benchmark!A469</f>
        <v>9.b-D3-06</v>
      </c>
      <c r="B469" s="52" t="str">
        <f aca="false">C_KPI_Benchmark!D469</f>
        <v>9.b</v>
      </c>
      <c r="C469" s="51" t="str">
        <f aca="false">C_KPI_Benchmark!E469</f>
        <v>Deployment Verifier Agent</v>
      </c>
      <c r="D469" s="52" t="str">
        <f aca="false">C_KPI_Benchmark!F469</f>
        <v>D3</v>
      </c>
      <c r="E469" s="51" t="str">
        <f aca="false">C_KPI_Benchmark!J469</f>
        <v>Targets verified in parallel</v>
      </c>
      <c r="F469" s="52" t="str">
        <f aca="false">C_KPI_Benchmark!K469</f>
        <v>count</v>
      </c>
      <c r="G469" s="51" t="str">
        <f aca="false">C_KPI_Benchmark!L469</f>
        <v>Higher is better</v>
      </c>
      <c r="H469" s="62" t="n">
        <f aca="false">C_KPI_Benchmark!N469</f>
        <v>100</v>
      </c>
      <c r="I469" s="63" t="n">
        <f aca="false">IF(C_KPI_Benchmark!O469&lt;&gt;"",C_KPI_Benchmark!O469,IF(G469="Higher is better",H469*(1-A_Scoring_Model!$C$16),H469*(1+A_Scoring_Model!$C$16)))</f>
        <v>80</v>
      </c>
      <c r="J469" s="64"/>
      <c r="K469" s="64"/>
      <c r="L469" s="64"/>
      <c r="M469" s="64"/>
      <c r="N469" s="56" t="str">
        <f aca="false">IF(J469="","",IF($H469=$I469,IF(OR(AND($G469="Higher is better",J469&gt;=$H469),AND($G469="Lower is better",J469&lt;=$H469)),A_Scoring_Model!$C$14,0),IF($G469="Higher is better",IF(J469&gt;=$H469,A_Scoring_Model!$C$14,IF(J469&lt;$I469,0,A_Scoring_Model!$C$15+(A_Scoring_Model!$C$14-A_Scoring_Model!$C$15)*(J469-$I469)/($H469-$I469))),IF(J469&lt;=$H469,A_Scoring_Model!$C$14,IF(J469&gt;$I469,0,A_Scoring_Model!$C$15+(A_Scoring_Model!$C$14-A_Scoring_Model!$C$15)*($I469-J469)/($I469-$H469))))))</f>
        <v/>
      </c>
      <c r="O469" s="56" t="str">
        <f aca="false">IF(K469="","",IF($H469=$I469,IF(OR(AND($G469="Higher is better",K469&gt;=$H469),AND($G469="Lower is better",K469&lt;=$H469)),A_Scoring_Model!$C$14,0),IF($G469="Higher is better",IF(K469&gt;=$H469,A_Scoring_Model!$C$14,IF(K469&lt;$I469,0,A_Scoring_Model!$C$15+(A_Scoring_Model!$C$14-A_Scoring_Model!$C$15)*(K469-$I469)/($H469-$I469))),IF(K469&lt;=$H469,A_Scoring_Model!$C$14,IF(K469&gt;$I469,0,A_Scoring_Model!$C$15+(A_Scoring_Model!$C$14-A_Scoring_Model!$C$15)*($I469-K469)/($I469-$H469))))))</f>
        <v/>
      </c>
      <c r="P469" s="56" t="str">
        <f aca="false">IF(L469="","",IF($H469=$I469,IF(OR(AND($G469="Higher is better",L469&gt;=$H469),AND($G469="Lower is better",L469&lt;=$H469)),A_Scoring_Model!$C$14,0),IF($G469="Higher is better",IF(L469&gt;=$H469,A_Scoring_Model!$C$14,IF(L469&lt;$I469,0,A_Scoring_Model!$C$15+(A_Scoring_Model!$C$14-A_Scoring_Model!$C$15)*(L469-$I469)/($H469-$I469))),IF(L469&lt;=$H469,A_Scoring_Model!$C$14,IF(L469&gt;$I469,0,A_Scoring_Model!$C$15+(A_Scoring_Model!$C$14-A_Scoring_Model!$C$15)*($I469-L469)/($I469-$H469))))))</f>
        <v/>
      </c>
      <c r="Q469" s="56" t="str">
        <f aca="false">IF(M469="","",IF($H469=$I469,IF(OR(AND($G469="Higher is better",M469&gt;=$H469),AND($G469="Lower is better",M469&lt;=$H469)),A_Scoring_Model!$C$14,0),IF($G469="Higher is better",IF(M469&gt;=$H469,A_Scoring_Model!$C$14,IF(M469&lt;$I469,0,A_Scoring_Model!$C$15+(A_Scoring_Model!$C$14-A_Scoring_Model!$C$15)*(M469-$I469)/($H469-$I469))),IF(M469&lt;=$H469,A_Scoring_Model!$C$14,IF(M469&gt;$I469,0,A_Scoring_Model!$C$15+(A_Scoring_Model!$C$14-A_Scoring_Model!$C$15)*($I469-M469)/($I469-$H469))))))</f>
        <v/>
      </c>
    </row>
    <row r="470" customFormat="false" ht="15" hidden="false" customHeight="false" outlineLevel="0" collapsed="false">
      <c r="A470" s="51" t="str">
        <f aca="false">C_KPI_Benchmark!A470</f>
        <v>9.b-D3-07</v>
      </c>
      <c r="B470" s="52" t="str">
        <f aca="false">C_KPI_Benchmark!D470</f>
        <v>9.b</v>
      </c>
      <c r="C470" s="51" t="str">
        <f aca="false">C_KPI_Benchmark!E470</f>
        <v>Deployment Verifier Agent</v>
      </c>
      <c r="D470" s="52" t="str">
        <f aca="false">C_KPI_Benchmark!F470</f>
        <v>D3</v>
      </c>
      <c r="E470" s="51" t="str">
        <f aca="false">C_KPI_Benchmark!J470</f>
        <v>Verification time</v>
      </c>
      <c r="F470" s="52" t="str">
        <f aca="false">C_KPI_Benchmark!K470</f>
        <v>min</v>
      </c>
      <c r="G470" s="51" t="str">
        <f aca="false">C_KPI_Benchmark!L470</f>
        <v>Lower is better</v>
      </c>
      <c r="H470" s="62" t="n">
        <f aca="false">C_KPI_Benchmark!N470</f>
        <v>15</v>
      </c>
      <c r="I470" s="63" t="n">
        <f aca="false">IF(C_KPI_Benchmark!O470&lt;&gt;"",C_KPI_Benchmark!O470,IF(G470="Higher is better",H470*(1-A_Scoring_Model!$C$16),H470*(1+A_Scoring_Model!$C$16)))</f>
        <v>18</v>
      </c>
      <c r="J470" s="64"/>
      <c r="K470" s="64"/>
      <c r="L470" s="64"/>
      <c r="M470" s="64"/>
      <c r="N470" s="56" t="str">
        <f aca="false">IF(J470="","",IF($H470=$I470,IF(OR(AND($G470="Higher is better",J470&gt;=$H470),AND($G470="Lower is better",J470&lt;=$H470)),A_Scoring_Model!$C$14,0),IF($G470="Higher is better",IF(J470&gt;=$H470,A_Scoring_Model!$C$14,IF(J470&lt;$I470,0,A_Scoring_Model!$C$15+(A_Scoring_Model!$C$14-A_Scoring_Model!$C$15)*(J470-$I470)/($H470-$I470))),IF(J470&lt;=$H470,A_Scoring_Model!$C$14,IF(J470&gt;$I470,0,A_Scoring_Model!$C$15+(A_Scoring_Model!$C$14-A_Scoring_Model!$C$15)*($I470-J470)/($I470-$H470))))))</f>
        <v/>
      </c>
      <c r="O470" s="56" t="str">
        <f aca="false">IF(K470="","",IF($H470=$I470,IF(OR(AND($G470="Higher is better",K470&gt;=$H470),AND($G470="Lower is better",K470&lt;=$H470)),A_Scoring_Model!$C$14,0),IF($G470="Higher is better",IF(K470&gt;=$H470,A_Scoring_Model!$C$14,IF(K470&lt;$I470,0,A_Scoring_Model!$C$15+(A_Scoring_Model!$C$14-A_Scoring_Model!$C$15)*(K470-$I470)/($H470-$I470))),IF(K470&lt;=$H470,A_Scoring_Model!$C$14,IF(K470&gt;$I470,0,A_Scoring_Model!$C$15+(A_Scoring_Model!$C$14-A_Scoring_Model!$C$15)*($I470-K470)/($I470-$H470))))))</f>
        <v/>
      </c>
      <c r="P470" s="56" t="str">
        <f aca="false">IF(L470="","",IF($H470=$I470,IF(OR(AND($G470="Higher is better",L470&gt;=$H470),AND($G470="Lower is better",L470&lt;=$H470)),A_Scoring_Model!$C$14,0),IF($G470="Higher is better",IF(L470&gt;=$H470,A_Scoring_Model!$C$14,IF(L470&lt;$I470,0,A_Scoring_Model!$C$15+(A_Scoring_Model!$C$14-A_Scoring_Model!$C$15)*(L470-$I470)/($H470-$I470))),IF(L470&lt;=$H470,A_Scoring_Model!$C$14,IF(L470&gt;$I470,0,A_Scoring_Model!$C$15+(A_Scoring_Model!$C$14-A_Scoring_Model!$C$15)*($I470-L470)/($I470-$H470))))))</f>
        <v/>
      </c>
      <c r="Q470" s="56" t="str">
        <f aca="false">IF(M470="","",IF($H470=$I470,IF(OR(AND($G470="Higher is better",M470&gt;=$H470),AND($G470="Lower is better",M470&lt;=$H470)),A_Scoring_Model!$C$14,0),IF($G470="Higher is better",IF(M470&gt;=$H470,A_Scoring_Model!$C$14,IF(M470&lt;$I470,0,A_Scoring_Model!$C$15+(A_Scoring_Model!$C$14-A_Scoring_Model!$C$15)*(M470-$I470)/($H470-$I470))),IF(M470&lt;=$H470,A_Scoring_Model!$C$14,IF(M470&gt;$I470,0,A_Scoring_Model!$C$15+(A_Scoring_Model!$C$14-A_Scoring_Model!$C$15)*($I470-M470)/($I470-$H470))))))</f>
        <v/>
      </c>
    </row>
    <row r="471" customFormat="false" ht="15" hidden="false" customHeight="false" outlineLevel="0" collapsed="false">
      <c r="A471" s="51" t="str">
        <f aca="false">C_KPI_Benchmark!A471</f>
        <v>9.b-D3-08</v>
      </c>
      <c r="B471" s="52" t="str">
        <f aca="false">C_KPI_Benchmark!D471</f>
        <v>9.b</v>
      </c>
      <c r="C471" s="51" t="str">
        <f aca="false">C_KPI_Benchmark!E471</f>
        <v>Deployment Verifier Agent</v>
      </c>
      <c r="D471" s="52" t="str">
        <f aca="false">C_KPI_Benchmark!F471</f>
        <v>D3</v>
      </c>
      <c r="E471" s="51" t="str">
        <f aca="false">C_KPI_Benchmark!J471</f>
        <v>Latency degradation at 10× load</v>
      </c>
      <c r="F471" s="52" t="str">
        <f aca="false">C_KPI_Benchmark!K471</f>
        <v>%</v>
      </c>
      <c r="G471" s="51" t="str">
        <f aca="false">C_KPI_Benchmark!L471</f>
        <v>Lower is better</v>
      </c>
      <c r="H471" s="53" t="n">
        <f aca="false">C_KPI_Benchmark!N471</f>
        <v>0.2</v>
      </c>
      <c r="I471" s="54" t="n">
        <f aca="false">IF(C_KPI_Benchmark!O471&lt;&gt;"",C_KPI_Benchmark!O471,IF(G471="Higher is better",H471*(1-A_Scoring_Model!$C$16),H471*(1+A_Scoring_Model!$C$16)))</f>
        <v>0.4</v>
      </c>
      <c r="J471" s="55"/>
      <c r="K471" s="55"/>
      <c r="L471" s="55"/>
      <c r="M471" s="55"/>
      <c r="N471" s="56" t="str">
        <f aca="false">IF(J471="","",IF($H471=$I471,IF(OR(AND($G471="Higher is better",J471&gt;=$H471),AND($G471="Lower is better",J471&lt;=$H471)),A_Scoring_Model!$C$14,0),IF($G471="Higher is better",IF(J471&gt;=$H471,A_Scoring_Model!$C$14,IF(J471&lt;$I471,0,A_Scoring_Model!$C$15+(A_Scoring_Model!$C$14-A_Scoring_Model!$C$15)*(J471-$I471)/($H471-$I471))),IF(J471&lt;=$H471,A_Scoring_Model!$C$14,IF(J471&gt;$I471,0,A_Scoring_Model!$C$15+(A_Scoring_Model!$C$14-A_Scoring_Model!$C$15)*($I471-J471)/($I471-$H471))))))</f>
        <v/>
      </c>
      <c r="O471" s="56" t="str">
        <f aca="false">IF(K471="","",IF($H471=$I471,IF(OR(AND($G471="Higher is better",K471&gt;=$H471),AND($G471="Lower is better",K471&lt;=$H471)),A_Scoring_Model!$C$14,0),IF($G471="Higher is better",IF(K471&gt;=$H471,A_Scoring_Model!$C$14,IF(K471&lt;$I471,0,A_Scoring_Model!$C$15+(A_Scoring_Model!$C$14-A_Scoring_Model!$C$15)*(K471-$I471)/($H471-$I471))),IF(K471&lt;=$H471,A_Scoring_Model!$C$14,IF(K471&gt;$I471,0,A_Scoring_Model!$C$15+(A_Scoring_Model!$C$14-A_Scoring_Model!$C$15)*($I471-K471)/($I471-$H471))))))</f>
        <v/>
      </c>
      <c r="P471" s="56" t="str">
        <f aca="false">IF(L471="","",IF($H471=$I471,IF(OR(AND($G471="Higher is better",L471&gt;=$H471),AND($G471="Lower is better",L471&lt;=$H471)),A_Scoring_Model!$C$14,0),IF($G471="Higher is better",IF(L471&gt;=$H471,A_Scoring_Model!$C$14,IF(L471&lt;$I471,0,A_Scoring_Model!$C$15+(A_Scoring_Model!$C$14-A_Scoring_Model!$C$15)*(L471-$I471)/($H471-$I471))),IF(L471&lt;=$H471,A_Scoring_Model!$C$14,IF(L471&gt;$I471,0,A_Scoring_Model!$C$15+(A_Scoring_Model!$C$14-A_Scoring_Model!$C$15)*($I471-L471)/($I471-$H471))))))</f>
        <v/>
      </c>
      <c r="Q471" s="56" t="str">
        <f aca="false">IF(M471="","",IF($H471=$I471,IF(OR(AND($G471="Higher is better",M471&gt;=$H471),AND($G471="Lower is better",M471&lt;=$H471)),A_Scoring_Model!$C$14,0),IF($G471="Higher is better",IF(M471&gt;=$H471,A_Scoring_Model!$C$14,IF(M471&lt;$I471,0,A_Scoring_Model!$C$15+(A_Scoring_Model!$C$14-A_Scoring_Model!$C$15)*(M471-$I471)/($H471-$I471))),IF(M471&lt;=$H471,A_Scoring_Model!$C$14,IF(M471&gt;$I471,0,A_Scoring_Model!$C$15+(A_Scoring_Model!$C$14-A_Scoring_Model!$C$15)*($I471-M471)/($I471-$H471))))))</f>
        <v/>
      </c>
    </row>
    <row r="472" customFormat="false" ht="15" hidden="false" customHeight="false" outlineLevel="0" collapsed="false">
      <c r="A472" s="51" t="str">
        <f aca="false">C_KPI_Benchmark!A472</f>
        <v>9.b-D4-09</v>
      </c>
      <c r="B472" s="52" t="str">
        <f aca="false">C_KPI_Benchmark!D472</f>
        <v>9.b</v>
      </c>
      <c r="C472" s="51" t="str">
        <f aca="false">C_KPI_Benchmark!E472</f>
        <v>Deployment Verifier Agent</v>
      </c>
      <c r="D472" s="52" t="str">
        <f aca="false">C_KPI_Benchmark!F472</f>
        <v>D4</v>
      </c>
      <c r="E472" s="51" t="str">
        <f aca="false">C_KPI_Benchmark!J472</f>
        <v>Signed, tamper-evident reports</v>
      </c>
      <c r="F472" s="52" t="str">
        <f aca="false">C_KPI_Benchmark!K472</f>
        <v>%</v>
      </c>
      <c r="G472" s="51" t="str">
        <f aca="false">C_KPI_Benchmark!L472</f>
        <v>Higher is better</v>
      </c>
      <c r="H472" s="53" t="n">
        <f aca="false">C_KPI_Benchmark!N472</f>
        <v>1</v>
      </c>
      <c r="I472" s="54" t="n">
        <f aca="false">IF(C_KPI_Benchmark!O472&lt;&gt;"",C_KPI_Benchmark!O472,IF(G472="Higher is better",H472*(1-A_Scoring_Model!$C$16),H472*(1+A_Scoring_Model!$C$16)))</f>
        <v>0.8</v>
      </c>
      <c r="J472" s="55"/>
      <c r="K472" s="55"/>
      <c r="L472" s="55"/>
      <c r="M472" s="55"/>
      <c r="N472" s="56" t="str">
        <f aca="false">IF(J472="","",IF($H472=$I472,IF(OR(AND($G472="Higher is better",J472&gt;=$H472),AND($G472="Lower is better",J472&lt;=$H472)),A_Scoring_Model!$C$14,0),IF($G472="Higher is better",IF(J472&gt;=$H472,A_Scoring_Model!$C$14,IF(J472&lt;$I472,0,A_Scoring_Model!$C$15+(A_Scoring_Model!$C$14-A_Scoring_Model!$C$15)*(J472-$I472)/($H472-$I472))),IF(J472&lt;=$H472,A_Scoring_Model!$C$14,IF(J472&gt;$I472,0,A_Scoring_Model!$C$15+(A_Scoring_Model!$C$14-A_Scoring_Model!$C$15)*($I472-J472)/($I472-$H472))))))</f>
        <v/>
      </c>
      <c r="O472" s="56" t="str">
        <f aca="false">IF(K472="","",IF($H472=$I472,IF(OR(AND($G472="Higher is better",K472&gt;=$H472),AND($G472="Lower is better",K472&lt;=$H472)),A_Scoring_Model!$C$14,0),IF($G472="Higher is better",IF(K472&gt;=$H472,A_Scoring_Model!$C$14,IF(K472&lt;$I472,0,A_Scoring_Model!$C$15+(A_Scoring_Model!$C$14-A_Scoring_Model!$C$15)*(K472-$I472)/($H472-$I472))),IF(K472&lt;=$H472,A_Scoring_Model!$C$14,IF(K472&gt;$I472,0,A_Scoring_Model!$C$15+(A_Scoring_Model!$C$14-A_Scoring_Model!$C$15)*($I472-K472)/($I472-$H472))))))</f>
        <v/>
      </c>
      <c r="P472" s="56" t="str">
        <f aca="false">IF(L472="","",IF($H472=$I472,IF(OR(AND($G472="Higher is better",L472&gt;=$H472),AND($G472="Lower is better",L472&lt;=$H472)),A_Scoring_Model!$C$14,0),IF($G472="Higher is better",IF(L472&gt;=$H472,A_Scoring_Model!$C$14,IF(L472&lt;$I472,0,A_Scoring_Model!$C$15+(A_Scoring_Model!$C$14-A_Scoring_Model!$C$15)*(L472-$I472)/($H472-$I472))),IF(L472&lt;=$H472,A_Scoring_Model!$C$14,IF(L472&gt;$I472,0,A_Scoring_Model!$C$15+(A_Scoring_Model!$C$14-A_Scoring_Model!$C$15)*($I472-L472)/($I472-$H472))))))</f>
        <v/>
      </c>
      <c r="Q472" s="56" t="str">
        <f aca="false">IF(M472="","",IF($H472=$I472,IF(OR(AND($G472="Higher is better",M472&gt;=$H472),AND($G472="Lower is better",M472&lt;=$H472)),A_Scoring_Model!$C$14,0),IF($G472="Higher is better",IF(M472&gt;=$H472,A_Scoring_Model!$C$14,IF(M472&lt;$I472,0,A_Scoring_Model!$C$15+(A_Scoring_Model!$C$14-A_Scoring_Model!$C$15)*(M472-$I472)/($H472-$I472))),IF(M472&lt;=$H472,A_Scoring_Model!$C$14,IF(M472&gt;$I472,0,A_Scoring_Model!$C$15+(A_Scoring_Model!$C$14-A_Scoring_Model!$C$15)*($I472-M472)/($I472-$H472))))))</f>
        <v/>
      </c>
    </row>
    <row r="473" customFormat="false" ht="15" hidden="false" customHeight="false" outlineLevel="0" collapsed="false">
      <c r="A473" s="51" t="str">
        <f aca="false">C_KPI_Benchmark!A473</f>
        <v>9.b-D4-10</v>
      </c>
      <c r="B473" s="52" t="str">
        <f aca="false">C_KPI_Benchmark!D473</f>
        <v>9.b</v>
      </c>
      <c r="C473" s="51" t="str">
        <f aca="false">C_KPI_Benchmark!E473</f>
        <v>Deployment Verifier Agent</v>
      </c>
      <c r="D473" s="52" t="str">
        <f aca="false">C_KPI_Benchmark!F473</f>
        <v>D4</v>
      </c>
      <c r="E473" s="51" t="str">
        <f aca="false">C_KPI_Benchmark!J473</f>
        <v>Service availability</v>
      </c>
      <c r="F473" s="52" t="str">
        <f aca="false">C_KPI_Benchmark!K473</f>
        <v>%</v>
      </c>
      <c r="G473" s="51" t="str">
        <f aca="false">C_KPI_Benchmark!L473</f>
        <v>Higher is better</v>
      </c>
      <c r="H473" s="53" t="n">
        <f aca="false">C_KPI_Benchmark!N473</f>
        <v>0.995</v>
      </c>
      <c r="I473" s="54" t="n">
        <f aca="false">IF(C_KPI_Benchmark!O473&lt;&gt;"",C_KPI_Benchmark!O473,IF(G473="Higher is better",H473*(1-A_Scoring_Model!$C$16),H473*(1+A_Scoring_Model!$C$16)))</f>
        <v>0.99</v>
      </c>
      <c r="J473" s="55"/>
      <c r="K473" s="55"/>
      <c r="L473" s="55"/>
      <c r="M473" s="55"/>
      <c r="N473" s="56" t="str">
        <f aca="false">IF(J473="","",IF($H473=$I473,IF(OR(AND($G473="Higher is better",J473&gt;=$H473),AND($G473="Lower is better",J473&lt;=$H473)),A_Scoring_Model!$C$14,0),IF($G473="Higher is better",IF(J473&gt;=$H473,A_Scoring_Model!$C$14,IF(J473&lt;$I473,0,A_Scoring_Model!$C$15+(A_Scoring_Model!$C$14-A_Scoring_Model!$C$15)*(J473-$I473)/($H473-$I473))),IF(J473&lt;=$H473,A_Scoring_Model!$C$14,IF(J473&gt;$I473,0,A_Scoring_Model!$C$15+(A_Scoring_Model!$C$14-A_Scoring_Model!$C$15)*($I473-J473)/($I473-$H473))))))</f>
        <v/>
      </c>
      <c r="O473" s="56" t="str">
        <f aca="false">IF(K473="","",IF($H473=$I473,IF(OR(AND($G473="Higher is better",K473&gt;=$H473),AND($G473="Lower is better",K473&lt;=$H473)),A_Scoring_Model!$C$14,0),IF($G473="Higher is better",IF(K473&gt;=$H473,A_Scoring_Model!$C$14,IF(K473&lt;$I473,0,A_Scoring_Model!$C$15+(A_Scoring_Model!$C$14-A_Scoring_Model!$C$15)*(K473-$I473)/($H473-$I473))),IF(K473&lt;=$H473,A_Scoring_Model!$C$14,IF(K473&gt;$I473,0,A_Scoring_Model!$C$15+(A_Scoring_Model!$C$14-A_Scoring_Model!$C$15)*($I473-K473)/($I473-$H473))))))</f>
        <v/>
      </c>
      <c r="P473" s="56" t="str">
        <f aca="false">IF(L473="","",IF($H473=$I473,IF(OR(AND($G473="Higher is better",L473&gt;=$H473),AND($G473="Lower is better",L473&lt;=$H473)),A_Scoring_Model!$C$14,0),IF($G473="Higher is better",IF(L473&gt;=$H473,A_Scoring_Model!$C$14,IF(L473&lt;$I473,0,A_Scoring_Model!$C$15+(A_Scoring_Model!$C$14-A_Scoring_Model!$C$15)*(L473-$I473)/($H473-$I473))),IF(L473&lt;=$H473,A_Scoring_Model!$C$14,IF(L473&gt;$I473,0,A_Scoring_Model!$C$15+(A_Scoring_Model!$C$14-A_Scoring_Model!$C$15)*($I473-L473)/($I473-$H473))))))</f>
        <v/>
      </c>
      <c r="Q473" s="56" t="str">
        <f aca="false">IF(M473="","",IF($H473=$I473,IF(OR(AND($G473="Higher is better",M473&gt;=$H473),AND($G473="Lower is better",M473&lt;=$H473)),A_Scoring_Model!$C$14,0),IF($G473="Higher is better",IF(M473&gt;=$H473,A_Scoring_Model!$C$14,IF(M473&lt;$I473,0,A_Scoring_Model!$C$15+(A_Scoring_Model!$C$14-A_Scoring_Model!$C$15)*(M473-$I473)/($H473-$I473))),IF(M473&lt;=$H473,A_Scoring_Model!$C$14,IF(M473&gt;$I473,0,A_Scoring_Model!$C$15+(A_Scoring_Model!$C$14-A_Scoring_Model!$C$15)*($I473-M473)/($I473-$H473))))))</f>
        <v/>
      </c>
    </row>
    <row r="474" customFormat="false" ht="15" hidden="false" customHeight="false" outlineLevel="0" collapsed="false">
      <c r="A474" s="51" t="str">
        <f aca="false">C_KPI_Benchmark!A474</f>
        <v>9.b-D5-11</v>
      </c>
      <c r="B474" s="52" t="str">
        <f aca="false">C_KPI_Benchmark!D474</f>
        <v>9.b</v>
      </c>
      <c r="C474" s="51" t="str">
        <f aca="false">C_KPI_Benchmark!E474</f>
        <v>Deployment Verifier Agent</v>
      </c>
      <c r="D474" s="52" t="str">
        <f aca="false">C_KPI_Benchmark!F474</f>
        <v>D5</v>
      </c>
      <c r="E474" s="51" t="str">
        <f aca="false">C_KPI_Benchmark!J474</f>
        <v>Post-release deployment issues reduction</v>
      </c>
      <c r="F474" s="52" t="str">
        <f aca="false">C_KPI_Benchmark!K474</f>
        <v>%</v>
      </c>
      <c r="G474" s="51" t="str">
        <f aca="false">C_KPI_Benchmark!L474</f>
        <v>Higher is better</v>
      </c>
      <c r="H474" s="53" t="n">
        <f aca="false">C_KPI_Benchmark!N474</f>
        <v>0.5</v>
      </c>
      <c r="I474" s="54" t="n">
        <f aca="false">IF(C_KPI_Benchmark!O474&lt;&gt;"",C_KPI_Benchmark!O474,IF(G474="Higher is better",H474*(1-A_Scoring_Model!$C$16),H474*(1+A_Scoring_Model!$C$16)))</f>
        <v>0.4</v>
      </c>
      <c r="J474" s="55"/>
      <c r="K474" s="55"/>
      <c r="L474" s="55"/>
      <c r="M474" s="55"/>
      <c r="N474" s="56" t="str">
        <f aca="false">IF(J474="","",IF($H474=$I474,IF(OR(AND($G474="Higher is better",J474&gt;=$H474),AND($G474="Lower is better",J474&lt;=$H474)),A_Scoring_Model!$C$14,0),IF($G474="Higher is better",IF(J474&gt;=$H474,A_Scoring_Model!$C$14,IF(J474&lt;$I474,0,A_Scoring_Model!$C$15+(A_Scoring_Model!$C$14-A_Scoring_Model!$C$15)*(J474-$I474)/($H474-$I474))),IF(J474&lt;=$H474,A_Scoring_Model!$C$14,IF(J474&gt;$I474,0,A_Scoring_Model!$C$15+(A_Scoring_Model!$C$14-A_Scoring_Model!$C$15)*($I474-J474)/($I474-$H474))))))</f>
        <v/>
      </c>
      <c r="O474" s="56" t="str">
        <f aca="false">IF(K474="","",IF($H474=$I474,IF(OR(AND($G474="Higher is better",K474&gt;=$H474),AND($G474="Lower is better",K474&lt;=$H474)),A_Scoring_Model!$C$14,0),IF($G474="Higher is better",IF(K474&gt;=$H474,A_Scoring_Model!$C$14,IF(K474&lt;$I474,0,A_Scoring_Model!$C$15+(A_Scoring_Model!$C$14-A_Scoring_Model!$C$15)*(K474-$I474)/($H474-$I474))),IF(K474&lt;=$H474,A_Scoring_Model!$C$14,IF(K474&gt;$I474,0,A_Scoring_Model!$C$15+(A_Scoring_Model!$C$14-A_Scoring_Model!$C$15)*($I474-K474)/($I474-$H474))))))</f>
        <v/>
      </c>
      <c r="P474" s="56" t="str">
        <f aca="false">IF(L474="","",IF($H474=$I474,IF(OR(AND($G474="Higher is better",L474&gt;=$H474),AND($G474="Lower is better",L474&lt;=$H474)),A_Scoring_Model!$C$14,0),IF($G474="Higher is better",IF(L474&gt;=$H474,A_Scoring_Model!$C$14,IF(L474&lt;$I474,0,A_Scoring_Model!$C$15+(A_Scoring_Model!$C$14-A_Scoring_Model!$C$15)*(L474-$I474)/($H474-$I474))),IF(L474&lt;=$H474,A_Scoring_Model!$C$14,IF(L474&gt;$I474,0,A_Scoring_Model!$C$15+(A_Scoring_Model!$C$14-A_Scoring_Model!$C$15)*($I474-L474)/($I474-$H474))))))</f>
        <v/>
      </c>
      <c r="Q474" s="56" t="str">
        <f aca="false">IF(M474="","",IF($H474=$I474,IF(OR(AND($G474="Higher is better",M474&gt;=$H474),AND($G474="Lower is better",M474&lt;=$H474)),A_Scoring_Model!$C$14,0),IF($G474="Higher is better",IF(M474&gt;=$H474,A_Scoring_Model!$C$14,IF(M474&lt;$I474,0,A_Scoring_Model!$C$15+(A_Scoring_Model!$C$14-A_Scoring_Model!$C$15)*(M474-$I474)/($H474-$I474))),IF(M474&lt;=$H474,A_Scoring_Model!$C$14,IF(M474&gt;$I474,0,A_Scoring_Model!$C$15+(A_Scoring_Model!$C$14-A_Scoring_Model!$C$15)*($I474-M474)/($I474-$H474))))))</f>
        <v/>
      </c>
    </row>
    <row r="475" customFormat="false" ht="15" hidden="false" customHeight="false" outlineLevel="0" collapsed="false">
      <c r="A475" s="51" t="str">
        <f aca="false">C_KPI_Benchmark!A475</f>
        <v>9.b-D6-12</v>
      </c>
      <c r="B475" s="52" t="str">
        <f aca="false">C_KPI_Benchmark!D475</f>
        <v>9.b</v>
      </c>
      <c r="C475" s="51" t="str">
        <f aca="false">C_KPI_Benchmark!E475</f>
        <v>Deployment Verifier Agent</v>
      </c>
      <c r="D475" s="52" t="str">
        <f aca="false">C_KPI_Benchmark!F475</f>
        <v>D6</v>
      </c>
      <c r="E475" s="51" t="str">
        <f aca="false">C_KPI_Benchmark!J475</f>
        <v>Solution code test coverage</v>
      </c>
      <c r="F475" s="52" t="str">
        <f aca="false">C_KPI_Benchmark!K475</f>
        <v>%</v>
      </c>
      <c r="G475" s="51" t="str">
        <f aca="false">C_KPI_Benchmark!L475</f>
        <v>Higher is better</v>
      </c>
      <c r="H475" s="53" t="n">
        <f aca="false">C_KPI_Benchmark!N475</f>
        <v>0.8</v>
      </c>
      <c r="I475" s="54" t="n">
        <f aca="false">IF(C_KPI_Benchmark!O475&lt;&gt;"",C_KPI_Benchmark!O475,IF(G475="Higher is better",H475*(1-A_Scoring_Model!$C$16),H475*(1+A_Scoring_Model!$C$16)))</f>
        <v>0.6</v>
      </c>
      <c r="J475" s="55"/>
      <c r="K475" s="55"/>
      <c r="L475" s="55"/>
      <c r="M475" s="55"/>
      <c r="N475" s="56" t="str">
        <f aca="false">IF(J475="","",IF($H475=$I475,IF(OR(AND($G475="Higher is better",J475&gt;=$H475),AND($G475="Lower is better",J475&lt;=$H475)),A_Scoring_Model!$C$14,0),IF($G475="Higher is better",IF(J475&gt;=$H475,A_Scoring_Model!$C$14,IF(J475&lt;$I475,0,A_Scoring_Model!$C$15+(A_Scoring_Model!$C$14-A_Scoring_Model!$C$15)*(J475-$I475)/($H475-$I475))),IF(J475&lt;=$H475,A_Scoring_Model!$C$14,IF(J475&gt;$I475,0,A_Scoring_Model!$C$15+(A_Scoring_Model!$C$14-A_Scoring_Model!$C$15)*($I475-J475)/($I475-$H475))))))</f>
        <v/>
      </c>
      <c r="O475" s="56" t="str">
        <f aca="false">IF(K475="","",IF($H475=$I475,IF(OR(AND($G475="Higher is better",K475&gt;=$H475),AND($G475="Lower is better",K475&lt;=$H475)),A_Scoring_Model!$C$14,0),IF($G475="Higher is better",IF(K475&gt;=$H475,A_Scoring_Model!$C$14,IF(K475&lt;$I475,0,A_Scoring_Model!$C$15+(A_Scoring_Model!$C$14-A_Scoring_Model!$C$15)*(K475-$I475)/($H475-$I475))),IF(K475&lt;=$H475,A_Scoring_Model!$C$14,IF(K475&gt;$I475,0,A_Scoring_Model!$C$15+(A_Scoring_Model!$C$14-A_Scoring_Model!$C$15)*($I475-K475)/($I475-$H475))))))</f>
        <v/>
      </c>
      <c r="P475" s="56" t="str">
        <f aca="false">IF(L475="","",IF($H475=$I475,IF(OR(AND($G475="Higher is better",L475&gt;=$H475),AND($G475="Lower is better",L475&lt;=$H475)),A_Scoring_Model!$C$14,0),IF($G475="Higher is better",IF(L475&gt;=$H475,A_Scoring_Model!$C$14,IF(L475&lt;$I475,0,A_Scoring_Model!$C$15+(A_Scoring_Model!$C$14-A_Scoring_Model!$C$15)*(L475-$I475)/($H475-$I475))),IF(L475&lt;=$H475,A_Scoring_Model!$C$14,IF(L475&gt;$I475,0,A_Scoring_Model!$C$15+(A_Scoring_Model!$C$14-A_Scoring_Model!$C$15)*($I475-L475)/($I475-$H475))))))</f>
        <v/>
      </c>
      <c r="Q475" s="56" t="str">
        <f aca="false">IF(M475="","",IF($H475=$I475,IF(OR(AND($G475="Higher is better",M475&gt;=$H475),AND($G475="Lower is better",M475&lt;=$H475)),A_Scoring_Model!$C$14,0),IF($G475="Higher is better",IF(M475&gt;=$H475,A_Scoring_Model!$C$14,IF(M475&lt;$I475,0,A_Scoring_Model!$C$15+(A_Scoring_Model!$C$14-A_Scoring_Model!$C$15)*(M475-$I475)/($H475-$I475))),IF(M475&lt;=$H475,A_Scoring_Model!$C$14,IF(M475&gt;$I475,0,A_Scoring_Model!$C$15+(A_Scoring_Model!$C$14-A_Scoring_Model!$C$15)*($I475-M475)/($I475-$H475))))))</f>
        <v/>
      </c>
    </row>
    <row r="476" customFormat="false" ht="15" hidden="false" customHeight="false" outlineLevel="0" collapsed="false">
      <c r="A476" s="51" t="str">
        <f aca="false">C_KPI_Benchmark!A476</f>
        <v>9.b-D6-13</v>
      </c>
      <c r="B476" s="52" t="str">
        <f aca="false">C_KPI_Benchmark!D476</f>
        <v>9.b</v>
      </c>
      <c r="C476" s="51" t="str">
        <f aca="false">C_KPI_Benchmark!E476</f>
        <v>Deployment Verifier Agent</v>
      </c>
      <c r="D476" s="52" t="str">
        <f aca="false">C_KPI_Benchmark!F476</f>
        <v>D6</v>
      </c>
      <c r="E476" s="51" t="str">
        <f aca="false">C_KPI_Benchmark!J476</f>
        <v>Review Shield critical findings</v>
      </c>
      <c r="F476" s="52" t="str">
        <f aca="false">C_KPI_Benchmark!K476</f>
        <v>count</v>
      </c>
      <c r="G476" s="51" t="str">
        <f aca="false">C_KPI_Benchmark!L476</f>
        <v>Lower is better</v>
      </c>
      <c r="H476" s="62" t="n">
        <f aca="false">C_KPI_Benchmark!N476</f>
        <v>0</v>
      </c>
      <c r="I476" s="63" t="n">
        <f aca="false">IF(C_KPI_Benchmark!O476&lt;&gt;"",C_KPI_Benchmark!O476,IF(G476="Higher is better",H476*(1-A_Scoring_Model!$C$16),H476*(1+A_Scoring_Model!$C$16)))</f>
        <v>0</v>
      </c>
      <c r="J476" s="64"/>
      <c r="K476" s="64"/>
      <c r="L476" s="64"/>
      <c r="M476" s="64"/>
      <c r="N476" s="56" t="str">
        <f aca="false">IF(J476="","",IF($H476=$I476,IF(OR(AND($G476="Higher is better",J476&gt;=$H476),AND($G476="Lower is better",J476&lt;=$H476)),A_Scoring_Model!$C$14,0),IF($G476="Higher is better",IF(J476&gt;=$H476,A_Scoring_Model!$C$14,IF(J476&lt;$I476,0,A_Scoring_Model!$C$15+(A_Scoring_Model!$C$14-A_Scoring_Model!$C$15)*(J476-$I476)/($H476-$I476))),IF(J476&lt;=$H476,A_Scoring_Model!$C$14,IF(J476&gt;$I476,0,A_Scoring_Model!$C$15+(A_Scoring_Model!$C$14-A_Scoring_Model!$C$15)*($I476-J476)/($I476-$H476))))))</f>
        <v/>
      </c>
      <c r="O476" s="56" t="str">
        <f aca="false">IF(K476="","",IF($H476=$I476,IF(OR(AND($G476="Higher is better",K476&gt;=$H476),AND($G476="Lower is better",K476&lt;=$H476)),A_Scoring_Model!$C$14,0),IF($G476="Higher is better",IF(K476&gt;=$H476,A_Scoring_Model!$C$14,IF(K476&lt;$I476,0,A_Scoring_Model!$C$15+(A_Scoring_Model!$C$14-A_Scoring_Model!$C$15)*(K476-$I476)/($H476-$I476))),IF(K476&lt;=$H476,A_Scoring_Model!$C$14,IF(K476&gt;$I476,0,A_Scoring_Model!$C$15+(A_Scoring_Model!$C$14-A_Scoring_Model!$C$15)*($I476-K476)/($I476-$H476))))))</f>
        <v/>
      </c>
      <c r="P476" s="56" t="str">
        <f aca="false">IF(L476="","",IF($H476=$I476,IF(OR(AND($G476="Higher is better",L476&gt;=$H476),AND($G476="Lower is better",L476&lt;=$H476)),A_Scoring_Model!$C$14,0),IF($G476="Higher is better",IF(L476&gt;=$H476,A_Scoring_Model!$C$14,IF(L476&lt;$I476,0,A_Scoring_Model!$C$15+(A_Scoring_Model!$C$14-A_Scoring_Model!$C$15)*(L476-$I476)/($H476-$I476))),IF(L476&lt;=$H476,A_Scoring_Model!$C$14,IF(L476&gt;$I476,0,A_Scoring_Model!$C$15+(A_Scoring_Model!$C$14-A_Scoring_Model!$C$15)*($I476-L476)/($I476-$H476))))))</f>
        <v/>
      </c>
      <c r="Q476" s="56" t="str">
        <f aca="false">IF(M476="","",IF($H476=$I476,IF(OR(AND($G476="Higher is better",M476&gt;=$H476),AND($G476="Lower is better",M476&lt;=$H476)),A_Scoring_Model!$C$14,0),IF($G476="Higher is better",IF(M476&gt;=$H476,A_Scoring_Model!$C$14,IF(M476&lt;$I476,0,A_Scoring_Model!$C$15+(A_Scoring_Model!$C$14-A_Scoring_Model!$C$15)*(M476-$I476)/($H476-$I476))),IF(M476&lt;=$H476,A_Scoring_Model!$C$14,IF(M476&gt;$I476,0,A_Scoring_Model!$C$15+(A_Scoring_Model!$C$14-A_Scoring_Model!$C$15)*($I476-M476)/($I476-$H476))))))</f>
        <v/>
      </c>
    </row>
    <row r="477" customFormat="false" ht="15" hidden="false" customHeight="false" outlineLevel="0" collapsed="false">
      <c r="A477" s="51" t="str">
        <f aca="false">C_KPI_Benchmark!A477</f>
        <v>9.b-D6-14</v>
      </c>
      <c r="B477" s="52" t="str">
        <f aca="false">C_KPI_Benchmark!D477</f>
        <v>9.b</v>
      </c>
      <c r="C477" s="51" t="str">
        <f aca="false">C_KPI_Benchmark!E477</f>
        <v>Deployment Verifier Agent</v>
      </c>
      <c r="D477" s="52" t="str">
        <f aca="false">C_KPI_Benchmark!F477</f>
        <v>D6</v>
      </c>
      <c r="E477" s="51" t="str">
        <f aca="false">C_KPI_Benchmark!J477</f>
        <v>SAST high findings and exposed secrets</v>
      </c>
      <c r="F477" s="52" t="str">
        <f aca="false">C_KPI_Benchmark!K477</f>
        <v>count</v>
      </c>
      <c r="G477" s="51" t="str">
        <f aca="false">C_KPI_Benchmark!L477</f>
        <v>Lower is better</v>
      </c>
      <c r="H477" s="62" t="n">
        <f aca="false">C_KPI_Benchmark!N477</f>
        <v>0</v>
      </c>
      <c r="I477" s="63" t="n">
        <f aca="false">IF(C_KPI_Benchmark!O477&lt;&gt;"",C_KPI_Benchmark!O477,IF(G477="Higher is better",H477*(1-A_Scoring_Model!$C$16),H477*(1+A_Scoring_Model!$C$16)))</f>
        <v>0</v>
      </c>
      <c r="J477" s="64"/>
      <c r="K477" s="64"/>
      <c r="L477" s="64"/>
      <c r="M477" s="64"/>
      <c r="N477" s="56" t="str">
        <f aca="false">IF(J477="","",IF($H477=$I477,IF(OR(AND($G477="Higher is better",J477&gt;=$H477),AND($G477="Lower is better",J477&lt;=$H477)),A_Scoring_Model!$C$14,0),IF($G477="Higher is better",IF(J477&gt;=$H477,A_Scoring_Model!$C$14,IF(J477&lt;$I477,0,A_Scoring_Model!$C$15+(A_Scoring_Model!$C$14-A_Scoring_Model!$C$15)*(J477-$I477)/($H477-$I477))),IF(J477&lt;=$H477,A_Scoring_Model!$C$14,IF(J477&gt;$I477,0,A_Scoring_Model!$C$15+(A_Scoring_Model!$C$14-A_Scoring_Model!$C$15)*($I477-J477)/($I477-$H477))))))</f>
        <v/>
      </c>
      <c r="O477" s="56" t="str">
        <f aca="false">IF(K477="","",IF($H477=$I477,IF(OR(AND($G477="Higher is better",K477&gt;=$H477),AND($G477="Lower is better",K477&lt;=$H477)),A_Scoring_Model!$C$14,0),IF($G477="Higher is better",IF(K477&gt;=$H477,A_Scoring_Model!$C$14,IF(K477&lt;$I477,0,A_Scoring_Model!$C$15+(A_Scoring_Model!$C$14-A_Scoring_Model!$C$15)*(K477-$I477)/($H477-$I477))),IF(K477&lt;=$H477,A_Scoring_Model!$C$14,IF(K477&gt;$I477,0,A_Scoring_Model!$C$15+(A_Scoring_Model!$C$14-A_Scoring_Model!$C$15)*($I477-K477)/($I477-$H477))))))</f>
        <v/>
      </c>
      <c r="P477" s="56" t="str">
        <f aca="false">IF(L477="","",IF($H477=$I477,IF(OR(AND($G477="Higher is better",L477&gt;=$H477),AND($G477="Lower is better",L477&lt;=$H477)),A_Scoring_Model!$C$14,0),IF($G477="Higher is better",IF(L477&gt;=$H477,A_Scoring_Model!$C$14,IF(L477&lt;$I477,0,A_Scoring_Model!$C$15+(A_Scoring_Model!$C$14-A_Scoring_Model!$C$15)*(L477-$I477)/($H477-$I477))),IF(L477&lt;=$H477,A_Scoring_Model!$C$14,IF(L477&gt;$I477,0,A_Scoring_Model!$C$15+(A_Scoring_Model!$C$14-A_Scoring_Model!$C$15)*($I477-L477)/($I477-$H477))))))</f>
        <v/>
      </c>
      <c r="Q477" s="56" t="str">
        <f aca="false">IF(M477="","",IF($H477=$I477,IF(OR(AND($G477="Higher is better",M477&gt;=$H477),AND($G477="Lower is better",M477&lt;=$H477)),A_Scoring_Model!$C$14,0),IF($G477="Higher is better",IF(M477&gt;=$H477,A_Scoring_Model!$C$14,IF(M477&lt;$I477,0,A_Scoring_Model!$C$15+(A_Scoring_Model!$C$14-A_Scoring_Model!$C$15)*(M477-$I477)/($H477-$I477))),IF(M477&lt;=$H477,A_Scoring_Model!$C$14,IF(M477&gt;$I477,0,A_Scoring_Model!$C$15+(A_Scoring_Model!$C$14-A_Scoring_Model!$C$15)*($I477-M477)/($I477-$H477))))))</f>
        <v/>
      </c>
    </row>
    <row r="478" customFormat="false" ht="23.85" hidden="false" customHeight="false" outlineLevel="0" collapsed="false">
      <c r="A478" s="51" t="str">
        <f aca="false">C_KPI_Benchmark!A478</f>
        <v>9.b-D6-15</v>
      </c>
      <c r="B478" s="52" t="str">
        <f aca="false">C_KPI_Benchmark!D478</f>
        <v>9.b</v>
      </c>
      <c r="C478" s="51" t="str">
        <f aca="false">C_KPI_Benchmark!E478</f>
        <v>Deployment Verifier Agent</v>
      </c>
      <c r="D478" s="52" t="str">
        <f aca="false">C_KPI_Benchmark!F478</f>
        <v>D6</v>
      </c>
      <c r="E478" s="51" t="str">
        <f aca="false">C_KPI_Benchmark!J478</f>
        <v>Documentation pack complete (README, I/O contract, model card, runbook)</v>
      </c>
      <c r="F478" s="52" t="str">
        <f aca="false">C_KPI_Benchmark!K478</f>
        <v>Yes/No</v>
      </c>
      <c r="G478" s="51" t="str">
        <f aca="false">C_KPI_Benchmark!L478</f>
        <v>Higher is better</v>
      </c>
      <c r="H478" s="60" t="n">
        <f aca="false">C_KPI_Benchmark!N478</f>
        <v>1</v>
      </c>
      <c r="I478" s="56" t="n">
        <f aca="false">IF(C_KPI_Benchmark!O478&lt;&gt;"",C_KPI_Benchmark!O478,IF(G478="Higher is better",H478*(1-A_Scoring_Model!$C$16),H478*(1+A_Scoring_Model!$C$16)))</f>
        <v>0.8</v>
      </c>
      <c r="J478" s="61"/>
      <c r="K478" s="61"/>
      <c r="L478" s="61"/>
      <c r="M478" s="61"/>
      <c r="N478" s="56" t="str">
        <f aca="false">IF(J478="","",IF($H478=$I478,IF(OR(AND($G478="Higher is better",J478&gt;=$H478),AND($G478="Lower is better",J478&lt;=$H478)),A_Scoring_Model!$C$14,0),IF($G478="Higher is better",IF(J478&gt;=$H478,A_Scoring_Model!$C$14,IF(J478&lt;$I478,0,A_Scoring_Model!$C$15+(A_Scoring_Model!$C$14-A_Scoring_Model!$C$15)*(J478-$I478)/($H478-$I478))),IF(J478&lt;=$H478,A_Scoring_Model!$C$14,IF(J478&gt;$I478,0,A_Scoring_Model!$C$15+(A_Scoring_Model!$C$14-A_Scoring_Model!$C$15)*($I478-J478)/($I478-$H478))))))</f>
        <v/>
      </c>
      <c r="O478" s="56" t="str">
        <f aca="false">IF(K478="","",IF($H478=$I478,IF(OR(AND($G478="Higher is better",K478&gt;=$H478),AND($G478="Lower is better",K478&lt;=$H478)),A_Scoring_Model!$C$14,0),IF($G478="Higher is better",IF(K478&gt;=$H478,A_Scoring_Model!$C$14,IF(K478&lt;$I478,0,A_Scoring_Model!$C$15+(A_Scoring_Model!$C$14-A_Scoring_Model!$C$15)*(K478-$I478)/($H478-$I478))),IF(K478&lt;=$H478,A_Scoring_Model!$C$14,IF(K478&gt;$I478,0,A_Scoring_Model!$C$15+(A_Scoring_Model!$C$14-A_Scoring_Model!$C$15)*($I478-K478)/($I478-$H478))))))</f>
        <v/>
      </c>
      <c r="P478" s="56" t="str">
        <f aca="false">IF(L478="","",IF($H478=$I478,IF(OR(AND($G478="Higher is better",L478&gt;=$H478),AND($G478="Lower is better",L478&lt;=$H478)),A_Scoring_Model!$C$14,0),IF($G478="Higher is better",IF(L478&gt;=$H478,A_Scoring_Model!$C$14,IF(L478&lt;$I478,0,A_Scoring_Model!$C$15+(A_Scoring_Model!$C$14-A_Scoring_Model!$C$15)*(L478-$I478)/($H478-$I478))),IF(L478&lt;=$H478,A_Scoring_Model!$C$14,IF(L478&gt;$I478,0,A_Scoring_Model!$C$15+(A_Scoring_Model!$C$14-A_Scoring_Model!$C$15)*($I478-L478)/($I478-$H478))))))</f>
        <v/>
      </c>
      <c r="Q478" s="56" t="str">
        <f aca="false">IF(M478="","",IF($H478=$I478,IF(OR(AND($G478="Higher is better",M478&gt;=$H478),AND($G478="Lower is better",M478&lt;=$H478)),A_Scoring_Model!$C$14,0),IF($G478="Higher is better",IF(M478&gt;=$H478,A_Scoring_Model!$C$14,IF(M478&lt;$I478,0,A_Scoring_Model!$C$15+(A_Scoring_Model!$C$14-A_Scoring_Model!$C$15)*(M478-$I478)/($H478-$I478))),IF(M478&lt;=$H478,A_Scoring_Model!$C$14,IF(M478&gt;$I478,0,A_Scoring_Model!$C$15+(A_Scoring_Model!$C$14-A_Scoring_Model!$C$15)*($I478-M478)/($I478-$H478))))))</f>
        <v/>
      </c>
    </row>
    <row r="479" customFormat="false" ht="15" hidden="false" customHeight="false" outlineLevel="0" collapsed="false">
      <c r="A479" s="51" t="str">
        <f aca="false">C_KPI_Benchmark!A479</f>
        <v>9.b-D6-16</v>
      </c>
      <c r="B479" s="52" t="str">
        <f aca="false">C_KPI_Benchmark!D479</f>
        <v>9.b</v>
      </c>
      <c r="C479" s="51" t="str">
        <f aca="false">C_KPI_Benchmark!E479</f>
        <v>Deployment Verifier Agent</v>
      </c>
      <c r="D479" s="52" t="str">
        <f aca="false">C_KPI_Benchmark!F479</f>
        <v>D6</v>
      </c>
      <c r="E479" s="51" t="str">
        <f aca="false">C_KPI_Benchmark!J479</f>
        <v>Named owner and support SLA</v>
      </c>
      <c r="F479" s="52" t="str">
        <f aca="false">C_KPI_Benchmark!K479</f>
        <v>Yes/No</v>
      </c>
      <c r="G479" s="51" t="str">
        <f aca="false">C_KPI_Benchmark!L479</f>
        <v>Higher is better</v>
      </c>
      <c r="H479" s="60" t="n">
        <f aca="false">C_KPI_Benchmark!N479</f>
        <v>1</v>
      </c>
      <c r="I479" s="56" t="n">
        <f aca="false">IF(C_KPI_Benchmark!O479&lt;&gt;"",C_KPI_Benchmark!O479,IF(G479="Higher is better",H479*(1-A_Scoring_Model!$C$16),H479*(1+A_Scoring_Model!$C$16)))</f>
        <v>0.8</v>
      </c>
      <c r="J479" s="61"/>
      <c r="K479" s="61"/>
      <c r="L479" s="61"/>
      <c r="M479" s="61"/>
      <c r="N479" s="56" t="str">
        <f aca="false">IF(J479="","",IF($H479=$I479,IF(OR(AND($G479="Higher is better",J479&gt;=$H479),AND($G479="Lower is better",J479&lt;=$H479)),A_Scoring_Model!$C$14,0),IF($G479="Higher is better",IF(J479&gt;=$H479,A_Scoring_Model!$C$14,IF(J479&lt;$I479,0,A_Scoring_Model!$C$15+(A_Scoring_Model!$C$14-A_Scoring_Model!$C$15)*(J479-$I479)/($H479-$I479))),IF(J479&lt;=$H479,A_Scoring_Model!$C$14,IF(J479&gt;$I479,0,A_Scoring_Model!$C$15+(A_Scoring_Model!$C$14-A_Scoring_Model!$C$15)*($I479-J479)/($I479-$H479))))))</f>
        <v/>
      </c>
      <c r="O479" s="56" t="str">
        <f aca="false">IF(K479="","",IF($H479=$I479,IF(OR(AND($G479="Higher is better",K479&gt;=$H479),AND($G479="Lower is better",K479&lt;=$H479)),A_Scoring_Model!$C$14,0),IF($G479="Higher is better",IF(K479&gt;=$H479,A_Scoring_Model!$C$14,IF(K479&lt;$I479,0,A_Scoring_Model!$C$15+(A_Scoring_Model!$C$14-A_Scoring_Model!$C$15)*(K479-$I479)/($H479-$I479))),IF(K479&lt;=$H479,A_Scoring_Model!$C$14,IF(K479&gt;$I479,0,A_Scoring_Model!$C$15+(A_Scoring_Model!$C$14-A_Scoring_Model!$C$15)*($I479-K479)/($I479-$H479))))))</f>
        <v/>
      </c>
      <c r="P479" s="56" t="str">
        <f aca="false">IF(L479="","",IF($H479=$I479,IF(OR(AND($G479="Higher is better",L479&gt;=$H479),AND($G479="Lower is better",L479&lt;=$H479)),A_Scoring_Model!$C$14,0),IF($G479="Higher is better",IF(L479&gt;=$H479,A_Scoring_Model!$C$14,IF(L479&lt;$I479,0,A_Scoring_Model!$C$15+(A_Scoring_Model!$C$14-A_Scoring_Model!$C$15)*(L479-$I479)/($H479-$I479))),IF(L479&lt;=$H479,A_Scoring_Model!$C$14,IF(L479&gt;$I479,0,A_Scoring_Model!$C$15+(A_Scoring_Model!$C$14-A_Scoring_Model!$C$15)*($I479-L479)/($I479-$H479))))))</f>
        <v/>
      </c>
      <c r="Q479" s="56" t="str">
        <f aca="false">IF(M479="","",IF($H479=$I479,IF(OR(AND($G479="Higher is better",M479&gt;=$H479),AND($G479="Lower is better",M479&lt;=$H479)),A_Scoring_Model!$C$14,0),IF($G479="Higher is better",IF(M479&gt;=$H479,A_Scoring_Model!$C$14,IF(M479&lt;$I479,0,A_Scoring_Model!$C$15+(A_Scoring_Model!$C$14-A_Scoring_Model!$C$15)*(M479-$I479)/($H479-$I479))),IF(M479&lt;=$H479,A_Scoring_Model!$C$14,IF(M479&gt;$I479,0,A_Scoring_Model!$C$15+(A_Scoring_Model!$C$14-A_Scoring_Model!$C$15)*($I479-M479)/($I479-$H479))))))</f>
        <v/>
      </c>
    </row>
    <row r="480" customFormat="false" ht="15" hidden="false" customHeight="false" outlineLevel="0" collapsed="false">
      <c r="A480" s="51" t="str">
        <f aca="false">C_KPI_Benchmark!A480</f>
        <v>9.c-D1-01</v>
      </c>
      <c r="B480" s="52" t="str">
        <f aca="false">C_KPI_Benchmark!D480</f>
        <v>9.c</v>
      </c>
      <c r="C480" s="51" t="str">
        <f aca="false">C_KPI_Benchmark!E480</f>
        <v>Comms Drafter &amp; Rollback Agent</v>
      </c>
      <c r="D480" s="52" t="str">
        <f aca="false">C_KPI_Benchmark!F480</f>
        <v>D1</v>
      </c>
      <c r="E480" s="51" t="str">
        <f aca="false">C_KPI_Benchmark!J480</f>
        <v>Release-note completeness (fixes + known issues)</v>
      </c>
      <c r="F480" s="52" t="str">
        <f aca="false">C_KPI_Benchmark!K480</f>
        <v>%</v>
      </c>
      <c r="G480" s="51" t="str">
        <f aca="false">C_KPI_Benchmark!L480</f>
        <v>Higher is better</v>
      </c>
      <c r="H480" s="53" t="n">
        <f aca="false">C_KPI_Benchmark!N480</f>
        <v>0.98</v>
      </c>
      <c r="I480" s="54" t="n">
        <f aca="false">IF(C_KPI_Benchmark!O480&lt;&gt;"",C_KPI_Benchmark!O480,IF(G480="Higher is better",H480*(1-A_Scoring_Model!$C$16),H480*(1+A_Scoring_Model!$C$16)))</f>
        <v>0.95</v>
      </c>
      <c r="J480" s="55"/>
      <c r="K480" s="55"/>
      <c r="L480" s="55"/>
      <c r="M480" s="55"/>
      <c r="N480" s="56" t="str">
        <f aca="false">IF(J480="","",IF($H480=$I480,IF(OR(AND($G480="Higher is better",J480&gt;=$H480),AND($G480="Lower is better",J480&lt;=$H480)),A_Scoring_Model!$C$14,0),IF($G480="Higher is better",IF(J480&gt;=$H480,A_Scoring_Model!$C$14,IF(J480&lt;$I480,0,A_Scoring_Model!$C$15+(A_Scoring_Model!$C$14-A_Scoring_Model!$C$15)*(J480-$I480)/($H480-$I480))),IF(J480&lt;=$H480,A_Scoring_Model!$C$14,IF(J480&gt;$I480,0,A_Scoring_Model!$C$15+(A_Scoring_Model!$C$14-A_Scoring_Model!$C$15)*($I480-J480)/($I480-$H480))))))</f>
        <v/>
      </c>
      <c r="O480" s="56" t="str">
        <f aca="false">IF(K480="","",IF($H480=$I480,IF(OR(AND($G480="Higher is better",K480&gt;=$H480),AND($G480="Lower is better",K480&lt;=$H480)),A_Scoring_Model!$C$14,0),IF($G480="Higher is better",IF(K480&gt;=$H480,A_Scoring_Model!$C$14,IF(K480&lt;$I480,0,A_Scoring_Model!$C$15+(A_Scoring_Model!$C$14-A_Scoring_Model!$C$15)*(K480-$I480)/($H480-$I480))),IF(K480&lt;=$H480,A_Scoring_Model!$C$14,IF(K480&gt;$I480,0,A_Scoring_Model!$C$15+(A_Scoring_Model!$C$14-A_Scoring_Model!$C$15)*($I480-K480)/($I480-$H480))))))</f>
        <v/>
      </c>
      <c r="P480" s="56" t="str">
        <f aca="false">IF(L480="","",IF($H480=$I480,IF(OR(AND($G480="Higher is better",L480&gt;=$H480),AND($G480="Lower is better",L480&lt;=$H480)),A_Scoring_Model!$C$14,0),IF($G480="Higher is better",IF(L480&gt;=$H480,A_Scoring_Model!$C$14,IF(L480&lt;$I480,0,A_Scoring_Model!$C$15+(A_Scoring_Model!$C$14-A_Scoring_Model!$C$15)*(L480-$I480)/($H480-$I480))),IF(L480&lt;=$H480,A_Scoring_Model!$C$14,IF(L480&gt;$I480,0,A_Scoring_Model!$C$15+(A_Scoring_Model!$C$14-A_Scoring_Model!$C$15)*($I480-L480)/($I480-$H480))))))</f>
        <v/>
      </c>
      <c r="Q480" s="56" t="str">
        <f aca="false">IF(M480="","",IF($H480=$I480,IF(OR(AND($G480="Higher is better",M480&gt;=$H480),AND($G480="Lower is better",M480&lt;=$H480)),A_Scoring_Model!$C$14,0),IF($G480="Higher is better",IF(M480&gt;=$H480,A_Scoring_Model!$C$14,IF(M480&lt;$I480,0,A_Scoring_Model!$C$15+(A_Scoring_Model!$C$14-A_Scoring_Model!$C$15)*(M480-$I480)/($H480-$I480))),IF(M480&lt;=$H480,A_Scoring_Model!$C$14,IF(M480&gt;$I480,0,A_Scoring_Model!$C$15+(A_Scoring_Model!$C$14-A_Scoring_Model!$C$15)*($I480-M480)/($I480-$H480))))))</f>
        <v/>
      </c>
    </row>
    <row r="481" customFormat="false" ht="15" hidden="false" customHeight="false" outlineLevel="0" collapsed="false">
      <c r="A481" s="51" t="str">
        <f aca="false">C_KPI_Benchmark!A481</f>
        <v>9.c-D1-02</v>
      </c>
      <c r="B481" s="52" t="str">
        <f aca="false">C_KPI_Benchmark!D481</f>
        <v>9.c</v>
      </c>
      <c r="C481" s="51" t="str">
        <f aca="false">C_KPI_Benchmark!E481</f>
        <v>Comms Drafter &amp; Rollback Agent</v>
      </c>
      <c r="D481" s="52" t="str">
        <f aca="false">C_KPI_Benchmark!F481</f>
        <v>D1</v>
      </c>
      <c r="E481" s="51" t="str">
        <f aca="false">C_KPI_Benchmark!J481</f>
        <v>Factual errors</v>
      </c>
      <c r="F481" s="52" t="str">
        <f aca="false">C_KPI_Benchmark!K481</f>
        <v>count</v>
      </c>
      <c r="G481" s="51" t="str">
        <f aca="false">C_KPI_Benchmark!L481</f>
        <v>Lower is better</v>
      </c>
      <c r="H481" s="62" t="n">
        <f aca="false">C_KPI_Benchmark!N481</f>
        <v>0</v>
      </c>
      <c r="I481" s="63" t="n">
        <f aca="false">IF(C_KPI_Benchmark!O481&lt;&gt;"",C_KPI_Benchmark!O481,IF(G481="Higher is better",H481*(1-A_Scoring_Model!$C$16),H481*(1+A_Scoring_Model!$C$16)))</f>
        <v>0</v>
      </c>
      <c r="J481" s="64"/>
      <c r="K481" s="64"/>
      <c r="L481" s="64"/>
      <c r="M481" s="64"/>
      <c r="N481" s="56" t="str">
        <f aca="false">IF(J481="","",IF($H481=$I481,IF(OR(AND($G481="Higher is better",J481&gt;=$H481),AND($G481="Lower is better",J481&lt;=$H481)),A_Scoring_Model!$C$14,0),IF($G481="Higher is better",IF(J481&gt;=$H481,A_Scoring_Model!$C$14,IF(J481&lt;$I481,0,A_Scoring_Model!$C$15+(A_Scoring_Model!$C$14-A_Scoring_Model!$C$15)*(J481-$I481)/($H481-$I481))),IF(J481&lt;=$H481,A_Scoring_Model!$C$14,IF(J481&gt;$I481,0,A_Scoring_Model!$C$15+(A_Scoring_Model!$C$14-A_Scoring_Model!$C$15)*($I481-J481)/($I481-$H481))))))</f>
        <v/>
      </c>
      <c r="O481" s="56" t="str">
        <f aca="false">IF(K481="","",IF($H481=$I481,IF(OR(AND($G481="Higher is better",K481&gt;=$H481),AND($G481="Lower is better",K481&lt;=$H481)),A_Scoring_Model!$C$14,0),IF($G481="Higher is better",IF(K481&gt;=$H481,A_Scoring_Model!$C$14,IF(K481&lt;$I481,0,A_Scoring_Model!$C$15+(A_Scoring_Model!$C$14-A_Scoring_Model!$C$15)*(K481-$I481)/($H481-$I481))),IF(K481&lt;=$H481,A_Scoring_Model!$C$14,IF(K481&gt;$I481,0,A_Scoring_Model!$C$15+(A_Scoring_Model!$C$14-A_Scoring_Model!$C$15)*($I481-K481)/($I481-$H481))))))</f>
        <v/>
      </c>
      <c r="P481" s="56" t="str">
        <f aca="false">IF(L481="","",IF($H481=$I481,IF(OR(AND($G481="Higher is better",L481&gt;=$H481),AND($G481="Lower is better",L481&lt;=$H481)),A_Scoring_Model!$C$14,0),IF($G481="Higher is better",IF(L481&gt;=$H481,A_Scoring_Model!$C$14,IF(L481&lt;$I481,0,A_Scoring_Model!$C$15+(A_Scoring_Model!$C$14-A_Scoring_Model!$C$15)*(L481-$I481)/($H481-$I481))),IF(L481&lt;=$H481,A_Scoring_Model!$C$14,IF(L481&gt;$I481,0,A_Scoring_Model!$C$15+(A_Scoring_Model!$C$14-A_Scoring_Model!$C$15)*($I481-L481)/($I481-$H481))))))</f>
        <v/>
      </c>
      <c r="Q481" s="56" t="str">
        <f aca="false">IF(M481="","",IF($H481=$I481,IF(OR(AND($G481="Higher is better",M481&gt;=$H481),AND($G481="Lower is better",M481&lt;=$H481)),A_Scoring_Model!$C$14,0),IF($G481="Higher is better",IF(M481&gt;=$H481,A_Scoring_Model!$C$14,IF(M481&lt;$I481,0,A_Scoring_Model!$C$15+(A_Scoring_Model!$C$14-A_Scoring_Model!$C$15)*(M481-$I481)/($H481-$I481))),IF(M481&lt;=$H481,A_Scoring_Model!$C$14,IF(M481&gt;$I481,0,A_Scoring_Model!$C$15+(A_Scoring_Model!$C$14-A_Scoring_Model!$C$15)*($I481-M481)/($I481-$H481))))))</f>
        <v/>
      </c>
    </row>
    <row r="482" customFormat="false" ht="15" hidden="false" customHeight="false" outlineLevel="0" collapsed="false">
      <c r="A482" s="51" t="str">
        <f aca="false">C_KPI_Benchmark!A482</f>
        <v>9.c-D1-03</v>
      </c>
      <c r="B482" s="52" t="str">
        <f aca="false">C_KPI_Benchmark!D482</f>
        <v>9.c</v>
      </c>
      <c r="C482" s="51" t="str">
        <f aca="false">C_KPI_Benchmark!E482</f>
        <v>Comms Drafter &amp; Rollback Agent</v>
      </c>
      <c r="D482" s="52" t="str">
        <f aca="false">C_KPI_Benchmark!F482</f>
        <v>D1</v>
      </c>
      <c r="E482" s="51" t="str">
        <f aca="false">C_KPI_Benchmark!J482</f>
        <v>Rollback dry-run success</v>
      </c>
      <c r="F482" s="52" t="str">
        <f aca="false">C_KPI_Benchmark!K482</f>
        <v>%</v>
      </c>
      <c r="G482" s="51" t="str">
        <f aca="false">C_KPI_Benchmark!L482</f>
        <v>Higher is better</v>
      </c>
      <c r="H482" s="53" t="n">
        <f aca="false">C_KPI_Benchmark!N482</f>
        <v>0.95</v>
      </c>
      <c r="I482" s="54" t="n">
        <f aca="false">IF(C_KPI_Benchmark!O482&lt;&gt;"",C_KPI_Benchmark!O482,IF(G482="Higher is better",H482*(1-A_Scoring_Model!$C$16),H482*(1+A_Scoring_Model!$C$16)))</f>
        <v>0.9</v>
      </c>
      <c r="J482" s="55"/>
      <c r="K482" s="55"/>
      <c r="L482" s="55"/>
      <c r="M482" s="55"/>
      <c r="N482" s="56" t="str">
        <f aca="false">IF(J482="","",IF($H482=$I482,IF(OR(AND($G482="Higher is better",J482&gt;=$H482),AND($G482="Lower is better",J482&lt;=$H482)),A_Scoring_Model!$C$14,0),IF($G482="Higher is better",IF(J482&gt;=$H482,A_Scoring_Model!$C$14,IF(J482&lt;$I482,0,A_Scoring_Model!$C$15+(A_Scoring_Model!$C$14-A_Scoring_Model!$C$15)*(J482-$I482)/($H482-$I482))),IF(J482&lt;=$H482,A_Scoring_Model!$C$14,IF(J482&gt;$I482,0,A_Scoring_Model!$C$15+(A_Scoring_Model!$C$14-A_Scoring_Model!$C$15)*($I482-J482)/($I482-$H482))))))</f>
        <v/>
      </c>
      <c r="O482" s="56" t="str">
        <f aca="false">IF(K482="","",IF($H482=$I482,IF(OR(AND($G482="Higher is better",K482&gt;=$H482),AND($G482="Lower is better",K482&lt;=$H482)),A_Scoring_Model!$C$14,0),IF($G482="Higher is better",IF(K482&gt;=$H482,A_Scoring_Model!$C$14,IF(K482&lt;$I482,0,A_Scoring_Model!$C$15+(A_Scoring_Model!$C$14-A_Scoring_Model!$C$15)*(K482-$I482)/($H482-$I482))),IF(K482&lt;=$H482,A_Scoring_Model!$C$14,IF(K482&gt;$I482,0,A_Scoring_Model!$C$15+(A_Scoring_Model!$C$14-A_Scoring_Model!$C$15)*($I482-K482)/($I482-$H482))))))</f>
        <v/>
      </c>
      <c r="P482" s="56" t="str">
        <f aca="false">IF(L482="","",IF($H482=$I482,IF(OR(AND($G482="Higher is better",L482&gt;=$H482),AND($G482="Lower is better",L482&lt;=$H482)),A_Scoring_Model!$C$14,0),IF($G482="Higher is better",IF(L482&gt;=$H482,A_Scoring_Model!$C$14,IF(L482&lt;$I482,0,A_Scoring_Model!$C$15+(A_Scoring_Model!$C$14-A_Scoring_Model!$C$15)*(L482-$I482)/($H482-$I482))),IF(L482&lt;=$H482,A_Scoring_Model!$C$14,IF(L482&gt;$I482,0,A_Scoring_Model!$C$15+(A_Scoring_Model!$C$14-A_Scoring_Model!$C$15)*($I482-L482)/($I482-$H482))))))</f>
        <v/>
      </c>
      <c r="Q482" s="56" t="str">
        <f aca="false">IF(M482="","",IF($H482=$I482,IF(OR(AND($G482="Higher is better",M482&gt;=$H482),AND($G482="Lower is better",M482&lt;=$H482)),A_Scoring_Model!$C$14,0),IF($G482="Higher is better",IF(M482&gt;=$H482,A_Scoring_Model!$C$14,IF(M482&lt;$I482,0,A_Scoring_Model!$C$15+(A_Scoring_Model!$C$14-A_Scoring_Model!$C$15)*(M482-$I482)/($H482-$I482))),IF(M482&lt;=$H482,A_Scoring_Model!$C$14,IF(M482&gt;$I482,0,A_Scoring_Model!$C$15+(A_Scoring_Model!$C$14-A_Scoring_Model!$C$15)*($I482-M482)/($I482-$H482))))))</f>
        <v/>
      </c>
    </row>
    <row r="483" customFormat="false" ht="15" hidden="false" customHeight="false" outlineLevel="0" collapsed="false">
      <c r="A483" s="51" t="str">
        <f aca="false">C_KPI_Benchmark!A483</f>
        <v>9.c-D2-04</v>
      </c>
      <c r="B483" s="52" t="str">
        <f aca="false">C_KPI_Benchmark!D483</f>
        <v>9.c</v>
      </c>
      <c r="C483" s="51" t="str">
        <f aca="false">C_KPI_Benchmark!E483</f>
        <v>Comms Drafter &amp; Rollback Agent</v>
      </c>
      <c r="D483" s="52" t="str">
        <f aca="false">C_KPI_Benchmark!F483</f>
        <v>D2</v>
      </c>
      <c r="E483" s="51" t="str">
        <f aca="false">C_KPI_Benchmark!J483</f>
        <v>Customer-specific templates and tone in config</v>
      </c>
      <c r="F483" s="52" t="str">
        <f aca="false">C_KPI_Benchmark!K483</f>
        <v>Yes/No</v>
      </c>
      <c r="G483" s="51" t="str">
        <f aca="false">C_KPI_Benchmark!L483</f>
        <v>Higher is better</v>
      </c>
      <c r="H483" s="60" t="n">
        <f aca="false">C_KPI_Benchmark!N483</f>
        <v>1</v>
      </c>
      <c r="I483" s="56" t="n">
        <f aca="false">IF(C_KPI_Benchmark!O483&lt;&gt;"",C_KPI_Benchmark!O483,IF(G483="Higher is better",H483*(1-A_Scoring_Model!$C$16),H483*(1+A_Scoring_Model!$C$16)))</f>
        <v>0.8</v>
      </c>
      <c r="J483" s="61"/>
      <c r="K483" s="61"/>
      <c r="L483" s="61"/>
      <c r="M483" s="61"/>
      <c r="N483" s="56" t="str">
        <f aca="false">IF(J483="","",IF($H483=$I483,IF(OR(AND($G483="Higher is better",J483&gt;=$H483),AND($G483="Lower is better",J483&lt;=$H483)),A_Scoring_Model!$C$14,0),IF($G483="Higher is better",IF(J483&gt;=$H483,A_Scoring_Model!$C$14,IF(J483&lt;$I483,0,A_Scoring_Model!$C$15+(A_Scoring_Model!$C$14-A_Scoring_Model!$C$15)*(J483-$I483)/($H483-$I483))),IF(J483&lt;=$H483,A_Scoring_Model!$C$14,IF(J483&gt;$I483,0,A_Scoring_Model!$C$15+(A_Scoring_Model!$C$14-A_Scoring_Model!$C$15)*($I483-J483)/($I483-$H483))))))</f>
        <v/>
      </c>
      <c r="O483" s="56" t="str">
        <f aca="false">IF(K483="","",IF($H483=$I483,IF(OR(AND($G483="Higher is better",K483&gt;=$H483),AND($G483="Lower is better",K483&lt;=$H483)),A_Scoring_Model!$C$14,0),IF($G483="Higher is better",IF(K483&gt;=$H483,A_Scoring_Model!$C$14,IF(K483&lt;$I483,0,A_Scoring_Model!$C$15+(A_Scoring_Model!$C$14-A_Scoring_Model!$C$15)*(K483-$I483)/($H483-$I483))),IF(K483&lt;=$H483,A_Scoring_Model!$C$14,IF(K483&gt;$I483,0,A_Scoring_Model!$C$15+(A_Scoring_Model!$C$14-A_Scoring_Model!$C$15)*($I483-K483)/($I483-$H483))))))</f>
        <v/>
      </c>
      <c r="P483" s="56" t="str">
        <f aca="false">IF(L483="","",IF($H483=$I483,IF(OR(AND($G483="Higher is better",L483&gt;=$H483),AND($G483="Lower is better",L483&lt;=$H483)),A_Scoring_Model!$C$14,0),IF($G483="Higher is better",IF(L483&gt;=$H483,A_Scoring_Model!$C$14,IF(L483&lt;$I483,0,A_Scoring_Model!$C$15+(A_Scoring_Model!$C$14-A_Scoring_Model!$C$15)*(L483-$I483)/($H483-$I483))),IF(L483&lt;=$H483,A_Scoring_Model!$C$14,IF(L483&gt;$I483,0,A_Scoring_Model!$C$15+(A_Scoring_Model!$C$14-A_Scoring_Model!$C$15)*($I483-L483)/($I483-$H483))))))</f>
        <v/>
      </c>
      <c r="Q483" s="56" t="str">
        <f aca="false">IF(M483="","",IF($H483=$I483,IF(OR(AND($G483="Higher is better",M483&gt;=$H483),AND($G483="Lower is better",M483&lt;=$H483)),A_Scoring_Model!$C$14,0),IF($G483="Higher is better",IF(M483&gt;=$H483,A_Scoring_Model!$C$14,IF(M483&lt;$I483,0,A_Scoring_Model!$C$15+(A_Scoring_Model!$C$14-A_Scoring_Model!$C$15)*(M483-$I483)/($H483-$I483))),IF(M483&lt;=$H483,A_Scoring_Model!$C$14,IF(M483&gt;$I483,0,A_Scoring_Model!$C$15+(A_Scoring_Model!$C$14-A_Scoring_Model!$C$15)*($I483-M483)/($I483-$H483))))))</f>
        <v/>
      </c>
    </row>
    <row r="484" customFormat="false" ht="23.85" hidden="false" customHeight="false" outlineLevel="0" collapsed="false">
      <c r="A484" s="51" t="str">
        <f aca="false">C_KPI_Benchmark!A484</f>
        <v>9.c-D2-05</v>
      </c>
      <c r="B484" s="52" t="str">
        <f aca="false">C_KPI_Benchmark!D484</f>
        <v>9.c</v>
      </c>
      <c r="C484" s="51" t="str">
        <f aca="false">C_KPI_Benchmark!E484</f>
        <v>Comms Drafter &amp; Rollback Agent</v>
      </c>
      <c r="D484" s="52" t="str">
        <f aca="false">C_KPI_Benchmark!F484</f>
        <v>D2</v>
      </c>
      <c r="E484" s="51" t="str">
        <f aca="false">C_KPI_Benchmark!J484</f>
        <v>Product lines supported with ≤10% efficacy drop (NVMe SSD, UFS, eMMC/uSD, PSSD)</v>
      </c>
      <c r="F484" s="52" t="str">
        <f aca="false">C_KPI_Benchmark!K484</f>
        <v>count</v>
      </c>
      <c r="G484" s="51" t="str">
        <f aca="false">C_KPI_Benchmark!L484</f>
        <v>Higher is better</v>
      </c>
      <c r="H484" s="62" t="n">
        <f aca="false">C_KPI_Benchmark!N484</f>
        <v>3</v>
      </c>
      <c r="I484" s="63" t="n">
        <f aca="false">IF(C_KPI_Benchmark!O484&lt;&gt;"",C_KPI_Benchmark!O484,IF(G484="Higher is better",H484*(1-A_Scoring_Model!$C$16),H484*(1+A_Scoring_Model!$C$16)))</f>
        <v>2</v>
      </c>
      <c r="J484" s="64"/>
      <c r="K484" s="64"/>
      <c r="L484" s="64"/>
      <c r="M484" s="64"/>
      <c r="N484" s="56" t="str">
        <f aca="false">IF(J484="","",IF($H484=$I484,IF(OR(AND($G484="Higher is better",J484&gt;=$H484),AND($G484="Lower is better",J484&lt;=$H484)),A_Scoring_Model!$C$14,0),IF($G484="Higher is better",IF(J484&gt;=$H484,A_Scoring_Model!$C$14,IF(J484&lt;$I484,0,A_Scoring_Model!$C$15+(A_Scoring_Model!$C$14-A_Scoring_Model!$C$15)*(J484-$I484)/($H484-$I484))),IF(J484&lt;=$H484,A_Scoring_Model!$C$14,IF(J484&gt;$I484,0,A_Scoring_Model!$C$15+(A_Scoring_Model!$C$14-A_Scoring_Model!$C$15)*($I484-J484)/($I484-$H484))))))</f>
        <v/>
      </c>
      <c r="O484" s="56" t="str">
        <f aca="false">IF(K484="","",IF($H484=$I484,IF(OR(AND($G484="Higher is better",K484&gt;=$H484),AND($G484="Lower is better",K484&lt;=$H484)),A_Scoring_Model!$C$14,0),IF($G484="Higher is better",IF(K484&gt;=$H484,A_Scoring_Model!$C$14,IF(K484&lt;$I484,0,A_Scoring_Model!$C$15+(A_Scoring_Model!$C$14-A_Scoring_Model!$C$15)*(K484-$I484)/($H484-$I484))),IF(K484&lt;=$H484,A_Scoring_Model!$C$14,IF(K484&gt;$I484,0,A_Scoring_Model!$C$15+(A_Scoring_Model!$C$14-A_Scoring_Model!$C$15)*($I484-K484)/($I484-$H484))))))</f>
        <v/>
      </c>
      <c r="P484" s="56" t="str">
        <f aca="false">IF(L484="","",IF($H484=$I484,IF(OR(AND($G484="Higher is better",L484&gt;=$H484),AND($G484="Lower is better",L484&lt;=$H484)),A_Scoring_Model!$C$14,0),IF($G484="Higher is better",IF(L484&gt;=$H484,A_Scoring_Model!$C$14,IF(L484&lt;$I484,0,A_Scoring_Model!$C$15+(A_Scoring_Model!$C$14-A_Scoring_Model!$C$15)*(L484-$I484)/($H484-$I484))),IF(L484&lt;=$H484,A_Scoring_Model!$C$14,IF(L484&gt;$I484,0,A_Scoring_Model!$C$15+(A_Scoring_Model!$C$14-A_Scoring_Model!$C$15)*($I484-L484)/($I484-$H484))))))</f>
        <v/>
      </c>
      <c r="Q484" s="56" t="str">
        <f aca="false">IF(M484="","",IF($H484=$I484,IF(OR(AND($G484="Higher is better",M484&gt;=$H484),AND($G484="Lower is better",M484&lt;=$H484)),A_Scoring_Model!$C$14,0),IF($G484="Higher is better",IF(M484&gt;=$H484,A_Scoring_Model!$C$14,IF(M484&lt;$I484,0,A_Scoring_Model!$C$15+(A_Scoring_Model!$C$14-A_Scoring_Model!$C$15)*(M484-$I484)/($H484-$I484))),IF(M484&lt;=$H484,A_Scoring_Model!$C$14,IF(M484&gt;$I484,0,A_Scoring_Model!$C$15+(A_Scoring_Model!$C$14-A_Scoring_Model!$C$15)*($I484-M484)/($I484-$H484))))))</f>
        <v/>
      </c>
    </row>
    <row r="485" customFormat="false" ht="15" hidden="false" customHeight="false" outlineLevel="0" collapsed="false">
      <c r="A485" s="51" t="str">
        <f aca="false">C_KPI_Benchmark!A485</f>
        <v>9.c-D2-06</v>
      </c>
      <c r="B485" s="52" t="str">
        <f aca="false">C_KPI_Benchmark!D485</f>
        <v>9.c</v>
      </c>
      <c r="C485" s="51" t="str">
        <f aca="false">C_KPI_Benchmark!E485</f>
        <v>Comms Drafter &amp; Rollback Agent</v>
      </c>
      <c r="D485" s="52" t="str">
        <f aca="false">C_KPI_Benchmark!F485</f>
        <v>D2</v>
      </c>
      <c r="E485" s="51" t="str">
        <f aca="false">C_KPI_Benchmark!J485</f>
        <v>Uses Zion shared services instead of re-implementing them</v>
      </c>
      <c r="F485" s="52" t="str">
        <f aca="false">C_KPI_Benchmark!K485</f>
        <v>Yes/No</v>
      </c>
      <c r="G485" s="51" t="str">
        <f aca="false">C_KPI_Benchmark!L485</f>
        <v>Higher is better</v>
      </c>
      <c r="H485" s="60" t="n">
        <f aca="false">C_KPI_Benchmark!N485</f>
        <v>1</v>
      </c>
      <c r="I485" s="56" t="n">
        <f aca="false">IF(C_KPI_Benchmark!O485&lt;&gt;"",C_KPI_Benchmark!O485,IF(G485="Higher is better",H485*(1-A_Scoring_Model!$C$16),H485*(1+A_Scoring_Model!$C$16)))</f>
        <v>0.8</v>
      </c>
      <c r="J485" s="61"/>
      <c r="K485" s="61"/>
      <c r="L485" s="61"/>
      <c r="M485" s="61"/>
      <c r="N485" s="56" t="str">
        <f aca="false">IF(J485="","",IF($H485=$I485,IF(OR(AND($G485="Higher is better",J485&gt;=$H485),AND($G485="Lower is better",J485&lt;=$H485)),A_Scoring_Model!$C$14,0),IF($G485="Higher is better",IF(J485&gt;=$H485,A_Scoring_Model!$C$14,IF(J485&lt;$I485,0,A_Scoring_Model!$C$15+(A_Scoring_Model!$C$14-A_Scoring_Model!$C$15)*(J485-$I485)/($H485-$I485))),IF(J485&lt;=$H485,A_Scoring_Model!$C$14,IF(J485&gt;$I485,0,A_Scoring_Model!$C$15+(A_Scoring_Model!$C$14-A_Scoring_Model!$C$15)*($I485-J485)/($I485-$H485))))))</f>
        <v/>
      </c>
      <c r="O485" s="56" t="str">
        <f aca="false">IF(K485="","",IF($H485=$I485,IF(OR(AND($G485="Higher is better",K485&gt;=$H485),AND($G485="Lower is better",K485&lt;=$H485)),A_Scoring_Model!$C$14,0),IF($G485="Higher is better",IF(K485&gt;=$H485,A_Scoring_Model!$C$14,IF(K485&lt;$I485,0,A_Scoring_Model!$C$15+(A_Scoring_Model!$C$14-A_Scoring_Model!$C$15)*(K485-$I485)/($H485-$I485))),IF(K485&lt;=$H485,A_Scoring_Model!$C$14,IF(K485&gt;$I485,0,A_Scoring_Model!$C$15+(A_Scoring_Model!$C$14-A_Scoring_Model!$C$15)*($I485-K485)/($I485-$H485))))))</f>
        <v/>
      </c>
      <c r="P485" s="56" t="str">
        <f aca="false">IF(L485="","",IF($H485=$I485,IF(OR(AND($G485="Higher is better",L485&gt;=$H485),AND($G485="Lower is better",L485&lt;=$H485)),A_Scoring_Model!$C$14,0),IF($G485="Higher is better",IF(L485&gt;=$H485,A_Scoring_Model!$C$14,IF(L485&lt;$I485,0,A_Scoring_Model!$C$15+(A_Scoring_Model!$C$14-A_Scoring_Model!$C$15)*(L485-$I485)/($H485-$I485))),IF(L485&lt;=$H485,A_Scoring_Model!$C$14,IF(L485&gt;$I485,0,A_Scoring_Model!$C$15+(A_Scoring_Model!$C$14-A_Scoring_Model!$C$15)*($I485-L485)/($I485-$H485))))))</f>
        <v/>
      </c>
      <c r="Q485" s="56" t="str">
        <f aca="false">IF(M485="","",IF($H485=$I485,IF(OR(AND($G485="Higher is better",M485&gt;=$H485),AND($G485="Lower is better",M485&lt;=$H485)),A_Scoring_Model!$C$14,0),IF($G485="Higher is better",IF(M485&gt;=$H485,A_Scoring_Model!$C$14,IF(M485&lt;$I485,0,A_Scoring_Model!$C$15+(A_Scoring_Model!$C$14-A_Scoring_Model!$C$15)*(M485-$I485)/($H485-$I485))),IF(M485&lt;=$H485,A_Scoring_Model!$C$14,IF(M485&gt;$I485,0,A_Scoring_Model!$C$15+(A_Scoring_Model!$C$14-A_Scoring_Model!$C$15)*($I485-M485)/($I485-$H485))))))</f>
        <v/>
      </c>
    </row>
    <row r="486" customFormat="false" ht="15" hidden="false" customHeight="false" outlineLevel="0" collapsed="false">
      <c r="A486" s="51" t="str">
        <f aca="false">C_KPI_Benchmark!A486</f>
        <v>9.c-D3-07</v>
      </c>
      <c r="B486" s="52" t="str">
        <f aca="false">C_KPI_Benchmark!D486</f>
        <v>9.c</v>
      </c>
      <c r="C486" s="51" t="str">
        <f aca="false">C_KPI_Benchmark!E486</f>
        <v>Comms Drafter &amp; Rollback Agent</v>
      </c>
      <c r="D486" s="52" t="str">
        <f aca="false">C_KPI_Benchmark!F486</f>
        <v>D3</v>
      </c>
      <c r="E486" s="51" t="str">
        <f aca="false">C_KPI_Benchmark!J486</f>
        <v>Draft time per release</v>
      </c>
      <c r="F486" s="52" t="str">
        <f aca="false">C_KPI_Benchmark!K486</f>
        <v>min</v>
      </c>
      <c r="G486" s="51" t="str">
        <f aca="false">C_KPI_Benchmark!L486</f>
        <v>Lower is better</v>
      </c>
      <c r="H486" s="62" t="n">
        <f aca="false">C_KPI_Benchmark!N486</f>
        <v>5</v>
      </c>
      <c r="I486" s="63" t="n">
        <f aca="false">IF(C_KPI_Benchmark!O486&lt;&gt;"",C_KPI_Benchmark!O486,IF(G486="Higher is better",H486*(1-A_Scoring_Model!$C$16),H486*(1+A_Scoring_Model!$C$16)))</f>
        <v>6</v>
      </c>
      <c r="J486" s="64"/>
      <c r="K486" s="64"/>
      <c r="L486" s="64"/>
      <c r="M486" s="64"/>
      <c r="N486" s="56" t="str">
        <f aca="false">IF(J486="","",IF($H486=$I486,IF(OR(AND($G486="Higher is better",J486&gt;=$H486),AND($G486="Lower is better",J486&lt;=$H486)),A_Scoring_Model!$C$14,0),IF($G486="Higher is better",IF(J486&gt;=$H486,A_Scoring_Model!$C$14,IF(J486&lt;$I486,0,A_Scoring_Model!$C$15+(A_Scoring_Model!$C$14-A_Scoring_Model!$C$15)*(J486-$I486)/($H486-$I486))),IF(J486&lt;=$H486,A_Scoring_Model!$C$14,IF(J486&gt;$I486,0,A_Scoring_Model!$C$15+(A_Scoring_Model!$C$14-A_Scoring_Model!$C$15)*($I486-J486)/($I486-$H486))))))</f>
        <v/>
      </c>
      <c r="O486" s="56" t="str">
        <f aca="false">IF(K486="","",IF($H486=$I486,IF(OR(AND($G486="Higher is better",K486&gt;=$H486),AND($G486="Lower is better",K486&lt;=$H486)),A_Scoring_Model!$C$14,0),IF($G486="Higher is better",IF(K486&gt;=$H486,A_Scoring_Model!$C$14,IF(K486&lt;$I486,0,A_Scoring_Model!$C$15+(A_Scoring_Model!$C$14-A_Scoring_Model!$C$15)*(K486-$I486)/($H486-$I486))),IF(K486&lt;=$H486,A_Scoring_Model!$C$14,IF(K486&gt;$I486,0,A_Scoring_Model!$C$15+(A_Scoring_Model!$C$14-A_Scoring_Model!$C$15)*($I486-K486)/($I486-$H486))))))</f>
        <v/>
      </c>
      <c r="P486" s="56" t="str">
        <f aca="false">IF(L486="","",IF($H486=$I486,IF(OR(AND($G486="Higher is better",L486&gt;=$H486),AND($G486="Lower is better",L486&lt;=$H486)),A_Scoring_Model!$C$14,0),IF($G486="Higher is better",IF(L486&gt;=$H486,A_Scoring_Model!$C$14,IF(L486&lt;$I486,0,A_Scoring_Model!$C$15+(A_Scoring_Model!$C$14-A_Scoring_Model!$C$15)*(L486-$I486)/($H486-$I486))),IF(L486&lt;=$H486,A_Scoring_Model!$C$14,IF(L486&gt;$I486,0,A_Scoring_Model!$C$15+(A_Scoring_Model!$C$14-A_Scoring_Model!$C$15)*($I486-L486)/($I486-$H486))))))</f>
        <v/>
      </c>
      <c r="Q486" s="56" t="str">
        <f aca="false">IF(M486="","",IF($H486=$I486,IF(OR(AND($G486="Higher is better",M486&gt;=$H486),AND($G486="Lower is better",M486&lt;=$H486)),A_Scoring_Model!$C$14,0),IF($G486="Higher is better",IF(M486&gt;=$H486,A_Scoring_Model!$C$14,IF(M486&lt;$I486,0,A_Scoring_Model!$C$15+(A_Scoring_Model!$C$14-A_Scoring_Model!$C$15)*(M486-$I486)/($H486-$I486))),IF(M486&lt;=$H486,A_Scoring_Model!$C$14,IF(M486&gt;$I486,0,A_Scoring_Model!$C$15+(A_Scoring_Model!$C$14-A_Scoring_Model!$C$15)*($I486-M486)/($I486-$H486))))))</f>
        <v/>
      </c>
    </row>
    <row r="487" customFormat="false" ht="15" hidden="false" customHeight="false" outlineLevel="0" collapsed="false">
      <c r="A487" s="51" t="str">
        <f aca="false">C_KPI_Benchmark!A487</f>
        <v>9.c-D3-08</v>
      </c>
      <c r="B487" s="52" t="str">
        <f aca="false">C_KPI_Benchmark!D487</f>
        <v>9.c</v>
      </c>
      <c r="C487" s="51" t="str">
        <f aca="false">C_KPI_Benchmark!E487</f>
        <v>Comms Drafter &amp; Rollback Agent</v>
      </c>
      <c r="D487" s="52" t="str">
        <f aca="false">C_KPI_Benchmark!F487</f>
        <v>D3</v>
      </c>
      <c r="E487" s="51" t="str">
        <f aca="false">C_KPI_Benchmark!J487</f>
        <v>Latency degradation at 10× load</v>
      </c>
      <c r="F487" s="52" t="str">
        <f aca="false">C_KPI_Benchmark!K487</f>
        <v>%</v>
      </c>
      <c r="G487" s="51" t="str">
        <f aca="false">C_KPI_Benchmark!L487</f>
        <v>Lower is better</v>
      </c>
      <c r="H487" s="53" t="n">
        <f aca="false">C_KPI_Benchmark!N487</f>
        <v>0.2</v>
      </c>
      <c r="I487" s="54" t="n">
        <f aca="false">IF(C_KPI_Benchmark!O487&lt;&gt;"",C_KPI_Benchmark!O487,IF(G487="Higher is better",H487*(1-A_Scoring_Model!$C$16),H487*(1+A_Scoring_Model!$C$16)))</f>
        <v>0.4</v>
      </c>
      <c r="J487" s="55"/>
      <c r="K487" s="55"/>
      <c r="L487" s="55"/>
      <c r="M487" s="55"/>
      <c r="N487" s="56" t="str">
        <f aca="false">IF(J487="","",IF($H487=$I487,IF(OR(AND($G487="Higher is better",J487&gt;=$H487),AND($G487="Lower is better",J487&lt;=$H487)),A_Scoring_Model!$C$14,0),IF($G487="Higher is better",IF(J487&gt;=$H487,A_Scoring_Model!$C$14,IF(J487&lt;$I487,0,A_Scoring_Model!$C$15+(A_Scoring_Model!$C$14-A_Scoring_Model!$C$15)*(J487-$I487)/($H487-$I487))),IF(J487&lt;=$H487,A_Scoring_Model!$C$14,IF(J487&gt;$I487,0,A_Scoring_Model!$C$15+(A_Scoring_Model!$C$14-A_Scoring_Model!$C$15)*($I487-J487)/($I487-$H487))))))</f>
        <v/>
      </c>
      <c r="O487" s="56" t="str">
        <f aca="false">IF(K487="","",IF($H487=$I487,IF(OR(AND($G487="Higher is better",K487&gt;=$H487),AND($G487="Lower is better",K487&lt;=$H487)),A_Scoring_Model!$C$14,0),IF($G487="Higher is better",IF(K487&gt;=$H487,A_Scoring_Model!$C$14,IF(K487&lt;$I487,0,A_Scoring_Model!$C$15+(A_Scoring_Model!$C$14-A_Scoring_Model!$C$15)*(K487-$I487)/($H487-$I487))),IF(K487&lt;=$H487,A_Scoring_Model!$C$14,IF(K487&gt;$I487,0,A_Scoring_Model!$C$15+(A_Scoring_Model!$C$14-A_Scoring_Model!$C$15)*($I487-K487)/($I487-$H487))))))</f>
        <v/>
      </c>
      <c r="P487" s="56" t="str">
        <f aca="false">IF(L487="","",IF($H487=$I487,IF(OR(AND($G487="Higher is better",L487&gt;=$H487),AND($G487="Lower is better",L487&lt;=$H487)),A_Scoring_Model!$C$14,0),IF($G487="Higher is better",IF(L487&gt;=$H487,A_Scoring_Model!$C$14,IF(L487&lt;$I487,0,A_Scoring_Model!$C$15+(A_Scoring_Model!$C$14-A_Scoring_Model!$C$15)*(L487-$I487)/($H487-$I487))),IF(L487&lt;=$H487,A_Scoring_Model!$C$14,IF(L487&gt;$I487,0,A_Scoring_Model!$C$15+(A_Scoring_Model!$C$14-A_Scoring_Model!$C$15)*($I487-L487)/($I487-$H487))))))</f>
        <v/>
      </c>
      <c r="Q487" s="56" t="str">
        <f aca="false">IF(M487="","",IF($H487=$I487,IF(OR(AND($G487="Higher is better",M487&gt;=$H487),AND($G487="Lower is better",M487&lt;=$H487)),A_Scoring_Model!$C$14,0),IF($G487="Higher is better",IF(M487&gt;=$H487,A_Scoring_Model!$C$14,IF(M487&lt;$I487,0,A_Scoring_Model!$C$15+(A_Scoring_Model!$C$14-A_Scoring_Model!$C$15)*(M487-$I487)/($H487-$I487))),IF(M487&lt;=$H487,A_Scoring_Model!$C$14,IF(M487&gt;$I487,0,A_Scoring_Model!$C$15+(A_Scoring_Model!$C$14-A_Scoring_Model!$C$15)*($I487-M487)/($I487-$H487))))))</f>
        <v/>
      </c>
    </row>
    <row r="488" customFormat="false" ht="15" hidden="false" customHeight="false" outlineLevel="0" collapsed="false">
      <c r="A488" s="51" t="str">
        <f aca="false">C_KPI_Benchmark!A488</f>
        <v>9.c-D4-09</v>
      </c>
      <c r="B488" s="52" t="str">
        <f aca="false">C_KPI_Benchmark!D488</f>
        <v>9.c</v>
      </c>
      <c r="C488" s="51" t="str">
        <f aca="false">C_KPI_Benchmark!E488</f>
        <v>Comms Drafter &amp; Rollback Agent</v>
      </c>
      <c r="D488" s="52" t="str">
        <f aca="false">C_KPI_Benchmark!F488</f>
        <v>D4</v>
      </c>
      <c r="E488" s="51" t="str">
        <f aca="false">C_KPI_Benchmark!J488</f>
        <v>Confidential leak check pass (codenames, internal IDs)</v>
      </c>
      <c r="F488" s="52" t="str">
        <f aca="false">C_KPI_Benchmark!K488</f>
        <v>%</v>
      </c>
      <c r="G488" s="51" t="str">
        <f aca="false">C_KPI_Benchmark!L488</f>
        <v>Higher is better</v>
      </c>
      <c r="H488" s="53" t="n">
        <f aca="false">C_KPI_Benchmark!N488</f>
        <v>1</v>
      </c>
      <c r="I488" s="54" t="n">
        <f aca="false">IF(C_KPI_Benchmark!O488&lt;&gt;"",C_KPI_Benchmark!O488,IF(G488="Higher is better",H488*(1-A_Scoring_Model!$C$16),H488*(1+A_Scoring_Model!$C$16)))</f>
        <v>0.8</v>
      </c>
      <c r="J488" s="55"/>
      <c r="K488" s="55"/>
      <c r="L488" s="55"/>
      <c r="M488" s="55"/>
      <c r="N488" s="56" t="str">
        <f aca="false">IF(J488="","",IF($H488=$I488,IF(OR(AND($G488="Higher is better",J488&gt;=$H488),AND($G488="Lower is better",J488&lt;=$H488)),A_Scoring_Model!$C$14,0),IF($G488="Higher is better",IF(J488&gt;=$H488,A_Scoring_Model!$C$14,IF(J488&lt;$I488,0,A_Scoring_Model!$C$15+(A_Scoring_Model!$C$14-A_Scoring_Model!$C$15)*(J488-$I488)/($H488-$I488))),IF(J488&lt;=$H488,A_Scoring_Model!$C$14,IF(J488&gt;$I488,0,A_Scoring_Model!$C$15+(A_Scoring_Model!$C$14-A_Scoring_Model!$C$15)*($I488-J488)/($I488-$H488))))))</f>
        <v/>
      </c>
      <c r="O488" s="56" t="str">
        <f aca="false">IF(K488="","",IF($H488=$I488,IF(OR(AND($G488="Higher is better",K488&gt;=$H488),AND($G488="Lower is better",K488&lt;=$H488)),A_Scoring_Model!$C$14,0),IF($G488="Higher is better",IF(K488&gt;=$H488,A_Scoring_Model!$C$14,IF(K488&lt;$I488,0,A_Scoring_Model!$C$15+(A_Scoring_Model!$C$14-A_Scoring_Model!$C$15)*(K488-$I488)/($H488-$I488))),IF(K488&lt;=$H488,A_Scoring_Model!$C$14,IF(K488&gt;$I488,0,A_Scoring_Model!$C$15+(A_Scoring_Model!$C$14-A_Scoring_Model!$C$15)*($I488-K488)/($I488-$H488))))))</f>
        <v/>
      </c>
      <c r="P488" s="56" t="str">
        <f aca="false">IF(L488="","",IF($H488=$I488,IF(OR(AND($G488="Higher is better",L488&gt;=$H488),AND($G488="Lower is better",L488&lt;=$H488)),A_Scoring_Model!$C$14,0),IF($G488="Higher is better",IF(L488&gt;=$H488,A_Scoring_Model!$C$14,IF(L488&lt;$I488,0,A_Scoring_Model!$C$15+(A_Scoring_Model!$C$14-A_Scoring_Model!$C$15)*(L488-$I488)/($H488-$I488))),IF(L488&lt;=$H488,A_Scoring_Model!$C$14,IF(L488&gt;$I488,0,A_Scoring_Model!$C$15+(A_Scoring_Model!$C$14-A_Scoring_Model!$C$15)*($I488-L488)/($I488-$H488))))))</f>
        <v/>
      </c>
      <c r="Q488" s="56" t="str">
        <f aca="false">IF(M488="","",IF($H488=$I488,IF(OR(AND($G488="Higher is better",M488&gt;=$H488),AND($G488="Lower is better",M488&lt;=$H488)),A_Scoring_Model!$C$14,0),IF($G488="Higher is better",IF(M488&gt;=$H488,A_Scoring_Model!$C$14,IF(M488&lt;$I488,0,A_Scoring_Model!$C$15+(A_Scoring_Model!$C$14-A_Scoring_Model!$C$15)*(M488-$I488)/($H488-$I488))),IF(M488&lt;=$H488,A_Scoring_Model!$C$14,IF(M488&gt;$I488,0,A_Scoring_Model!$C$15+(A_Scoring_Model!$C$14-A_Scoring_Model!$C$15)*($I488-M488)/($I488-$H488))))))</f>
        <v/>
      </c>
    </row>
    <row r="489" customFormat="false" ht="15" hidden="false" customHeight="false" outlineLevel="0" collapsed="false">
      <c r="A489" s="51" t="str">
        <f aca="false">C_KPI_Benchmark!A489</f>
        <v>9.c-D4-10</v>
      </c>
      <c r="B489" s="52" t="str">
        <f aca="false">C_KPI_Benchmark!D489</f>
        <v>9.c</v>
      </c>
      <c r="C489" s="51" t="str">
        <f aca="false">C_KPI_Benchmark!E489</f>
        <v>Comms Drafter &amp; Rollback Agent</v>
      </c>
      <c r="D489" s="52" t="str">
        <f aca="false">C_KPI_Benchmark!F489</f>
        <v>D4</v>
      </c>
      <c r="E489" s="51" t="str">
        <f aca="false">C_KPI_Benchmark!J489</f>
        <v>Service availability</v>
      </c>
      <c r="F489" s="52" t="str">
        <f aca="false">C_KPI_Benchmark!K489</f>
        <v>%</v>
      </c>
      <c r="G489" s="51" t="str">
        <f aca="false">C_KPI_Benchmark!L489</f>
        <v>Higher is better</v>
      </c>
      <c r="H489" s="53" t="n">
        <f aca="false">C_KPI_Benchmark!N489</f>
        <v>0.995</v>
      </c>
      <c r="I489" s="54" t="n">
        <f aca="false">IF(C_KPI_Benchmark!O489&lt;&gt;"",C_KPI_Benchmark!O489,IF(G489="Higher is better",H489*(1-A_Scoring_Model!$C$16),H489*(1+A_Scoring_Model!$C$16)))</f>
        <v>0.99</v>
      </c>
      <c r="J489" s="55"/>
      <c r="K489" s="55"/>
      <c r="L489" s="55"/>
      <c r="M489" s="55"/>
      <c r="N489" s="56" t="str">
        <f aca="false">IF(J489="","",IF($H489=$I489,IF(OR(AND($G489="Higher is better",J489&gt;=$H489),AND($G489="Lower is better",J489&lt;=$H489)),A_Scoring_Model!$C$14,0),IF($G489="Higher is better",IF(J489&gt;=$H489,A_Scoring_Model!$C$14,IF(J489&lt;$I489,0,A_Scoring_Model!$C$15+(A_Scoring_Model!$C$14-A_Scoring_Model!$C$15)*(J489-$I489)/($H489-$I489))),IF(J489&lt;=$H489,A_Scoring_Model!$C$14,IF(J489&gt;$I489,0,A_Scoring_Model!$C$15+(A_Scoring_Model!$C$14-A_Scoring_Model!$C$15)*($I489-J489)/($I489-$H489))))))</f>
        <v/>
      </c>
      <c r="O489" s="56" t="str">
        <f aca="false">IF(K489="","",IF($H489=$I489,IF(OR(AND($G489="Higher is better",K489&gt;=$H489),AND($G489="Lower is better",K489&lt;=$H489)),A_Scoring_Model!$C$14,0),IF($G489="Higher is better",IF(K489&gt;=$H489,A_Scoring_Model!$C$14,IF(K489&lt;$I489,0,A_Scoring_Model!$C$15+(A_Scoring_Model!$C$14-A_Scoring_Model!$C$15)*(K489-$I489)/($H489-$I489))),IF(K489&lt;=$H489,A_Scoring_Model!$C$14,IF(K489&gt;$I489,0,A_Scoring_Model!$C$15+(A_Scoring_Model!$C$14-A_Scoring_Model!$C$15)*($I489-K489)/($I489-$H489))))))</f>
        <v/>
      </c>
      <c r="P489" s="56" t="str">
        <f aca="false">IF(L489="","",IF($H489=$I489,IF(OR(AND($G489="Higher is better",L489&gt;=$H489),AND($G489="Lower is better",L489&lt;=$H489)),A_Scoring_Model!$C$14,0),IF($G489="Higher is better",IF(L489&gt;=$H489,A_Scoring_Model!$C$14,IF(L489&lt;$I489,0,A_Scoring_Model!$C$15+(A_Scoring_Model!$C$14-A_Scoring_Model!$C$15)*(L489-$I489)/($H489-$I489))),IF(L489&lt;=$H489,A_Scoring_Model!$C$14,IF(L489&gt;$I489,0,A_Scoring_Model!$C$15+(A_Scoring_Model!$C$14-A_Scoring_Model!$C$15)*($I489-L489)/($I489-$H489))))))</f>
        <v/>
      </c>
      <c r="Q489" s="56" t="str">
        <f aca="false">IF(M489="","",IF($H489=$I489,IF(OR(AND($G489="Higher is better",M489&gt;=$H489),AND($G489="Lower is better",M489&lt;=$H489)),A_Scoring_Model!$C$14,0),IF($G489="Higher is better",IF(M489&gt;=$H489,A_Scoring_Model!$C$14,IF(M489&lt;$I489,0,A_Scoring_Model!$C$15+(A_Scoring_Model!$C$14-A_Scoring_Model!$C$15)*(M489-$I489)/($H489-$I489))),IF(M489&lt;=$H489,A_Scoring_Model!$C$14,IF(M489&gt;$I489,0,A_Scoring_Model!$C$15+(A_Scoring_Model!$C$14-A_Scoring_Model!$C$15)*($I489-M489)/($I489-$H489))))))</f>
        <v/>
      </c>
    </row>
    <row r="490" customFormat="false" ht="15" hidden="false" customHeight="false" outlineLevel="0" collapsed="false">
      <c r="A490" s="51" t="str">
        <f aca="false">C_KPI_Benchmark!A490</f>
        <v>9.c-D5-11</v>
      </c>
      <c r="B490" s="52" t="str">
        <f aca="false">C_KPI_Benchmark!D490</f>
        <v>9.c</v>
      </c>
      <c r="C490" s="51" t="str">
        <f aca="false">C_KPI_Benchmark!E490</f>
        <v>Comms Drafter &amp; Rollback Agent</v>
      </c>
      <c r="D490" s="52" t="str">
        <f aca="false">C_KPI_Benchmark!F490</f>
        <v>D5</v>
      </c>
      <c r="E490" s="51" t="str">
        <f aca="false">C_KPI_Benchmark!J490</f>
        <v>Comms prep effort reduction</v>
      </c>
      <c r="F490" s="52" t="str">
        <f aca="false">C_KPI_Benchmark!K490</f>
        <v>%</v>
      </c>
      <c r="G490" s="51" t="str">
        <f aca="false">C_KPI_Benchmark!L490</f>
        <v>Higher is better</v>
      </c>
      <c r="H490" s="53" t="n">
        <f aca="false">C_KPI_Benchmark!N490</f>
        <v>0.7</v>
      </c>
      <c r="I490" s="54" t="n">
        <f aca="false">IF(C_KPI_Benchmark!O490&lt;&gt;"",C_KPI_Benchmark!O490,IF(G490="Higher is better",H490*(1-A_Scoring_Model!$C$16),H490*(1+A_Scoring_Model!$C$16)))</f>
        <v>0.56</v>
      </c>
      <c r="J490" s="55"/>
      <c r="K490" s="55"/>
      <c r="L490" s="55"/>
      <c r="M490" s="55"/>
      <c r="N490" s="56" t="str">
        <f aca="false">IF(J490="","",IF($H490=$I490,IF(OR(AND($G490="Higher is better",J490&gt;=$H490),AND($G490="Lower is better",J490&lt;=$H490)),A_Scoring_Model!$C$14,0),IF($G490="Higher is better",IF(J490&gt;=$H490,A_Scoring_Model!$C$14,IF(J490&lt;$I490,0,A_Scoring_Model!$C$15+(A_Scoring_Model!$C$14-A_Scoring_Model!$C$15)*(J490-$I490)/($H490-$I490))),IF(J490&lt;=$H490,A_Scoring_Model!$C$14,IF(J490&gt;$I490,0,A_Scoring_Model!$C$15+(A_Scoring_Model!$C$14-A_Scoring_Model!$C$15)*($I490-J490)/($I490-$H490))))))</f>
        <v/>
      </c>
      <c r="O490" s="56" t="str">
        <f aca="false">IF(K490="","",IF($H490=$I490,IF(OR(AND($G490="Higher is better",K490&gt;=$H490),AND($G490="Lower is better",K490&lt;=$H490)),A_Scoring_Model!$C$14,0),IF($G490="Higher is better",IF(K490&gt;=$H490,A_Scoring_Model!$C$14,IF(K490&lt;$I490,0,A_Scoring_Model!$C$15+(A_Scoring_Model!$C$14-A_Scoring_Model!$C$15)*(K490-$I490)/($H490-$I490))),IF(K490&lt;=$H490,A_Scoring_Model!$C$14,IF(K490&gt;$I490,0,A_Scoring_Model!$C$15+(A_Scoring_Model!$C$14-A_Scoring_Model!$C$15)*($I490-K490)/($I490-$H490))))))</f>
        <v/>
      </c>
      <c r="P490" s="56" t="str">
        <f aca="false">IF(L490="","",IF($H490=$I490,IF(OR(AND($G490="Higher is better",L490&gt;=$H490),AND($G490="Lower is better",L490&lt;=$H490)),A_Scoring_Model!$C$14,0),IF($G490="Higher is better",IF(L490&gt;=$H490,A_Scoring_Model!$C$14,IF(L490&lt;$I490,0,A_Scoring_Model!$C$15+(A_Scoring_Model!$C$14-A_Scoring_Model!$C$15)*(L490-$I490)/($H490-$I490))),IF(L490&lt;=$H490,A_Scoring_Model!$C$14,IF(L490&gt;$I490,0,A_Scoring_Model!$C$15+(A_Scoring_Model!$C$14-A_Scoring_Model!$C$15)*($I490-L490)/($I490-$H490))))))</f>
        <v/>
      </c>
      <c r="Q490" s="56" t="str">
        <f aca="false">IF(M490="","",IF($H490=$I490,IF(OR(AND($G490="Higher is better",M490&gt;=$H490),AND($G490="Lower is better",M490&lt;=$H490)),A_Scoring_Model!$C$14,0),IF($G490="Higher is better",IF(M490&gt;=$H490,A_Scoring_Model!$C$14,IF(M490&lt;$I490,0,A_Scoring_Model!$C$15+(A_Scoring_Model!$C$14-A_Scoring_Model!$C$15)*(M490-$I490)/($H490-$I490))),IF(M490&lt;=$H490,A_Scoring_Model!$C$14,IF(M490&gt;$I490,0,A_Scoring_Model!$C$15+(A_Scoring_Model!$C$14-A_Scoring_Model!$C$15)*($I490-M490)/($I490-$H490))))))</f>
        <v/>
      </c>
    </row>
    <row r="491" customFormat="false" ht="15" hidden="false" customHeight="false" outlineLevel="0" collapsed="false">
      <c r="A491" s="51" t="str">
        <f aca="false">C_KPI_Benchmark!A491</f>
        <v>9.c-D6-12</v>
      </c>
      <c r="B491" s="52" t="str">
        <f aca="false">C_KPI_Benchmark!D491</f>
        <v>9.c</v>
      </c>
      <c r="C491" s="51" t="str">
        <f aca="false">C_KPI_Benchmark!E491</f>
        <v>Comms Drafter &amp; Rollback Agent</v>
      </c>
      <c r="D491" s="52" t="str">
        <f aca="false">C_KPI_Benchmark!F491</f>
        <v>D6</v>
      </c>
      <c r="E491" s="51" t="str">
        <f aca="false">C_KPI_Benchmark!J491</f>
        <v>Solution code test coverage</v>
      </c>
      <c r="F491" s="52" t="str">
        <f aca="false">C_KPI_Benchmark!K491</f>
        <v>%</v>
      </c>
      <c r="G491" s="51" t="str">
        <f aca="false">C_KPI_Benchmark!L491</f>
        <v>Higher is better</v>
      </c>
      <c r="H491" s="53" t="n">
        <f aca="false">C_KPI_Benchmark!N491</f>
        <v>0.8</v>
      </c>
      <c r="I491" s="54" t="n">
        <f aca="false">IF(C_KPI_Benchmark!O491&lt;&gt;"",C_KPI_Benchmark!O491,IF(G491="Higher is better",H491*(1-A_Scoring_Model!$C$16),H491*(1+A_Scoring_Model!$C$16)))</f>
        <v>0.6</v>
      </c>
      <c r="J491" s="55"/>
      <c r="K491" s="55"/>
      <c r="L491" s="55"/>
      <c r="M491" s="55"/>
      <c r="N491" s="56" t="str">
        <f aca="false">IF(J491="","",IF($H491=$I491,IF(OR(AND($G491="Higher is better",J491&gt;=$H491),AND($G491="Lower is better",J491&lt;=$H491)),A_Scoring_Model!$C$14,0),IF($G491="Higher is better",IF(J491&gt;=$H491,A_Scoring_Model!$C$14,IF(J491&lt;$I491,0,A_Scoring_Model!$C$15+(A_Scoring_Model!$C$14-A_Scoring_Model!$C$15)*(J491-$I491)/($H491-$I491))),IF(J491&lt;=$H491,A_Scoring_Model!$C$14,IF(J491&gt;$I491,0,A_Scoring_Model!$C$15+(A_Scoring_Model!$C$14-A_Scoring_Model!$C$15)*($I491-J491)/($I491-$H491))))))</f>
        <v/>
      </c>
      <c r="O491" s="56" t="str">
        <f aca="false">IF(K491="","",IF($H491=$I491,IF(OR(AND($G491="Higher is better",K491&gt;=$H491),AND($G491="Lower is better",K491&lt;=$H491)),A_Scoring_Model!$C$14,0),IF($G491="Higher is better",IF(K491&gt;=$H491,A_Scoring_Model!$C$14,IF(K491&lt;$I491,0,A_Scoring_Model!$C$15+(A_Scoring_Model!$C$14-A_Scoring_Model!$C$15)*(K491-$I491)/($H491-$I491))),IF(K491&lt;=$H491,A_Scoring_Model!$C$14,IF(K491&gt;$I491,0,A_Scoring_Model!$C$15+(A_Scoring_Model!$C$14-A_Scoring_Model!$C$15)*($I491-K491)/($I491-$H491))))))</f>
        <v/>
      </c>
      <c r="P491" s="56" t="str">
        <f aca="false">IF(L491="","",IF($H491=$I491,IF(OR(AND($G491="Higher is better",L491&gt;=$H491),AND($G491="Lower is better",L491&lt;=$H491)),A_Scoring_Model!$C$14,0),IF($G491="Higher is better",IF(L491&gt;=$H491,A_Scoring_Model!$C$14,IF(L491&lt;$I491,0,A_Scoring_Model!$C$15+(A_Scoring_Model!$C$14-A_Scoring_Model!$C$15)*(L491-$I491)/($H491-$I491))),IF(L491&lt;=$H491,A_Scoring_Model!$C$14,IF(L491&gt;$I491,0,A_Scoring_Model!$C$15+(A_Scoring_Model!$C$14-A_Scoring_Model!$C$15)*($I491-L491)/($I491-$H491))))))</f>
        <v/>
      </c>
      <c r="Q491" s="56" t="str">
        <f aca="false">IF(M491="","",IF($H491=$I491,IF(OR(AND($G491="Higher is better",M491&gt;=$H491),AND($G491="Lower is better",M491&lt;=$H491)),A_Scoring_Model!$C$14,0),IF($G491="Higher is better",IF(M491&gt;=$H491,A_Scoring_Model!$C$14,IF(M491&lt;$I491,0,A_Scoring_Model!$C$15+(A_Scoring_Model!$C$14-A_Scoring_Model!$C$15)*(M491-$I491)/($H491-$I491))),IF(M491&lt;=$H491,A_Scoring_Model!$C$14,IF(M491&gt;$I491,0,A_Scoring_Model!$C$15+(A_Scoring_Model!$C$14-A_Scoring_Model!$C$15)*($I491-M491)/($I491-$H491))))))</f>
        <v/>
      </c>
    </row>
    <row r="492" customFormat="false" ht="15" hidden="false" customHeight="false" outlineLevel="0" collapsed="false">
      <c r="A492" s="51" t="str">
        <f aca="false">C_KPI_Benchmark!A492</f>
        <v>9.c-D6-13</v>
      </c>
      <c r="B492" s="52" t="str">
        <f aca="false">C_KPI_Benchmark!D492</f>
        <v>9.c</v>
      </c>
      <c r="C492" s="51" t="str">
        <f aca="false">C_KPI_Benchmark!E492</f>
        <v>Comms Drafter &amp; Rollback Agent</v>
      </c>
      <c r="D492" s="52" t="str">
        <f aca="false">C_KPI_Benchmark!F492</f>
        <v>D6</v>
      </c>
      <c r="E492" s="51" t="str">
        <f aca="false">C_KPI_Benchmark!J492</f>
        <v>Review Shield critical findings</v>
      </c>
      <c r="F492" s="52" t="str">
        <f aca="false">C_KPI_Benchmark!K492</f>
        <v>count</v>
      </c>
      <c r="G492" s="51" t="str">
        <f aca="false">C_KPI_Benchmark!L492</f>
        <v>Lower is better</v>
      </c>
      <c r="H492" s="62" t="n">
        <f aca="false">C_KPI_Benchmark!N492</f>
        <v>0</v>
      </c>
      <c r="I492" s="63" t="n">
        <f aca="false">IF(C_KPI_Benchmark!O492&lt;&gt;"",C_KPI_Benchmark!O492,IF(G492="Higher is better",H492*(1-A_Scoring_Model!$C$16),H492*(1+A_Scoring_Model!$C$16)))</f>
        <v>0</v>
      </c>
      <c r="J492" s="64"/>
      <c r="K492" s="64"/>
      <c r="L492" s="64"/>
      <c r="M492" s="64"/>
      <c r="N492" s="56" t="str">
        <f aca="false">IF(J492="","",IF($H492=$I492,IF(OR(AND($G492="Higher is better",J492&gt;=$H492),AND($G492="Lower is better",J492&lt;=$H492)),A_Scoring_Model!$C$14,0),IF($G492="Higher is better",IF(J492&gt;=$H492,A_Scoring_Model!$C$14,IF(J492&lt;$I492,0,A_Scoring_Model!$C$15+(A_Scoring_Model!$C$14-A_Scoring_Model!$C$15)*(J492-$I492)/($H492-$I492))),IF(J492&lt;=$H492,A_Scoring_Model!$C$14,IF(J492&gt;$I492,0,A_Scoring_Model!$C$15+(A_Scoring_Model!$C$14-A_Scoring_Model!$C$15)*($I492-J492)/($I492-$H492))))))</f>
        <v/>
      </c>
      <c r="O492" s="56" t="str">
        <f aca="false">IF(K492="","",IF($H492=$I492,IF(OR(AND($G492="Higher is better",K492&gt;=$H492),AND($G492="Lower is better",K492&lt;=$H492)),A_Scoring_Model!$C$14,0),IF($G492="Higher is better",IF(K492&gt;=$H492,A_Scoring_Model!$C$14,IF(K492&lt;$I492,0,A_Scoring_Model!$C$15+(A_Scoring_Model!$C$14-A_Scoring_Model!$C$15)*(K492-$I492)/($H492-$I492))),IF(K492&lt;=$H492,A_Scoring_Model!$C$14,IF(K492&gt;$I492,0,A_Scoring_Model!$C$15+(A_Scoring_Model!$C$14-A_Scoring_Model!$C$15)*($I492-K492)/($I492-$H492))))))</f>
        <v/>
      </c>
      <c r="P492" s="56" t="str">
        <f aca="false">IF(L492="","",IF($H492=$I492,IF(OR(AND($G492="Higher is better",L492&gt;=$H492),AND($G492="Lower is better",L492&lt;=$H492)),A_Scoring_Model!$C$14,0),IF($G492="Higher is better",IF(L492&gt;=$H492,A_Scoring_Model!$C$14,IF(L492&lt;$I492,0,A_Scoring_Model!$C$15+(A_Scoring_Model!$C$14-A_Scoring_Model!$C$15)*(L492-$I492)/($H492-$I492))),IF(L492&lt;=$H492,A_Scoring_Model!$C$14,IF(L492&gt;$I492,0,A_Scoring_Model!$C$15+(A_Scoring_Model!$C$14-A_Scoring_Model!$C$15)*($I492-L492)/($I492-$H492))))))</f>
        <v/>
      </c>
      <c r="Q492" s="56" t="str">
        <f aca="false">IF(M492="","",IF($H492=$I492,IF(OR(AND($G492="Higher is better",M492&gt;=$H492),AND($G492="Lower is better",M492&lt;=$H492)),A_Scoring_Model!$C$14,0),IF($G492="Higher is better",IF(M492&gt;=$H492,A_Scoring_Model!$C$14,IF(M492&lt;$I492,0,A_Scoring_Model!$C$15+(A_Scoring_Model!$C$14-A_Scoring_Model!$C$15)*(M492-$I492)/($H492-$I492))),IF(M492&lt;=$H492,A_Scoring_Model!$C$14,IF(M492&gt;$I492,0,A_Scoring_Model!$C$15+(A_Scoring_Model!$C$14-A_Scoring_Model!$C$15)*($I492-M492)/($I492-$H492))))))</f>
        <v/>
      </c>
    </row>
    <row r="493" customFormat="false" ht="15" hidden="false" customHeight="false" outlineLevel="0" collapsed="false">
      <c r="A493" s="51" t="str">
        <f aca="false">C_KPI_Benchmark!A493</f>
        <v>9.c-D6-14</v>
      </c>
      <c r="B493" s="52" t="str">
        <f aca="false">C_KPI_Benchmark!D493</f>
        <v>9.c</v>
      </c>
      <c r="C493" s="51" t="str">
        <f aca="false">C_KPI_Benchmark!E493</f>
        <v>Comms Drafter &amp; Rollback Agent</v>
      </c>
      <c r="D493" s="52" t="str">
        <f aca="false">C_KPI_Benchmark!F493</f>
        <v>D6</v>
      </c>
      <c r="E493" s="51" t="str">
        <f aca="false">C_KPI_Benchmark!J493</f>
        <v>SAST high findings and exposed secrets</v>
      </c>
      <c r="F493" s="52" t="str">
        <f aca="false">C_KPI_Benchmark!K493</f>
        <v>count</v>
      </c>
      <c r="G493" s="51" t="str">
        <f aca="false">C_KPI_Benchmark!L493</f>
        <v>Lower is better</v>
      </c>
      <c r="H493" s="62" t="n">
        <f aca="false">C_KPI_Benchmark!N493</f>
        <v>0</v>
      </c>
      <c r="I493" s="63" t="n">
        <f aca="false">IF(C_KPI_Benchmark!O493&lt;&gt;"",C_KPI_Benchmark!O493,IF(G493="Higher is better",H493*(1-A_Scoring_Model!$C$16),H493*(1+A_Scoring_Model!$C$16)))</f>
        <v>0</v>
      </c>
      <c r="J493" s="64"/>
      <c r="K493" s="64"/>
      <c r="L493" s="64"/>
      <c r="M493" s="64"/>
      <c r="N493" s="56" t="str">
        <f aca="false">IF(J493="","",IF($H493=$I493,IF(OR(AND($G493="Higher is better",J493&gt;=$H493),AND($G493="Lower is better",J493&lt;=$H493)),A_Scoring_Model!$C$14,0),IF($G493="Higher is better",IF(J493&gt;=$H493,A_Scoring_Model!$C$14,IF(J493&lt;$I493,0,A_Scoring_Model!$C$15+(A_Scoring_Model!$C$14-A_Scoring_Model!$C$15)*(J493-$I493)/($H493-$I493))),IF(J493&lt;=$H493,A_Scoring_Model!$C$14,IF(J493&gt;$I493,0,A_Scoring_Model!$C$15+(A_Scoring_Model!$C$14-A_Scoring_Model!$C$15)*($I493-J493)/($I493-$H493))))))</f>
        <v/>
      </c>
      <c r="O493" s="56" t="str">
        <f aca="false">IF(K493="","",IF($H493=$I493,IF(OR(AND($G493="Higher is better",K493&gt;=$H493),AND($G493="Lower is better",K493&lt;=$H493)),A_Scoring_Model!$C$14,0),IF($G493="Higher is better",IF(K493&gt;=$H493,A_Scoring_Model!$C$14,IF(K493&lt;$I493,0,A_Scoring_Model!$C$15+(A_Scoring_Model!$C$14-A_Scoring_Model!$C$15)*(K493-$I493)/($H493-$I493))),IF(K493&lt;=$H493,A_Scoring_Model!$C$14,IF(K493&gt;$I493,0,A_Scoring_Model!$C$15+(A_Scoring_Model!$C$14-A_Scoring_Model!$C$15)*($I493-K493)/($I493-$H493))))))</f>
        <v/>
      </c>
      <c r="P493" s="56" t="str">
        <f aca="false">IF(L493="","",IF($H493=$I493,IF(OR(AND($G493="Higher is better",L493&gt;=$H493),AND($G493="Lower is better",L493&lt;=$H493)),A_Scoring_Model!$C$14,0),IF($G493="Higher is better",IF(L493&gt;=$H493,A_Scoring_Model!$C$14,IF(L493&lt;$I493,0,A_Scoring_Model!$C$15+(A_Scoring_Model!$C$14-A_Scoring_Model!$C$15)*(L493-$I493)/($H493-$I493))),IF(L493&lt;=$H493,A_Scoring_Model!$C$14,IF(L493&gt;$I493,0,A_Scoring_Model!$C$15+(A_Scoring_Model!$C$14-A_Scoring_Model!$C$15)*($I493-L493)/($I493-$H493))))))</f>
        <v/>
      </c>
      <c r="Q493" s="56" t="str">
        <f aca="false">IF(M493="","",IF($H493=$I493,IF(OR(AND($G493="Higher is better",M493&gt;=$H493),AND($G493="Lower is better",M493&lt;=$H493)),A_Scoring_Model!$C$14,0),IF($G493="Higher is better",IF(M493&gt;=$H493,A_Scoring_Model!$C$14,IF(M493&lt;$I493,0,A_Scoring_Model!$C$15+(A_Scoring_Model!$C$14-A_Scoring_Model!$C$15)*(M493-$I493)/($H493-$I493))),IF(M493&lt;=$H493,A_Scoring_Model!$C$14,IF(M493&gt;$I493,0,A_Scoring_Model!$C$15+(A_Scoring_Model!$C$14-A_Scoring_Model!$C$15)*($I493-M493)/($I493-$H493))))))</f>
        <v/>
      </c>
    </row>
    <row r="494" customFormat="false" ht="23.85" hidden="false" customHeight="false" outlineLevel="0" collapsed="false">
      <c r="A494" s="51" t="str">
        <f aca="false">C_KPI_Benchmark!A494</f>
        <v>9.c-D6-15</v>
      </c>
      <c r="B494" s="52" t="str">
        <f aca="false">C_KPI_Benchmark!D494</f>
        <v>9.c</v>
      </c>
      <c r="C494" s="51" t="str">
        <f aca="false">C_KPI_Benchmark!E494</f>
        <v>Comms Drafter &amp; Rollback Agent</v>
      </c>
      <c r="D494" s="52" t="str">
        <f aca="false">C_KPI_Benchmark!F494</f>
        <v>D6</v>
      </c>
      <c r="E494" s="51" t="str">
        <f aca="false">C_KPI_Benchmark!J494</f>
        <v>Documentation pack complete (README, I/O contract, model card, runbook)</v>
      </c>
      <c r="F494" s="52" t="str">
        <f aca="false">C_KPI_Benchmark!K494</f>
        <v>Yes/No</v>
      </c>
      <c r="G494" s="51" t="str">
        <f aca="false">C_KPI_Benchmark!L494</f>
        <v>Higher is better</v>
      </c>
      <c r="H494" s="60" t="n">
        <f aca="false">C_KPI_Benchmark!N494</f>
        <v>1</v>
      </c>
      <c r="I494" s="56" t="n">
        <f aca="false">IF(C_KPI_Benchmark!O494&lt;&gt;"",C_KPI_Benchmark!O494,IF(G494="Higher is better",H494*(1-A_Scoring_Model!$C$16),H494*(1+A_Scoring_Model!$C$16)))</f>
        <v>0.8</v>
      </c>
      <c r="J494" s="61"/>
      <c r="K494" s="61"/>
      <c r="L494" s="61"/>
      <c r="M494" s="61"/>
      <c r="N494" s="56" t="str">
        <f aca="false">IF(J494="","",IF($H494=$I494,IF(OR(AND($G494="Higher is better",J494&gt;=$H494),AND($G494="Lower is better",J494&lt;=$H494)),A_Scoring_Model!$C$14,0),IF($G494="Higher is better",IF(J494&gt;=$H494,A_Scoring_Model!$C$14,IF(J494&lt;$I494,0,A_Scoring_Model!$C$15+(A_Scoring_Model!$C$14-A_Scoring_Model!$C$15)*(J494-$I494)/($H494-$I494))),IF(J494&lt;=$H494,A_Scoring_Model!$C$14,IF(J494&gt;$I494,0,A_Scoring_Model!$C$15+(A_Scoring_Model!$C$14-A_Scoring_Model!$C$15)*($I494-J494)/($I494-$H494))))))</f>
        <v/>
      </c>
      <c r="O494" s="56" t="str">
        <f aca="false">IF(K494="","",IF($H494=$I494,IF(OR(AND($G494="Higher is better",K494&gt;=$H494),AND($G494="Lower is better",K494&lt;=$H494)),A_Scoring_Model!$C$14,0),IF($G494="Higher is better",IF(K494&gt;=$H494,A_Scoring_Model!$C$14,IF(K494&lt;$I494,0,A_Scoring_Model!$C$15+(A_Scoring_Model!$C$14-A_Scoring_Model!$C$15)*(K494-$I494)/($H494-$I494))),IF(K494&lt;=$H494,A_Scoring_Model!$C$14,IF(K494&gt;$I494,0,A_Scoring_Model!$C$15+(A_Scoring_Model!$C$14-A_Scoring_Model!$C$15)*($I494-K494)/($I494-$H494))))))</f>
        <v/>
      </c>
      <c r="P494" s="56" t="str">
        <f aca="false">IF(L494="","",IF($H494=$I494,IF(OR(AND($G494="Higher is better",L494&gt;=$H494),AND($G494="Lower is better",L494&lt;=$H494)),A_Scoring_Model!$C$14,0),IF($G494="Higher is better",IF(L494&gt;=$H494,A_Scoring_Model!$C$14,IF(L494&lt;$I494,0,A_Scoring_Model!$C$15+(A_Scoring_Model!$C$14-A_Scoring_Model!$C$15)*(L494-$I494)/($H494-$I494))),IF(L494&lt;=$H494,A_Scoring_Model!$C$14,IF(L494&gt;$I494,0,A_Scoring_Model!$C$15+(A_Scoring_Model!$C$14-A_Scoring_Model!$C$15)*($I494-L494)/($I494-$H494))))))</f>
        <v/>
      </c>
      <c r="Q494" s="56" t="str">
        <f aca="false">IF(M494="","",IF($H494=$I494,IF(OR(AND($G494="Higher is better",M494&gt;=$H494),AND($G494="Lower is better",M494&lt;=$H494)),A_Scoring_Model!$C$14,0),IF($G494="Higher is better",IF(M494&gt;=$H494,A_Scoring_Model!$C$14,IF(M494&lt;$I494,0,A_Scoring_Model!$C$15+(A_Scoring_Model!$C$14-A_Scoring_Model!$C$15)*(M494-$I494)/($H494-$I494))),IF(M494&lt;=$H494,A_Scoring_Model!$C$14,IF(M494&gt;$I494,0,A_Scoring_Model!$C$15+(A_Scoring_Model!$C$14-A_Scoring_Model!$C$15)*($I494-M494)/($I494-$H494))))))</f>
        <v/>
      </c>
    </row>
    <row r="495" customFormat="false" ht="15" hidden="false" customHeight="false" outlineLevel="0" collapsed="false">
      <c r="A495" s="51" t="str">
        <f aca="false">C_KPI_Benchmark!A495</f>
        <v>9.c-D6-16</v>
      </c>
      <c r="B495" s="52" t="str">
        <f aca="false">C_KPI_Benchmark!D495</f>
        <v>9.c</v>
      </c>
      <c r="C495" s="51" t="str">
        <f aca="false">C_KPI_Benchmark!E495</f>
        <v>Comms Drafter &amp; Rollback Agent</v>
      </c>
      <c r="D495" s="52" t="str">
        <f aca="false">C_KPI_Benchmark!F495</f>
        <v>D6</v>
      </c>
      <c r="E495" s="51" t="str">
        <f aca="false">C_KPI_Benchmark!J495</f>
        <v>Named owner and support SLA</v>
      </c>
      <c r="F495" s="52" t="str">
        <f aca="false">C_KPI_Benchmark!K495</f>
        <v>Yes/No</v>
      </c>
      <c r="G495" s="51" t="str">
        <f aca="false">C_KPI_Benchmark!L495</f>
        <v>Higher is better</v>
      </c>
      <c r="H495" s="60" t="n">
        <f aca="false">C_KPI_Benchmark!N495</f>
        <v>1</v>
      </c>
      <c r="I495" s="56" t="n">
        <f aca="false">IF(C_KPI_Benchmark!O495&lt;&gt;"",C_KPI_Benchmark!O495,IF(G495="Higher is better",H495*(1-A_Scoring_Model!$C$16),H495*(1+A_Scoring_Model!$C$16)))</f>
        <v>0.8</v>
      </c>
      <c r="J495" s="61"/>
      <c r="K495" s="61"/>
      <c r="L495" s="61"/>
      <c r="M495" s="61"/>
      <c r="N495" s="56" t="str">
        <f aca="false">IF(J495="","",IF($H495=$I495,IF(OR(AND($G495="Higher is better",J495&gt;=$H495),AND($G495="Lower is better",J495&lt;=$H495)),A_Scoring_Model!$C$14,0),IF($G495="Higher is better",IF(J495&gt;=$H495,A_Scoring_Model!$C$14,IF(J495&lt;$I495,0,A_Scoring_Model!$C$15+(A_Scoring_Model!$C$14-A_Scoring_Model!$C$15)*(J495-$I495)/($H495-$I495))),IF(J495&lt;=$H495,A_Scoring_Model!$C$14,IF(J495&gt;$I495,0,A_Scoring_Model!$C$15+(A_Scoring_Model!$C$14-A_Scoring_Model!$C$15)*($I495-J495)/($I495-$H495))))))</f>
        <v/>
      </c>
      <c r="O495" s="56" t="str">
        <f aca="false">IF(K495="","",IF($H495=$I495,IF(OR(AND($G495="Higher is better",K495&gt;=$H495),AND($G495="Lower is better",K495&lt;=$H495)),A_Scoring_Model!$C$14,0),IF($G495="Higher is better",IF(K495&gt;=$H495,A_Scoring_Model!$C$14,IF(K495&lt;$I495,0,A_Scoring_Model!$C$15+(A_Scoring_Model!$C$14-A_Scoring_Model!$C$15)*(K495-$I495)/($H495-$I495))),IF(K495&lt;=$H495,A_Scoring_Model!$C$14,IF(K495&gt;$I495,0,A_Scoring_Model!$C$15+(A_Scoring_Model!$C$14-A_Scoring_Model!$C$15)*($I495-K495)/($I495-$H495))))))</f>
        <v/>
      </c>
      <c r="P495" s="56" t="str">
        <f aca="false">IF(L495="","",IF($H495=$I495,IF(OR(AND($G495="Higher is better",L495&gt;=$H495),AND($G495="Lower is better",L495&lt;=$H495)),A_Scoring_Model!$C$14,0),IF($G495="Higher is better",IF(L495&gt;=$H495,A_Scoring_Model!$C$14,IF(L495&lt;$I495,0,A_Scoring_Model!$C$15+(A_Scoring_Model!$C$14-A_Scoring_Model!$C$15)*(L495-$I495)/($H495-$I495))),IF(L495&lt;=$H495,A_Scoring_Model!$C$14,IF(L495&gt;$I495,0,A_Scoring_Model!$C$15+(A_Scoring_Model!$C$14-A_Scoring_Model!$C$15)*($I495-L495)/($I495-$H495))))))</f>
        <v/>
      </c>
      <c r="Q495" s="56" t="str">
        <f aca="false">IF(M495="","",IF($H495=$I495,IF(OR(AND($G495="Higher is better",M495&gt;=$H495),AND($G495="Lower is better",M495&lt;=$H495)),A_Scoring_Model!$C$14,0),IF($G495="Higher is better",IF(M495&gt;=$H495,A_Scoring_Model!$C$14,IF(M495&lt;$I495,0,A_Scoring_Model!$C$15+(A_Scoring_Model!$C$14-A_Scoring_Model!$C$15)*(M495-$I495)/($H495-$I495))),IF(M495&lt;=$H495,A_Scoring_Model!$C$14,IF(M495&gt;$I495,0,A_Scoring_Model!$C$15+(A_Scoring_Model!$C$14-A_Scoring_Model!$C$15)*($I495-M495)/($I495-$H495))))))</f>
        <v/>
      </c>
    </row>
    <row r="496" customFormat="false" ht="15" hidden="false" customHeight="false" outlineLevel="0" collapsed="false">
      <c r="A496" s="51" t="str">
        <f aca="false">C_KPI_Benchmark!A496</f>
        <v>10.a-D1-01</v>
      </c>
      <c r="B496" s="52" t="str">
        <f aca="false">C_KPI_Benchmark!D496</f>
        <v>10.a</v>
      </c>
      <c r="C496" s="51" t="str">
        <f aca="false">C_KPI_Benchmark!E496</f>
        <v>Anomaly Detection Agent</v>
      </c>
      <c r="D496" s="52" t="str">
        <f aca="false">C_KPI_Benchmark!F496</f>
        <v>D1</v>
      </c>
      <c r="E496" s="51" t="str">
        <f aca="false">C_KPI_Benchmark!J496</f>
        <v>Anomaly precision</v>
      </c>
      <c r="F496" s="52" t="str">
        <f aca="false">C_KPI_Benchmark!K496</f>
        <v>ratio</v>
      </c>
      <c r="G496" s="51" t="str">
        <f aca="false">C_KPI_Benchmark!L496</f>
        <v>Higher is better</v>
      </c>
      <c r="H496" s="57" t="n">
        <f aca="false">C_KPI_Benchmark!N496</f>
        <v>0.85</v>
      </c>
      <c r="I496" s="58" t="n">
        <f aca="false">IF(C_KPI_Benchmark!O496&lt;&gt;"",C_KPI_Benchmark!O496,IF(G496="Higher is better",H496*(1-A_Scoring_Model!$C$16),H496*(1+A_Scoring_Model!$C$16)))</f>
        <v>0.75</v>
      </c>
      <c r="J496" s="59"/>
      <c r="K496" s="59"/>
      <c r="L496" s="59"/>
      <c r="M496" s="59"/>
      <c r="N496" s="56" t="str">
        <f aca="false">IF(J496="","",IF($H496=$I496,IF(OR(AND($G496="Higher is better",J496&gt;=$H496),AND($G496="Lower is better",J496&lt;=$H496)),A_Scoring_Model!$C$14,0),IF($G496="Higher is better",IF(J496&gt;=$H496,A_Scoring_Model!$C$14,IF(J496&lt;$I496,0,A_Scoring_Model!$C$15+(A_Scoring_Model!$C$14-A_Scoring_Model!$C$15)*(J496-$I496)/($H496-$I496))),IF(J496&lt;=$H496,A_Scoring_Model!$C$14,IF(J496&gt;$I496,0,A_Scoring_Model!$C$15+(A_Scoring_Model!$C$14-A_Scoring_Model!$C$15)*($I496-J496)/($I496-$H496))))))</f>
        <v/>
      </c>
      <c r="O496" s="56" t="str">
        <f aca="false">IF(K496="","",IF($H496=$I496,IF(OR(AND($G496="Higher is better",K496&gt;=$H496),AND($G496="Lower is better",K496&lt;=$H496)),A_Scoring_Model!$C$14,0),IF($G496="Higher is better",IF(K496&gt;=$H496,A_Scoring_Model!$C$14,IF(K496&lt;$I496,0,A_Scoring_Model!$C$15+(A_Scoring_Model!$C$14-A_Scoring_Model!$C$15)*(K496-$I496)/($H496-$I496))),IF(K496&lt;=$H496,A_Scoring_Model!$C$14,IF(K496&gt;$I496,0,A_Scoring_Model!$C$15+(A_Scoring_Model!$C$14-A_Scoring_Model!$C$15)*($I496-K496)/($I496-$H496))))))</f>
        <v/>
      </c>
      <c r="P496" s="56" t="str">
        <f aca="false">IF(L496="","",IF($H496=$I496,IF(OR(AND($G496="Higher is better",L496&gt;=$H496),AND($G496="Lower is better",L496&lt;=$H496)),A_Scoring_Model!$C$14,0),IF($G496="Higher is better",IF(L496&gt;=$H496,A_Scoring_Model!$C$14,IF(L496&lt;$I496,0,A_Scoring_Model!$C$15+(A_Scoring_Model!$C$14-A_Scoring_Model!$C$15)*(L496-$I496)/($H496-$I496))),IF(L496&lt;=$H496,A_Scoring_Model!$C$14,IF(L496&gt;$I496,0,A_Scoring_Model!$C$15+(A_Scoring_Model!$C$14-A_Scoring_Model!$C$15)*($I496-L496)/($I496-$H496))))))</f>
        <v/>
      </c>
      <c r="Q496" s="56" t="str">
        <f aca="false">IF(M496="","",IF($H496=$I496,IF(OR(AND($G496="Higher is better",M496&gt;=$H496),AND($G496="Lower is better",M496&lt;=$H496)),A_Scoring_Model!$C$14,0),IF($G496="Higher is better",IF(M496&gt;=$H496,A_Scoring_Model!$C$14,IF(M496&lt;$I496,0,A_Scoring_Model!$C$15+(A_Scoring_Model!$C$14-A_Scoring_Model!$C$15)*(M496-$I496)/($H496-$I496))),IF(M496&lt;=$H496,A_Scoring_Model!$C$14,IF(M496&gt;$I496,0,A_Scoring_Model!$C$15+(A_Scoring_Model!$C$14-A_Scoring_Model!$C$15)*($I496-M496)/($I496-$H496))))))</f>
        <v/>
      </c>
    </row>
    <row r="497" customFormat="false" ht="15" hidden="false" customHeight="false" outlineLevel="0" collapsed="false">
      <c r="A497" s="51" t="str">
        <f aca="false">C_KPI_Benchmark!A497</f>
        <v>10.a-D1-02</v>
      </c>
      <c r="B497" s="52" t="str">
        <f aca="false">C_KPI_Benchmark!D497</f>
        <v>10.a</v>
      </c>
      <c r="C497" s="51" t="str">
        <f aca="false">C_KPI_Benchmark!E497</f>
        <v>Anomaly Detection Agent</v>
      </c>
      <c r="D497" s="52" t="str">
        <f aca="false">C_KPI_Benchmark!F497</f>
        <v>D1</v>
      </c>
      <c r="E497" s="51" t="str">
        <f aca="false">C_KPI_Benchmark!J497</f>
        <v>Anomaly recall</v>
      </c>
      <c r="F497" s="52" t="str">
        <f aca="false">C_KPI_Benchmark!K497</f>
        <v>ratio</v>
      </c>
      <c r="G497" s="51" t="str">
        <f aca="false">C_KPI_Benchmark!L497</f>
        <v>Higher is better</v>
      </c>
      <c r="H497" s="57" t="n">
        <f aca="false">C_KPI_Benchmark!N497</f>
        <v>0.9</v>
      </c>
      <c r="I497" s="58" t="n">
        <f aca="false">IF(C_KPI_Benchmark!O497&lt;&gt;"",C_KPI_Benchmark!O497,IF(G497="Higher is better",H497*(1-A_Scoring_Model!$C$16),H497*(1+A_Scoring_Model!$C$16)))</f>
        <v>0.8</v>
      </c>
      <c r="J497" s="59"/>
      <c r="K497" s="59"/>
      <c r="L497" s="59"/>
      <c r="M497" s="59"/>
      <c r="N497" s="56" t="str">
        <f aca="false">IF(J497="","",IF($H497=$I497,IF(OR(AND($G497="Higher is better",J497&gt;=$H497),AND($G497="Lower is better",J497&lt;=$H497)),A_Scoring_Model!$C$14,0),IF($G497="Higher is better",IF(J497&gt;=$H497,A_Scoring_Model!$C$14,IF(J497&lt;$I497,0,A_Scoring_Model!$C$15+(A_Scoring_Model!$C$14-A_Scoring_Model!$C$15)*(J497-$I497)/($H497-$I497))),IF(J497&lt;=$H497,A_Scoring_Model!$C$14,IF(J497&gt;$I497,0,A_Scoring_Model!$C$15+(A_Scoring_Model!$C$14-A_Scoring_Model!$C$15)*($I497-J497)/($I497-$H497))))))</f>
        <v/>
      </c>
      <c r="O497" s="56" t="str">
        <f aca="false">IF(K497="","",IF($H497=$I497,IF(OR(AND($G497="Higher is better",K497&gt;=$H497),AND($G497="Lower is better",K497&lt;=$H497)),A_Scoring_Model!$C$14,0),IF($G497="Higher is better",IF(K497&gt;=$H497,A_Scoring_Model!$C$14,IF(K497&lt;$I497,0,A_Scoring_Model!$C$15+(A_Scoring_Model!$C$14-A_Scoring_Model!$C$15)*(K497-$I497)/($H497-$I497))),IF(K497&lt;=$H497,A_Scoring_Model!$C$14,IF(K497&gt;$I497,0,A_Scoring_Model!$C$15+(A_Scoring_Model!$C$14-A_Scoring_Model!$C$15)*($I497-K497)/($I497-$H497))))))</f>
        <v/>
      </c>
      <c r="P497" s="56" t="str">
        <f aca="false">IF(L497="","",IF($H497=$I497,IF(OR(AND($G497="Higher is better",L497&gt;=$H497),AND($G497="Lower is better",L497&lt;=$H497)),A_Scoring_Model!$C$14,0),IF($G497="Higher is better",IF(L497&gt;=$H497,A_Scoring_Model!$C$14,IF(L497&lt;$I497,0,A_Scoring_Model!$C$15+(A_Scoring_Model!$C$14-A_Scoring_Model!$C$15)*(L497-$I497)/($H497-$I497))),IF(L497&lt;=$H497,A_Scoring_Model!$C$14,IF(L497&gt;$I497,0,A_Scoring_Model!$C$15+(A_Scoring_Model!$C$14-A_Scoring_Model!$C$15)*($I497-L497)/($I497-$H497))))))</f>
        <v/>
      </c>
      <c r="Q497" s="56" t="str">
        <f aca="false">IF(M497="","",IF($H497=$I497,IF(OR(AND($G497="Higher is better",M497&gt;=$H497),AND($G497="Lower is better",M497&lt;=$H497)),A_Scoring_Model!$C$14,0),IF($G497="Higher is better",IF(M497&gt;=$H497,A_Scoring_Model!$C$14,IF(M497&lt;$I497,0,A_Scoring_Model!$C$15+(A_Scoring_Model!$C$14-A_Scoring_Model!$C$15)*(M497-$I497)/($H497-$I497))),IF(M497&lt;=$H497,A_Scoring_Model!$C$14,IF(M497&gt;$I497,0,A_Scoring_Model!$C$15+(A_Scoring_Model!$C$14-A_Scoring_Model!$C$15)*($I497-M497)/($I497-$H497))))))</f>
        <v/>
      </c>
    </row>
    <row r="498" customFormat="false" ht="15" hidden="false" customHeight="false" outlineLevel="0" collapsed="false">
      <c r="A498" s="51" t="str">
        <f aca="false">C_KPI_Benchmark!A498</f>
        <v>10.a-D1-03</v>
      </c>
      <c r="B498" s="52" t="str">
        <f aca="false">C_KPI_Benchmark!D498</f>
        <v>10.a</v>
      </c>
      <c r="C498" s="51" t="str">
        <f aca="false">C_KPI_Benchmark!E498</f>
        <v>Anomaly Detection Agent</v>
      </c>
      <c r="D498" s="52" t="str">
        <f aca="false">C_KPI_Benchmark!F498</f>
        <v>D1</v>
      </c>
      <c r="E498" s="51" t="str">
        <f aca="false">C_KPI_Benchmark!J498</f>
        <v>Lead time before failure</v>
      </c>
      <c r="F498" s="52" t="str">
        <f aca="false">C_KPI_Benchmark!K498</f>
        <v>hr</v>
      </c>
      <c r="G498" s="51" t="str">
        <f aca="false">C_KPI_Benchmark!L498</f>
        <v>Higher is better</v>
      </c>
      <c r="H498" s="62" t="n">
        <f aca="false">C_KPI_Benchmark!N498</f>
        <v>24</v>
      </c>
      <c r="I498" s="63" t="n">
        <f aca="false">IF(C_KPI_Benchmark!O498&lt;&gt;"",C_KPI_Benchmark!O498,IF(G498="Higher is better",H498*(1-A_Scoring_Model!$C$16),H498*(1+A_Scoring_Model!$C$16)))</f>
        <v>8</v>
      </c>
      <c r="J498" s="64"/>
      <c r="K498" s="64"/>
      <c r="L498" s="64"/>
      <c r="M498" s="64"/>
      <c r="N498" s="56" t="str">
        <f aca="false">IF(J498="","",IF($H498=$I498,IF(OR(AND($G498="Higher is better",J498&gt;=$H498),AND($G498="Lower is better",J498&lt;=$H498)),A_Scoring_Model!$C$14,0),IF($G498="Higher is better",IF(J498&gt;=$H498,A_Scoring_Model!$C$14,IF(J498&lt;$I498,0,A_Scoring_Model!$C$15+(A_Scoring_Model!$C$14-A_Scoring_Model!$C$15)*(J498-$I498)/($H498-$I498))),IF(J498&lt;=$H498,A_Scoring_Model!$C$14,IF(J498&gt;$I498,0,A_Scoring_Model!$C$15+(A_Scoring_Model!$C$14-A_Scoring_Model!$C$15)*($I498-J498)/($I498-$H498))))))</f>
        <v/>
      </c>
      <c r="O498" s="56" t="str">
        <f aca="false">IF(K498="","",IF($H498=$I498,IF(OR(AND($G498="Higher is better",K498&gt;=$H498),AND($G498="Lower is better",K498&lt;=$H498)),A_Scoring_Model!$C$14,0),IF($G498="Higher is better",IF(K498&gt;=$H498,A_Scoring_Model!$C$14,IF(K498&lt;$I498,0,A_Scoring_Model!$C$15+(A_Scoring_Model!$C$14-A_Scoring_Model!$C$15)*(K498-$I498)/($H498-$I498))),IF(K498&lt;=$H498,A_Scoring_Model!$C$14,IF(K498&gt;$I498,0,A_Scoring_Model!$C$15+(A_Scoring_Model!$C$14-A_Scoring_Model!$C$15)*($I498-K498)/($I498-$H498))))))</f>
        <v/>
      </c>
      <c r="P498" s="56" t="str">
        <f aca="false">IF(L498="","",IF($H498=$I498,IF(OR(AND($G498="Higher is better",L498&gt;=$H498),AND($G498="Lower is better",L498&lt;=$H498)),A_Scoring_Model!$C$14,0),IF($G498="Higher is better",IF(L498&gt;=$H498,A_Scoring_Model!$C$14,IF(L498&lt;$I498,0,A_Scoring_Model!$C$15+(A_Scoring_Model!$C$14-A_Scoring_Model!$C$15)*(L498-$I498)/($H498-$I498))),IF(L498&lt;=$H498,A_Scoring_Model!$C$14,IF(L498&gt;$I498,0,A_Scoring_Model!$C$15+(A_Scoring_Model!$C$14-A_Scoring_Model!$C$15)*($I498-L498)/($I498-$H498))))))</f>
        <v/>
      </c>
      <c r="Q498" s="56" t="str">
        <f aca="false">IF(M498="","",IF($H498=$I498,IF(OR(AND($G498="Higher is better",M498&gt;=$H498),AND($G498="Lower is better",M498&lt;=$H498)),A_Scoring_Model!$C$14,0),IF($G498="Higher is better",IF(M498&gt;=$H498,A_Scoring_Model!$C$14,IF(M498&lt;$I498,0,A_Scoring_Model!$C$15+(A_Scoring_Model!$C$14-A_Scoring_Model!$C$15)*(M498-$I498)/($H498-$I498))),IF(M498&lt;=$H498,A_Scoring_Model!$C$14,IF(M498&gt;$I498,0,A_Scoring_Model!$C$15+(A_Scoring_Model!$C$14-A_Scoring_Model!$C$15)*($I498-M498)/($I498-$H498))))))</f>
        <v/>
      </c>
    </row>
    <row r="499" customFormat="false" ht="15" hidden="false" customHeight="false" outlineLevel="0" collapsed="false">
      <c r="A499" s="51" t="str">
        <f aca="false">C_KPI_Benchmark!A499</f>
        <v>10.a-D1-04</v>
      </c>
      <c r="B499" s="52" t="str">
        <f aca="false">C_KPI_Benchmark!D499</f>
        <v>10.a</v>
      </c>
      <c r="C499" s="51" t="str">
        <f aca="false">C_KPI_Benchmark!E499</f>
        <v>Anomaly Detection Agent</v>
      </c>
      <c r="D499" s="52" t="str">
        <f aca="false">C_KPI_Benchmark!F499</f>
        <v>D1</v>
      </c>
      <c r="E499" s="51" t="str">
        <f aca="false">C_KPI_Benchmark!J499</f>
        <v>False alerts per day</v>
      </c>
      <c r="F499" s="52" t="str">
        <f aca="false">C_KPI_Benchmark!K499</f>
        <v>alerts/day</v>
      </c>
      <c r="G499" s="51" t="str">
        <f aca="false">C_KPI_Benchmark!L499</f>
        <v>Lower is better</v>
      </c>
      <c r="H499" s="62" t="n">
        <f aca="false">C_KPI_Benchmark!N499</f>
        <v>5</v>
      </c>
      <c r="I499" s="63" t="n">
        <f aca="false">IF(C_KPI_Benchmark!O499&lt;&gt;"",C_KPI_Benchmark!O499,IF(G499="Higher is better",H499*(1-A_Scoring_Model!$C$16),H499*(1+A_Scoring_Model!$C$16)))</f>
        <v>10</v>
      </c>
      <c r="J499" s="64"/>
      <c r="K499" s="64"/>
      <c r="L499" s="64"/>
      <c r="M499" s="64"/>
      <c r="N499" s="56" t="str">
        <f aca="false">IF(J499="","",IF($H499=$I499,IF(OR(AND($G499="Higher is better",J499&gt;=$H499),AND($G499="Lower is better",J499&lt;=$H499)),A_Scoring_Model!$C$14,0),IF($G499="Higher is better",IF(J499&gt;=$H499,A_Scoring_Model!$C$14,IF(J499&lt;$I499,0,A_Scoring_Model!$C$15+(A_Scoring_Model!$C$14-A_Scoring_Model!$C$15)*(J499-$I499)/($H499-$I499))),IF(J499&lt;=$H499,A_Scoring_Model!$C$14,IF(J499&gt;$I499,0,A_Scoring_Model!$C$15+(A_Scoring_Model!$C$14-A_Scoring_Model!$C$15)*($I499-J499)/($I499-$H499))))))</f>
        <v/>
      </c>
      <c r="O499" s="56" t="str">
        <f aca="false">IF(K499="","",IF($H499=$I499,IF(OR(AND($G499="Higher is better",K499&gt;=$H499),AND($G499="Lower is better",K499&lt;=$H499)),A_Scoring_Model!$C$14,0),IF($G499="Higher is better",IF(K499&gt;=$H499,A_Scoring_Model!$C$14,IF(K499&lt;$I499,0,A_Scoring_Model!$C$15+(A_Scoring_Model!$C$14-A_Scoring_Model!$C$15)*(K499-$I499)/($H499-$I499))),IF(K499&lt;=$H499,A_Scoring_Model!$C$14,IF(K499&gt;$I499,0,A_Scoring_Model!$C$15+(A_Scoring_Model!$C$14-A_Scoring_Model!$C$15)*($I499-K499)/($I499-$H499))))))</f>
        <v/>
      </c>
      <c r="P499" s="56" t="str">
        <f aca="false">IF(L499="","",IF($H499=$I499,IF(OR(AND($G499="Higher is better",L499&gt;=$H499),AND($G499="Lower is better",L499&lt;=$H499)),A_Scoring_Model!$C$14,0),IF($G499="Higher is better",IF(L499&gt;=$H499,A_Scoring_Model!$C$14,IF(L499&lt;$I499,0,A_Scoring_Model!$C$15+(A_Scoring_Model!$C$14-A_Scoring_Model!$C$15)*(L499-$I499)/($H499-$I499))),IF(L499&lt;=$H499,A_Scoring_Model!$C$14,IF(L499&gt;$I499,0,A_Scoring_Model!$C$15+(A_Scoring_Model!$C$14-A_Scoring_Model!$C$15)*($I499-L499)/($I499-$H499))))))</f>
        <v/>
      </c>
      <c r="Q499" s="56" t="str">
        <f aca="false">IF(M499="","",IF($H499=$I499,IF(OR(AND($G499="Higher is better",M499&gt;=$H499),AND($G499="Lower is better",M499&lt;=$H499)),A_Scoring_Model!$C$14,0),IF($G499="Higher is better",IF(M499&gt;=$H499,A_Scoring_Model!$C$14,IF(M499&lt;$I499,0,A_Scoring_Model!$C$15+(A_Scoring_Model!$C$14-A_Scoring_Model!$C$15)*(M499-$I499)/($H499-$I499))),IF(M499&lt;=$H499,A_Scoring_Model!$C$14,IF(M499&gt;$I499,0,A_Scoring_Model!$C$15+(A_Scoring_Model!$C$14-A_Scoring_Model!$C$15)*($I499-M499)/($I499-$H499))))))</f>
        <v/>
      </c>
    </row>
    <row r="500" customFormat="false" ht="15" hidden="false" customHeight="false" outlineLevel="0" collapsed="false">
      <c r="A500" s="51" t="str">
        <f aca="false">C_KPI_Benchmark!A500</f>
        <v>10.a-D2-05</v>
      </c>
      <c r="B500" s="52" t="str">
        <f aca="false">C_KPI_Benchmark!D500</f>
        <v>10.a</v>
      </c>
      <c r="C500" s="51" t="str">
        <f aca="false">C_KPI_Benchmark!E500</f>
        <v>Anomaly Detection Agent</v>
      </c>
      <c r="D500" s="52" t="str">
        <f aca="false">C_KPI_Benchmark!F500</f>
        <v>D2</v>
      </c>
      <c r="E500" s="51" t="str">
        <f aca="false">C_KPI_Benchmark!J500</f>
        <v>Generic stream schema; per-product thresholds</v>
      </c>
      <c r="F500" s="52" t="str">
        <f aca="false">C_KPI_Benchmark!K500</f>
        <v>Yes/No</v>
      </c>
      <c r="G500" s="51" t="str">
        <f aca="false">C_KPI_Benchmark!L500</f>
        <v>Higher is better</v>
      </c>
      <c r="H500" s="60" t="n">
        <f aca="false">C_KPI_Benchmark!N500</f>
        <v>1</v>
      </c>
      <c r="I500" s="56" t="n">
        <f aca="false">IF(C_KPI_Benchmark!O500&lt;&gt;"",C_KPI_Benchmark!O500,IF(G500="Higher is better",H500*(1-A_Scoring_Model!$C$16),H500*(1+A_Scoring_Model!$C$16)))</f>
        <v>0.8</v>
      </c>
      <c r="J500" s="61"/>
      <c r="K500" s="61"/>
      <c r="L500" s="61"/>
      <c r="M500" s="61"/>
      <c r="N500" s="56" t="str">
        <f aca="false">IF(J500="","",IF($H500=$I500,IF(OR(AND($G500="Higher is better",J500&gt;=$H500),AND($G500="Lower is better",J500&lt;=$H500)),A_Scoring_Model!$C$14,0),IF($G500="Higher is better",IF(J500&gt;=$H500,A_Scoring_Model!$C$14,IF(J500&lt;$I500,0,A_Scoring_Model!$C$15+(A_Scoring_Model!$C$14-A_Scoring_Model!$C$15)*(J500-$I500)/($H500-$I500))),IF(J500&lt;=$H500,A_Scoring_Model!$C$14,IF(J500&gt;$I500,0,A_Scoring_Model!$C$15+(A_Scoring_Model!$C$14-A_Scoring_Model!$C$15)*($I500-J500)/($I500-$H500))))))</f>
        <v/>
      </c>
      <c r="O500" s="56" t="str">
        <f aca="false">IF(K500="","",IF($H500=$I500,IF(OR(AND($G500="Higher is better",K500&gt;=$H500),AND($G500="Lower is better",K500&lt;=$H500)),A_Scoring_Model!$C$14,0),IF($G500="Higher is better",IF(K500&gt;=$H500,A_Scoring_Model!$C$14,IF(K500&lt;$I500,0,A_Scoring_Model!$C$15+(A_Scoring_Model!$C$14-A_Scoring_Model!$C$15)*(K500-$I500)/($H500-$I500))),IF(K500&lt;=$H500,A_Scoring_Model!$C$14,IF(K500&gt;$I500,0,A_Scoring_Model!$C$15+(A_Scoring_Model!$C$14-A_Scoring_Model!$C$15)*($I500-K500)/($I500-$H500))))))</f>
        <v/>
      </c>
      <c r="P500" s="56" t="str">
        <f aca="false">IF(L500="","",IF($H500=$I500,IF(OR(AND($G500="Higher is better",L500&gt;=$H500),AND($G500="Lower is better",L500&lt;=$H500)),A_Scoring_Model!$C$14,0),IF($G500="Higher is better",IF(L500&gt;=$H500,A_Scoring_Model!$C$14,IF(L500&lt;$I500,0,A_Scoring_Model!$C$15+(A_Scoring_Model!$C$14-A_Scoring_Model!$C$15)*(L500-$I500)/($H500-$I500))),IF(L500&lt;=$H500,A_Scoring_Model!$C$14,IF(L500&gt;$I500,0,A_Scoring_Model!$C$15+(A_Scoring_Model!$C$14-A_Scoring_Model!$C$15)*($I500-L500)/($I500-$H500))))))</f>
        <v/>
      </c>
      <c r="Q500" s="56" t="str">
        <f aca="false">IF(M500="","",IF($H500=$I500,IF(OR(AND($G500="Higher is better",M500&gt;=$H500),AND($G500="Lower is better",M500&lt;=$H500)),A_Scoring_Model!$C$14,0),IF($G500="Higher is better",IF(M500&gt;=$H500,A_Scoring_Model!$C$14,IF(M500&lt;$I500,0,A_Scoring_Model!$C$15+(A_Scoring_Model!$C$14-A_Scoring_Model!$C$15)*(M500-$I500)/($H500-$I500))),IF(M500&lt;=$H500,A_Scoring_Model!$C$14,IF(M500&gt;$I500,0,A_Scoring_Model!$C$15+(A_Scoring_Model!$C$14-A_Scoring_Model!$C$15)*($I500-M500)/($I500-$H500))))))</f>
        <v/>
      </c>
    </row>
    <row r="501" customFormat="false" ht="23.85" hidden="false" customHeight="false" outlineLevel="0" collapsed="false">
      <c r="A501" s="51" t="str">
        <f aca="false">C_KPI_Benchmark!A501</f>
        <v>10.a-D2-06</v>
      </c>
      <c r="B501" s="52" t="str">
        <f aca="false">C_KPI_Benchmark!D501</f>
        <v>10.a</v>
      </c>
      <c r="C501" s="51" t="str">
        <f aca="false">C_KPI_Benchmark!E501</f>
        <v>Anomaly Detection Agent</v>
      </c>
      <c r="D501" s="52" t="str">
        <f aca="false">C_KPI_Benchmark!F501</f>
        <v>D2</v>
      </c>
      <c r="E501" s="51" t="str">
        <f aca="false">C_KPI_Benchmark!J501</f>
        <v>Product lines supported with ≤10% efficacy drop (NVMe SSD, UFS, eMMC/uSD, PSSD)</v>
      </c>
      <c r="F501" s="52" t="str">
        <f aca="false">C_KPI_Benchmark!K501</f>
        <v>count</v>
      </c>
      <c r="G501" s="51" t="str">
        <f aca="false">C_KPI_Benchmark!L501</f>
        <v>Higher is better</v>
      </c>
      <c r="H501" s="62" t="n">
        <f aca="false">C_KPI_Benchmark!N501</f>
        <v>3</v>
      </c>
      <c r="I501" s="63" t="n">
        <f aca="false">IF(C_KPI_Benchmark!O501&lt;&gt;"",C_KPI_Benchmark!O501,IF(G501="Higher is better",H501*(1-A_Scoring_Model!$C$16),H501*(1+A_Scoring_Model!$C$16)))</f>
        <v>2</v>
      </c>
      <c r="J501" s="64"/>
      <c r="K501" s="64"/>
      <c r="L501" s="64"/>
      <c r="M501" s="64"/>
      <c r="N501" s="56" t="str">
        <f aca="false">IF(J501="","",IF($H501=$I501,IF(OR(AND($G501="Higher is better",J501&gt;=$H501),AND($G501="Lower is better",J501&lt;=$H501)),A_Scoring_Model!$C$14,0),IF($G501="Higher is better",IF(J501&gt;=$H501,A_Scoring_Model!$C$14,IF(J501&lt;$I501,0,A_Scoring_Model!$C$15+(A_Scoring_Model!$C$14-A_Scoring_Model!$C$15)*(J501-$I501)/($H501-$I501))),IF(J501&lt;=$H501,A_Scoring_Model!$C$14,IF(J501&gt;$I501,0,A_Scoring_Model!$C$15+(A_Scoring_Model!$C$14-A_Scoring_Model!$C$15)*($I501-J501)/($I501-$H501))))))</f>
        <v/>
      </c>
      <c r="O501" s="56" t="str">
        <f aca="false">IF(K501="","",IF($H501=$I501,IF(OR(AND($G501="Higher is better",K501&gt;=$H501),AND($G501="Lower is better",K501&lt;=$H501)),A_Scoring_Model!$C$14,0),IF($G501="Higher is better",IF(K501&gt;=$H501,A_Scoring_Model!$C$14,IF(K501&lt;$I501,0,A_Scoring_Model!$C$15+(A_Scoring_Model!$C$14-A_Scoring_Model!$C$15)*(K501-$I501)/($H501-$I501))),IF(K501&lt;=$H501,A_Scoring_Model!$C$14,IF(K501&gt;$I501,0,A_Scoring_Model!$C$15+(A_Scoring_Model!$C$14-A_Scoring_Model!$C$15)*($I501-K501)/($I501-$H501))))))</f>
        <v/>
      </c>
      <c r="P501" s="56" t="str">
        <f aca="false">IF(L501="","",IF($H501=$I501,IF(OR(AND($G501="Higher is better",L501&gt;=$H501),AND($G501="Lower is better",L501&lt;=$H501)),A_Scoring_Model!$C$14,0),IF($G501="Higher is better",IF(L501&gt;=$H501,A_Scoring_Model!$C$14,IF(L501&lt;$I501,0,A_Scoring_Model!$C$15+(A_Scoring_Model!$C$14-A_Scoring_Model!$C$15)*(L501-$I501)/($H501-$I501))),IF(L501&lt;=$H501,A_Scoring_Model!$C$14,IF(L501&gt;$I501,0,A_Scoring_Model!$C$15+(A_Scoring_Model!$C$14-A_Scoring_Model!$C$15)*($I501-L501)/($I501-$H501))))))</f>
        <v/>
      </c>
      <c r="Q501" s="56" t="str">
        <f aca="false">IF(M501="","",IF($H501=$I501,IF(OR(AND($G501="Higher is better",M501&gt;=$H501),AND($G501="Lower is better",M501&lt;=$H501)),A_Scoring_Model!$C$14,0),IF($G501="Higher is better",IF(M501&gt;=$H501,A_Scoring_Model!$C$14,IF(M501&lt;$I501,0,A_Scoring_Model!$C$15+(A_Scoring_Model!$C$14-A_Scoring_Model!$C$15)*(M501-$I501)/($H501-$I501))),IF(M501&lt;=$H501,A_Scoring_Model!$C$14,IF(M501&gt;$I501,0,A_Scoring_Model!$C$15+(A_Scoring_Model!$C$14-A_Scoring_Model!$C$15)*($I501-M501)/($I501-$H501))))))</f>
        <v/>
      </c>
    </row>
    <row r="502" customFormat="false" ht="15" hidden="false" customHeight="false" outlineLevel="0" collapsed="false">
      <c r="A502" s="51" t="str">
        <f aca="false">C_KPI_Benchmark!A502</f>
        <v>10.a-D2-07</v>
      </c>
      <c r="B502" s="52" t="str">
        <f aca="false">C_KPI_Benchmark!D502</f>
        <v>10.a</v>
      </c>
      <c r="C502" s="51" t="str">
        <f aca="false">C_KPI_Benchmark!E502</f>
        <v>Anomaly Detection Agent</v>
      </c>
      <c r="D502" s="52" t="str">
        <f aca="false">C_KPI_Benchmark!F502</f>
        <v>D2</v>
      </c>
      <c r="E502" s="51" t="str">
        <f aca="false">C_KPI_Benchmark!J502</f>
        <v>Uses Zion shared services instead of re-implementing them</v>
      </c>
      <c r="F502" s="52" t="str">
        <f aca="false">C_KPI_Benchmark!K502</f>
        <v>Yes/No</v>
      </c>
      <c r="G502" s="51" t="str">
        <f aca="false">C_KPI_Benchmark!L502</f>
        <v>Higher is better</v>
      </c>
      <c r="H502" s="60" t="n">
        <f aca="false">C_KPI_Benchmark!N502</f>
        <v>1</v>
      </c>
      <c r="I502" s="56" t="n">
        <f aca="false">IF(C_KPI_Benchmark!O502&lt;&gt;"",C_KPI_Benchmark!O502,IF(G502="Higher is better",H502*(1-A_Scoring_Model!$C$16),H502*(1+A_Scoring_Model!$C$16)))</f>
        <v>0.8</v>
      </c>
      <c r="J502" s="61"/>
      <c r="K502" s="61"/>
      <c r="L502" s="61"/>
      <c r="M502" s="61"/>
      <c r="N502" s="56" t="str">
        <f aca="false">IF(J502="","",IF($H502=$I502,IF(OR(AND($G502="Higher is better",J502&gt;=$H502),AND($G502="Lower is better",J502&lt;=$H502)),A_Scoring_Model!$C$14,0),IF($G502="Higher is better",IF(J502&gt;=$H502,A_Scoring_Model!$C$14,IF(J502&lt;$I502,0,A_Scoring_Model!$C$15+(A_Scoring_Model!$C$14-A_Scoring_Model!$C$15)*(J502-$I502)/($H502-$I502))),IF(J502&lt;=$H502,A_Scoring_Model!$C$14,IF(J502&gt;$I502,0,A_Scoring_Model!$C$15+(A_Scoring_Model!$C$14-A_Scoring_Model!$C$15)*($I502-J502)/($I502-$H502))))))</f>
        <v/>
      </c>
      <c r="O502" s="56" t="str">
        <f aca="false">IF(K502="","",IF($H502=$I502,IF(OR(AND($G502="Higher is better",K502&gt;=$H502),AND($G502="Lower is better",K502&lt;=$H502)),A_Scoring_Model!$C$14,0),IF($G502="Higher is better",IF(K502&gt;=$H502,A_Scoring_Model!$C$14,IF(K502&lt;$I502,0,A_Scoring_Model!$C$15+(A_Scoring_Model!$C$14-A_Scoring_Model!$C$15)*(K502-$I502)/($H502-$I502))),IF(K502&lt;=$H502,A_Scoring_Model!$C$14,IF(K502&gt;$I502,0,A_Scoring_Model!$C$15+(A_Scoring_Model!$C$14-A_Scoring_Model!$C$15)*($I502-K502)/($I502-$H502))))))</f>
        <v/>
      </c>
      <c r="P502" s="56" t="str">
        <f aca="false">IF(L502="","",IF($H502=$I502,IF(OR(AND($G502="Higher is better",L502&gt;=$H502),AND($G502="Lower is better",L502&lt;=$H502)),A_Scoring_Model!$C$14,0),IF($G502="Higher is better",IF(L502&gt;=$H502,A_Scoring_Model!$C$14,IF(L502&lt;$I502,0,A_Scoring_Model!$C$15+(A_Scoring_Model!$C$14-A_Scoring_Model!$C$15)*(L502-$I502)/($H502-$I502))),IF(L502&lt;=$H502,A_Scoring_Model!$C$14,IF(L502&gt;$I502,0,A_Scoring_Model!$C$15+(A_Scoring_Model!$C$14-A_Scoring_Model!$C$15)*($I502-L502)/($I502-$H502))))))</f>
        <v/>
      </c>
      <c r="Q502" s="56" t="str">
        <f aca="false">IF(M502="","",IF($H502=$I502,IF(OR(AND($G502="Higher is better",M502&gt;=$H502),AND($G502="Lower is better",M502&lt;=$H502)),A_Scoring_Model!$C$14,0),IF($G502="Higher is better",IF(M502&gt;=$H502,A_Scoring_Model!$C$14,IF(M502&lt;$I502,0,A_Scoring_Model!$C$15+(A_Scoring_Model!$C$14-A_Scoring_Model!$C$15)*(M502-$I502)/($H502-$I502))),IF(M502&lt;=$H502,A_Scoring_Model!$C$14,IF(M502&gt;$I502,0,A_Scoring_Model!$C$15+(A_Scoring_Model!$C$14-A_Scoring_Model!$C$15)*($I502-M502)/($I502-$H502))))))</f>
        <v/>
      </c>
    </row>
    <row r="503" customFormat="false" ht="15" hidden="false" customHeight="false" outlineLevel="0" collapsed="false">
      <c r="A503" s="51" t="str">
        <f aca="false">C_KPI_Benchmark!A503</f>
        <v>10.a-D3-08</v>
      </c>
      <c r="B503" s="52" t="str">
        <f aca="false">C_KPI_Benchmark!D503</f>
        <v>10.a</v>
      </c>
      <c r="C503" s="51" t="str">
        <f aca="false">C_KPI_Benchmark!E503</f>
        <v>Anomaly Detection Agent</v>
      </c>
      <c r="D503" s="52" t="str">
        <f aca="false">C_KPI_Benchmark!F503</f>
        <v>D3</v>
      </c>
      <c r="E503" s="51" t="str">
        <f aca="false">C_KPI_Benchmark!J503</f>
        <v>Device streams monitored</v>
      </c>
      <c r="F503" s="52" t="str">
        <f aca="false">C_KPI_Benchmark!K503</f>
        <v>streams</v>
      </c>
      <c r="G503" s="51" t="str">
        <f aca="false">C_KPI_Benchmark!L503</f>
        <v>Higher is better</v>
      </c>
      <c r="H503" s="62" t="n">
        <f aca="false">C_KPI_Benchmark!N503</f>
        <v>100000</v>
      </c>
      <c r="I503" s="63" t="n">
        <f aca="false">IF(C_KPI_Benchmark!O503&lt;&gt;"",C_KPI_Benchmark!O503,IF(G503="Higher is better",H503*(1-A_Scoring_Model!$C$16),H503*(1+A_Scoring_Model!$C$16)))</f>
        <v>80000</v>
      </c>
      <c r="J503" s="64"/>
      <c r="K503" s="64"/>
      <c r="L503" s="64"/>
      <c r="M503" s="64"/>
      <c r="N503" s="56" t="str">
        <f aca="false">IF(J503="","",IF($H503=$I503,IF(OR(AND($G503="Higher is better",J503&gt;=$H503),AND($G503="Lower is better",J503&lt;=$H503)),A_Scoring_Model!$C$14,0),IF($G503="Higher is better",IF(J503&gt;=$H503,A_Scoring_Model!$C$14,IF(J503&lt;$I503,0,A_Scoring_Model!$C$15+(A_Scoring_Model!$C$14-A_Scoring_Model!$C$15)*(J503-$I503)/($H503-$I503))),IF(J503&lt;=$H503,A_Scoring_Model!$C$14,IF(J503&gt;$I503,0,A_Scoring_Model!$C$15+(A_Scoring_Model!$C$14-A_Scoring_Model!$C$15)*($I503-J503)/($I503-$H503))))))</f>
        <v/>
      </c>
      <c r="O503" s="56" t="str">
        <f aca="false">IF(K503="","",IF($H503=$I503,IF(OR(AND($G503="Higher is better",K503&gt;=$H503),AND($G503="Lower is better",K503&lt;=$H503)),A_Scoring_Model!$C$14,0),IF($G503="Higher is better",IF(K503&gt;=$H503,A_Scoring_Model!$C$14,IF(K503&lt;$I503,0,A_Scoring_Model!$C$15+(A_Scoring_Model!$C$14-A_Scoring_Model!$C$15)*(K503-$I503)/($H503-$I503))),IF(K503&lt;=$H503,A_Scoring_Model!$C$14,IF(K503&gt;$I503,0,A_Scoring_Model!$C$15+(A_Scoring_Model!$C$14-A_Scoring_Model!$C$15)*($I503-K503)/($I503-$H503))))))</f>
        <v/>
      </c>
      <c r="P503" s="56" t="str">
        <f aca="false">IF(L503="","",IF($H503=$I503,IF(OR(AND($G503="Higher is better",L503&gt;=$H503),AND($G503="Lower is better",L503&lt;=$H503)),A_Scoring_Model!$C$14,0),IF($G503="Higher is better",IF(L503&gt;=$H503,A_Scoring_Model!$C$14,IF(L503&lt;$I503,0,A_Scoring_Model!$C$15+(A_Scoring_Model!$C$14-A_Scoring_Model!$C$15)*(L503-$I503)/($H503-$I503))),IF(L503&lt;=$H503,A_Scoring_Model!$C$14,IF(L503&gt;$I503,0,A_Scoring_Model!$C$15+(A_Scoring_Model!$C$14-A_Scoring_Model!$C$15)*($I503-L503)/($I503-$H503))))))</f>
        <v/>
      </c>
      <c r="Q503" s="56" t="str">
        <f aca="false">IF(M503="","",IF($H503=$I503,IF(OR(AND($G503="Higher is better",M503&gt;=$H503),AND($G503="Lower is better",M503&lt;=$H503)),A_Scoring_Model!$C$14,0),IF($G503="Higher is better",IF(M503&gt;=$H503,A_Scoring_Model!$C$14,IF(M503&lt;$I503,0,A_Scoring_Model!$C$15+(A_Scoring_Model!$C$14-A_Scoring_Model!$C$15)*(M503-$I503)/($H503-$I503))),IF(M503&lt;=$H503,A_Scoring_Model!$C$14,IF(M503&gt;$I503,0,A_Scoring_Model!$C$15+(A_Scoring_Model!$C$14-A_Scoring_Model!$C$15)*($I503-M503)/($I503-$H503))))))</f>
        <v/>
      </c>
    </row>
    <row r="504" customFormat="false" ht="15" hidden="false" customHeight="false" outlineLevel="0" collapsed="false">
      <c r="A504" s="51" t="str">
        <f aca="false">C_KPI_Benchmark!A504</f>
        <v>10.a-D3-09</v>
      </c>
      <c r="B504" s="52" t="str">
        <f aca="false">C_KPI_Benchmark!D504</f>
        <v>10.a</v>
      </c>
      <c r="C504" s="51" t="str">
        <f aca="false">C_KPI_Benchmark!E504</f>
        <v>Anomaly Detection Agent</v>
      </c>
      <c r="D504" s="52" t="str">
        <f aca="false">C_KPI_Benchmark!F504</f>
        <v>D3</v>
      </c>
      <c r="E504" s="51" t="str">
        <f aca="false">C_KPI_Benchmark!J504</f>
        <v>Detection latency</v>
      </c>
      <c r="F504" s="52" t="str">
        <f aca="false">C_KPI_Benchmark!K504</f>
        <v>min</v>
      </c>
      <c r="G504" s="51" t="str">
        <f aca="false">C_KPI_Benchmark!L504</f>
        <v>Lower is better</v>
      </c>
      <c r="H504" s="62" t="n">
        <f aca="false">C_KPI_Benchmark!N504</f>
        <v>1</v>
      </c>
      <c r="I504" s="63" t="n">
        <f aca="false">IF(C_KPI_Benchmark!O504&lt;&gt;"",C_KPI_Benchmark!O504,IF(G504="Higher is better",H504*(1-A_Scoring_Model!$C$16),H504*(1+A_Scoring_Model!$C$16)))</f>
        <v>1.2</v>
      </c>
      <c r="J504" s="64"/>
      <c r="K504" s="64"/>
      <c r="L504" s="64"/>
      <c r="M504" s="64"/>
      <c r="N504" s="56" t="str">
        <f aca="false">IF(J504="","",IF($H504=$I504,IF(OR(AND($G504="Higher is better",J504&gt;=$H504),AND($G504="Lower is better",J504&lt;=$H504)),A_Scoring_Model!$C$14,0),IF($G504="Higher is better",IF(J504&gt;=$H504,A_Scoring_Model!$C$14,IF(J504&lt;$I504,0,A_Scoring_Model!$C$15+(A_Scoring_Model!$C$14-A_Scoring_Model!$C$15)*(J504-$I504)/($H504-$I504))),IF(J504&lt;=$H504,A_Scoring_Model!$C$14,IF(J504&gt;$I504,0,A_Scoring_Model!$C$15+(A_Scoring_Model!$C$14-A_Scoring_Model!$C$15)*($I504-J504)/($I504-$H504))))))</f>
        <v/>
      </c>
      <c r="O504" s="56" t="str">
        <f aca="false">IF(K504="","",IF($H504=$I504,IF(OR(AND($G504="Higher is better",K504&gt;=$H504),AND($G504="Lower is better",K504&lt;=$H504)),A_Scoring_Model!$C$14,0),IF($G504="Higher is better",IF(K504&gt;=$H504,A_Scoring_Model!$C$14,IF(K504&lt;$I504,0,A_Scoring_Model!$C$15+(A_Scoring_Model!$C$14-A_Scoring_Model!$C$15)*(K504-$I504)/($H504-$I504))),IF(K504&lt;=$H504,A_Scoring_Model!$C$14,IF(K504&gt;$I504,0,A_Scoring_Model!$C$15+(A_Scoring_Model!$C$14-A_Scoring_Model!$C$15)*($I504-K504)/($I504-$H504))))))</f>
        <v/>
      </c>
      <c r="P504" s="56" t="str">
        <f aca="false">IF(L504="","",IF($H504=$I504,IF(OR(AND($G504="Higher is better",L504&gt;=$H504),AND($G504="Lower is better",L504&lt;=$H504)),A_Scoring_Model!$C$14,0),IF($G504="Higher is better",IF(L504&gt;=$H504,A_Scoring_Model!$C$14,IF(L504&lt;$I504,0,A_Scoring_Model!$C$15+(A_Scoring_Model!$C$14-A_Scoring_Model!$C$15)*(L504-$I504)/($H504-$I504))),IF(L504&lt;=$H504,A_Scoring_Model!$C$14,IF(L504&gt;$I504,0,A_Scoring_Model!$C$15+(A_Scoring_Model!$C$14-A_Scoring_Model!$C$15)*($I504-L504)/($I504-$H504))))))</f>
        <v/>
      </c>
      <c r="Q504" s="56" t="str">
        <f aca="false">IF(M504="","",IF($H504=$I504,IF(OR(AND($G504="Higher is better",M504&gt;=$H504),AND($G504="Lower is better",M504&lt;=$H504)),A_Scoring_Model!$C$14,0),IF($G504="Higher is better",IF(M504&gt;=$H504,A_Scoring_Model!$C$14,IF(M504&lt;$I504,0,A_Scoring_Model!$C$15+(A_Scoring_Model!$C$14-A_Scoring_Model!$C$15)*(M504-$I504)/($H504-$I504))),IF(M504&lt;=$H504,A_Scoring_Model!$C$14,IF(M504&gt;$I504,0,A_Scoring_Model!$C$15+(A_Scoring_Model!$C$14-A_Scoring_Model!$C$15)*($I504-M504)/($I504-$H504))))))</f>
        <v/>
      </c>
    </row>
    <row r="505" customFormat="false" ht="15" hidden="false" customHeight="false" outlineLevel="0" collapsed="false">
      <c r="A505" s="51" t="str">
        <f aca="false">C_KPI_Benchmark!A505</f>
        <v>10.a-D3-10</v>
      </c>
      <c r="B505" s="52" t="str">
        <f aca="false">C_KPI_Benchmark!D505</f>
        <v>10.a</v>
      </c>
      <c r="C505" s="51" t="str">
        <f aca="false">C_KPI_Benchmark!E505</f>
        <v>Anomaly Detection Agent</v>
      </c>
      <c r="D505" s="52" t="str">
        <f aca="false">C_KPI_Benchmark!F505</f>
        <v>D3</v>
      </c>
      <c r="E505" s="51" t="str">
        <f aca="false">C_KPI_Benchmark!J505</f>
        <v>Latency degradation at 10× load</v>
      </c>
      <c r="F505" s="52" t="str">
        <f aca="false">C_KPI_Benchmark!K505</f>
        <v>%</v>
      </c>
      <c r="G505" s="51" t="str">
        <f aca="false">C_KPI_Benchmark!L505</f>
        <v>Lower is better</v>
      </c>
      <c r="H505" s="53" t="n">
        <f aca="false">C_KPI_Benchmark!N505</f>
        <v>0.2</v>
      </c>
      <c r="I505" s="54" t="n">
        <f aca="false">IF(C_KPI_Benchmark!O505&lt;&gt;"",C_KPI_Benchmark!O505,IF(G505="Higher is better",H505*(1-A_Scoring_Model!$C$16),H505*(1+A_Scoring_Model!$C$16)))</f>
        <v>0.4</v>
      </c>
      <c r="J505" s="55"/>
      <c r="K505" s="55"/>
      <c r="L505" s="55"/>
      <c r="M505" s="55"/>
      <c r="N505" s="56" t="str">
        <f aca="false">IF(J505="","",IF($H505=$I505,IF(OR(AND($G505="Higher is better",J505&gt;=$H505),AND($G505="Lower is better",J505&lt;=$H505)),A_Scoring_Model!$C$14,0),IF($G505="Higher is better",IF(J505&gt;=$H505,A_Scoring_Model!$C$14,IF(J505&lt;$I505,0,A_Scoring_Model!$C$15+(A_Scoring_Model!$C$14-A_Scoring_Model!$C$15)*(J505-$I505)/($H505-$I505))),IF(J505&lt;=$H505,A_Scoring_Model!$C$14,IF(J505&gt;$I505,0,A_Scoring_Model!$C$15+(A_Scoring_Model!$C$14-A_Scoring_Model!$C$15)*($I505-J505)/($I505-$H505))))))</f>
        <v/>
      </c>
      <c r="O505" s="56" t="str">
        <f aca="false">IF(K505="","",IF($H505=$I505,IF(OR(AND($G505="Higher is better",K505&gt;=$H505),AND($G505="Lower is better",K505&lt;=$H505)),A_Scoring_Model!$C$14,0),IF($G505="Higher is better",IF(K505&gt;=$H505,A_Scoring_Model!$C$14,IF(K505&lt;$I505,0,A_Scoring_Model!$C$15+(A_Scoring_Model!$C$14-A_Scoring_Model!$C$15)*(K505-$I505)/($H505-$I505))),IF(K505&lt;=$H505,A_Scoring_Model!$C$14,IF(K505&gt;$I505,0,A_Scoring_Model!$C$15+(A_Scoring_Model!$C$14-A_Scoring_Model!$C$15)*($I505-K505)/($I505-$H505))))))</f>
        <v/>
      </c>
      <c r="P505" s="56" t="str">
        <f aca="false">IF(L505="","",IF($H505=$I505,IF(OR(AND($G505="Higher is better",L505&gt;=$H505),AND($G505="Lower is better",L505&lt;=$H505)),A_Scoring_Model!$C$14,0),IF($G505="Higher is better",IF(L505&gt;=$H505,A_Scoring_Model!$C$14,IF(L505&lt;$I505,0,A_Scoring_Model!$C$15+(A_Scoring_Model!$C$14-A_Scoring_Model!$C$15)*(L505-$I505)/($H505-$I505))),IF(L505&lt;=$H505,A_Scoring_Model!$C$14,IF(L505&gt;$I505,0,A_Scoring_Model!$C$15+(A_Scoring_Model!$C$14-A_Scoring_Model!$C$15)*($I505-L505)/($I505-$H505))))))</f>
        <v/>
      </c>
      <c r="Q505" s="56" t="str">
        <f aca="false">IF(M505="","",IF($H505=$I505,IF(OR(AND($G505="Higher is better",M505&gt;=$H505),AND($G505="Lower is better",M505&lt;=$H505)),A_Scoring_Model!$C$14,0),IF($G505="Higher is better",IF(M505&gt;=$H505,A_Scoring_Model!$C$14,IF(M505&lt;$I505,0,A_Scoring_Model!$C$15+(A_Scoring_Model!$C$14-A_Scoring_Model!$C$15)*(M505-$I505)/($H505-$I505))),IF(M505&lt;=$H505,A_Scoring_Model!$C$14,IF(M505&gt;$I505,0,A_Scoring_Model!$C$15+(A_Scoring_Model!$C$14-A_Scoring_Model!$C$15)*($I505-M505)/($I505-$H505))))))</f>
        <v/>
      </c>
    </row>
    <row r="506" customFormat="false" ht="15" hidden="false" customHeight="false" outlineLevel="0" collapsed="false">
      <c r="A506" s="51" t="str">
        <f aca="false">C_KPI_Benchmark!A506</f>
        <v>10.a-D4-11</v>
      </c>
      <c r="B506" s="52" t="str">
        <f aca="false">C_KPI_Benchmark!D506</f>
        <v>10.a</v>
      </c>
      <c r="C506" s="51" t="str">
        <f aca="false">C_KPI_Benchmark!E506</f>
        <v>Anomaly Detection Agent</v>
      </c>
      <c r="D506" s="52" t="str">
        <f aca="false">C_KPI_Benchmark!F506</f>
        <v>D4</v>
      </c>
      <c r="E506" s="51" t="str">
        <f aca="false">C_KPI_Benchmark!J506</f>
        <v>Alerts explaining contributing signals</v>
      </c>
      <c r="F506" s="52" t="str">
        <f aca="false">C_KPI_Benchmark!K506</f>
        <v>%</v>
      </c>
      <c r="G506" s="51" t="str">
        <f aca="false">C_KPI_Benchmark!L506</f>
        <v>Higher is better</v>
      </c>
      <c r="H506" s="53" t="n">
        <f aca="false">C_KPI_Benchmark!N506</f>
        <v>1</v>
      </c>
      <c r="I506" s="54" t="n">
        <f aca="false">IF(C_KPI_Benchmark!O506&lt;&gt;"",C_KPI_Benchmark!O506,IF(G506="Higher is better",H506*(1-A_Scoring_Model!$C$16),H506*(1+A_Scoring_Model!$C$16)))</f>
        <v>0.8</v>
      </c>
      <c r="J506" s="55"/>
      <c r="K506" s="55"/>
      <c r="L506" s="55"/>
      <c r="M506" s="55"/>
      <c r="N506" s="56" t="str">
        <f aca="false">IF(J506="","",IF($H506=$I506,IF(OR(AND($G506="Higher is better",J506&gt;=$H506),AND($G506="Lower is better",J506&lt;=$H506)),A_Scoring_Model!$C$14,0),IF($G506="Higher is better",IF(J506&gt;=$H506,A_Scoring_Model!$C$14,IF(J506&lt;$I506,0,A_Scoring_Model!$C$15+(A_Scoring_Model!$C$14-A_Scoring_Model!$C$15)*(J506-$I506)/($H506-$I506))),IF(J506&lt;=$H506,A_Scoring_Model!$C$14,IF(J506&gt;$I506,0,A_Scoring_Model!$C$15+(A_Scoring_Model!$C$14-A_Scoring_Model!$C$15)*($I506-J506)/($I506-$H506))))))</f>
        <v/>
      </c>
      <c r="O506" s="56" t="str">
        <f aca="false">IF(K506="","",IF($H506=$I506,IF(OR(AND($G506="Higher is better",K506&gt;=$H506),AND($G506="Lower is better",K506&lt;=$H506)),A_Scoring_Model!$C$14,0),IF($G506="Higher is better",IF(K506&gt;=$H506,A_Scoring_Model!$C$14,IF(K506&lt;$I506,0,A_Scoring_Model!$C$15+(A_Scoring_Model!$C$14-A_Scoring_Model!$C$15)*(K506-$I506)/($H506-$I506))),IF(K506&lt;=$H506,A_Scoring_Model!$C$14,IF(K506&gt;$I506,0,A_Scoring_Model!$C$15+(A_Scoring_Model!$C$14-A_Scoring_Model!$C$15)*($I506-K506)/($I506-$H506))))))</f>
        <v/>
      </c>
      <c r="P506" s="56" t="str">
        <f aca="false">IF(L506="","",IF($H506=$I506,IF(OR(AND($G506="Higher is better",L506&gt;=$H506),AND($G506="Lower is better",L506&lt;=$H506)),A_Scoring_Model!$C$14,0),IF($G506="Higher is better",IF(L506&gt;=$H506,A_Scoring_Model!$C$14,IF(L506&lt;$I506,0,A_Scoring_Model!$C$15+(A_Scoring_Model!$C$14-A_Scoring_Model!$C$15)*(L506-$I506)/($H506-$I506))),IF(L506&lt;=$H506,A_Scoring_Model!$C$14,IF(L506&gt;$I506,0,A_Scoring_Model!$C$15+(A_Scoring_Model!$C$14-A_Scoring_Model!$C$15)*($I506-L506)/($I506-$H506))))))</f>
        <v/>
      </c>
      <c r="Q506" s="56" t="str">
        <f aca="false">IF(M506="","",IF($H506=$I506,IF(OR(AND($G506="Higher is better",M506&gt;=$H506),AND($G506="Lower is better",M506&lt;=$H506)),A_Scoring_Model!$C$14,0),IF($G506="Higher is better",IF(M506&gt;=$H506,A_Scoring_Model!$C$14,IF(M506&lt;$I506,0,A_Scoring_Model!$C$15+(A_Scoring_Model!$C$14-A_Scoring_Model!$C$15)*(M506-$I506)/($H506-$I506))),IF(M506&lt;=$H506,A_Scoring_Model!$C$14,IF(M506&gt;$I506,0,A_Scoring_Model!$C$15+(A_Scoring_Model!$C$14-A_Scoring_Model!$C$15)*($I506-M506)/($I506-$H506))))))</f>
        <v/>
      </c>
    </row>
    <row r="507" customFormat="false" ht="15" hidden="false" customHeight="false" outlineLevel="0" collapsed="false">
      <c r="A507" s="51" t="str">
        <f aca="false">C_KPI_Benchmark!A507</f>
        <v>10.a-D4-12</v>
      </c>
      <c r="B507" s="52" t="str">
        <f aca="false">C_KPI_Benchmark!D507</f>
        <v>10.a</v>
      </c>
      <c r="C507" s="51" t="str">
        <f aca="false">C_KPI_Benchmark!E507</f>
        <v>Anomaly Detection Agent</v>
      </c>
      <c r="D507" s="52" t="str">
        <f aca="false">C_KPI_Benchmark!F507</f>
        <v>D4</v>
      </c>
      <c r="E507" s="51" t="str">
        <f aca="false">C_KPI_Benchmark!J507</f>
        <v>Service availability</v>
      </c>
      <c r="F507" s="52" t="str">
        <f aca="false">C_KPI_Benchmark!K507</f>
        <v>%</v>
      </c>
      <c r="G507" s="51" t="str">
        <f aca="false">C_KPI_Benchmark!L507</f>
        <v>Higher is better</v>
      </c>
      <c r="H507" s="53" t="n">
        <f aca="false">C_KPI_Benchmark!N507</f>
        <v>0.995</v>
      </c>
      <c r="I507" s="54" t="n">
        <f aca="false">IF(C_KPI_Benchmark!O507&lt;&gt;"",C_KPI_Benchmark!O507,IF(G507="Higher is better",H507*(1-A_Scoring_Model!$C$16),H507*(1+A_Scoring_Model!$C$16)))</f>
        <v>0.99</v>
      </c>
      <c r="J507" s="55"/>
      <c r="K507" s="55"/>
      <c r="L507" s="55"/>
      <c r="M507" s="55"/>
      <c r="N507" s="56" t="str">
        <f aca="false">IF(J507="","",IF($H507=$I507,IF(OR(AND($G507="Higher is better",J507&gt;=$H507),AND($G507="Lower is better",J507&lt;=$H507)),A_Scoring_Model!$C$14,0),IF($G507="Higher is better",IF(J507&gt;=$H507,A_Scoring_Model!$C$14,IF(J507&lt;$I507,0,A_Scoring_Model!$C$15+(A_Scoring_Model!$C$14-A_Scoring_Model!$C$15)*(J507-$I507)/($H507-$I507))),IF(J507&lt;=$H507,A_Scoring_Model!$C$14,IF(J507&gt;$I507,0,A_Scoring_Model!$C$15+(A_Scoring_Model!$C$14-A_Scoring_Model!$C$15)*($I507-J507)/($I507-$H507))))))</f>
        <v/>
      </c>
      <c r="O507" s="56" t="str">
        <f aca="false">IF(K507="","",IF($H507=$I507,IF(OR(AND($G507="Higher is better",K507&gt;=$H507),AND($G507="Lower is better",K507&lt;=$H507)),A_Scoring_Model!$C$14,0),IF($G507="Higher is better",IF(K507&gt;=$H507,A_Scoring_Model!$C$14,IF(K507&lt;$I507,0,A_Scoring_Model!$C$15+(A_Scoring_Model!$C$14-A_Scoring_Model!$C$15)*(K507-$I507)/($H507-$I507))),IF(K507&lt;=$H507,A_Scoring_Model!$C$14,IF(K507&gt;$I507,0,A_Scoring_Model!$C$15+(A_Scoring_Model!$C$14-A_Scoring_Model!$C$15)*($I507-K507)/($I507-$H507))))))</f>
        <v/>
      </c>
      <c r="P507" s="56" t="str">
        <f aca="false">IF(L507="","",IF($H507=$I507,IF(OR(AND($G507="Higher is better",L507&gt;=$H507),AND($G507="Lower is better",L507&lt;=$H507)),A_Scoring_Model!$C$14,0),IF($G507="Higher is better",IF(L507&gt;=$H507,A_Scoring_Model!$C$14,IF(L507&lt;$I507,0,A_Scoring_Model!$C$15+(A_Scoring_Model!$C$14-A_Scoring_Model!$C$15)*(L507-$I507)/($H507-$I507))),IF(L507&lt;=$H507,A_Scoring_Model!$C$14,IF(L507&gt;$I507,0,A_Scoring_Model!$C$15+(A_Scoring_Model!$C$14-A_Scoring_Model!$C$15)*($I507-L507)/($I507-$H507))))))</f>
        <v/>
      </c>
      <c r="Q507" s="56" t="str">
        <f aca="false">IF(M507="","",IF($H507=$I507,IF(OR(AND($G507="Higher is better",M507&gt;=$H507),AND($G507="Lower is better",M507&lt;=$H507)),A_Scoring_Model!$C$14,0),IF($G507="Higher is better",IF(M507&gt;=$H507,A_Scoring_Model!$C$14,IF(M507&lt;$I507,0,A_Scoring_Model!$C$15+(A_Scoring_Model!$C$14-A_Scoring_Model!$C$15)*(M507-$I507)/($H507-$I507))),IF(M507&lt;=$H507,A_Scoring_Model!$C$14,IF(M507&gt;$I507,0,A_Scoring_Model!$C$15+(A_Scoring_Model!$C$14-A_Scoring_Model!$C$15)*($I507-M507)/($I507-$H507))))))</f>
        <v/>
      </c>
    </row>
    <row r="508" customFormat="false" ht="15" hidden="false" customHeight="false" outlineLevel="0" collapsed="false">
      <c r="A508" s="51" t="str">
        <f aca="false">C_KPI_Benchmark!A508</f>
        <v>10.a-D5-13</v>
      </c>
      <c r="B508" s="52" t="str">
        <f aca="false">C_KPI_Benchmark!D508</f>
        <v>10.a</v>
      </c>
      <c r="C508" s="51" t="str">
        <f aca="false">C_KPI_Benchmark!E508</f>
        <v>Anomaly Detection Agent</v>
      </c>
      <c r="D508" s="52" t="str">
        <f aca="false">C_KPI_Benchmark!F508</f>
        <v>D5</v>
      </c>
      <c r="E508" s="51" t="str">
        <f aca="false">C_KPI_Benchmark!J508</f>
        <v>Field failure MTTD reduction</v>
      </c>
      <c r="F508" s="52" t="str">
        <f aca="false">C_KPI_Benchmark!K508</f>
        <v>%</v>
      </c>
      <c r="G508" s="51" t="str">
        <f aca="false">C_KPI_Benchmark!L508</f>
        <v>Higher is better</v>
      </c>
      <c r="H508" s="53" t="n">
        <f aca="false">C_KPI_Benchmark!N508</f>
        <v>0.5</v>
      </c>
      <c r="I508" s="54" t="n">
        <f aca="false">IF(C_KPI_Benchmark!O508&lt;&gt;"",C_KPI_Benchmark!O508,IF(G508="Higher is better",H508*(1-A_Scoring_Model!$C$16),H508*(1+A_Scoring_Model!$C$16)))</f>
        <v>0.4</v>
      </c>
      <c r="J508" s="55"/>
      <c r="K508" s="55"/>
      <c r="L508" s="55"/>
      <c r="M508" s="55"/>
      <c r="N508" s="56" t="str">
        <f aca="false">IF(J508="","",IF($H508=$I508,IF(OR(AND($G508="Higher is better",J508&gt;=$H508),AND($G508="Lower is better",J508&lt;=$H508)),A_Scoring_Model!$C$14,0),IF($G508="Higher is better",IF(J508&gt;=$H508,A_Scoring_Model!$C$14,IF(J508&lt;$I508,0,A_Scoring_Model!$C$15+(A_Scoring_Model!$C$14-A_Scoring_Model!$C$15)*(J508-$I508)/($H508-$I508))),IF(J508&lt;=$H508,A_Scoring_Model!$C$14,IF(J508&gt;$I508,0,A_Scoring_Model!$C$15+(A_Scoring_Model!$C$14-A_Scoring_Model!$C$15)*($I508-J508)/($I508-$H508))))))</f>
        <v/>
      </c>
      <c r="O508" s="56" t="str">
        <f aca="false">IF(K508="","",IF($H508=$I508,IF(OR(AND($G508="Higher is better",K508&gt;=$H508),AND($G508="Lower is better",K508&lt;=$H508)),A_Scoring_Model!$C$14,0),IF($G508="Higher is better",IF(K508&gt;=$H508,A_Scoring_Model!$C$14,IF(K508&lt;$I508,0,A_Scoring_Model!$C$15+(A_Scoring_Model!$C$14-A_Scoring_Model!$C$15)*(K508-$I508)/($H508-$I508))),IF(K508&lt;=$H508,A_Scoring_Model!$C$14,IF(K508&gt;$I508,0,A_Scoring_Model!$C$15+(A_Scoring_Model!$C$14-A_Scoring_Model!$C$15)*($I508-K508)/($I508-$H508))))))</f>
        <v/>
      </c>
      <c r="P508" s="56" t="str">
        <f aca="false">IF(L508="","",IF($H508=$I508,IF(OR(AND($G508="Higher is better",L508&gt;=$H508),AND($G508="Lower is better",L508&lt;=$H508)),A_Scoring_Model!$C$14,0),IF($G508="Higher is better",IF(L508&gt;=$H508,A_Scoring_Model!$C$14,IF(L508&lt;$I508,0,A_Scoring_Model!$C$15+(A_Scoring_Model!$C$14-A_Scoring_Model!$C$15)*(L508-$I508)/($H508-$I508))),IF(L508&lt;=$H508,A_Scoring_Model!$C$14,IF(L508&gt;$I508,0,A_Scoring_Model!$C$15+(A_Scoring_Model!$C$14-A_Scoring_Model!$C$15)*($I508-L508)/($I508-$H508))))))</f>
        <v/>
      </c>
      <c r="Q508" s="56" t="str">
        <f aca="false">IF(M508="","",IF($H508=$I508,IF(OR(AND($G508="Higher is better",M508&gt;=$H508),AND($G508="Lower is better",M508&lt;=$H508)),A_Scoring_Model!$C$14,0),IF($G508="Higher is better",IF(M508&gt;=$H508,A_Scoring_Model!$C$14,IF(M508&lt;$I508,0,A_Scoring_Model!$C$15+(A_Scoring_Model!$C$14-A_Scoring_Model!$C$15)*(M508-$I508)/($H508-$I508))),IF(M508&lt;=$H508,A_Scoring_Model!$C$14,IF(M508&gt;$I508,0,A_Scoring_Model!$C$15+(A_Scoring_Model!$C$14-A_Scoring_Model!$C$15)*($I508-M508)/($I508-$H508))))))</f>
        <v/>
      </c>
    </row>
    <row r="509" customFormat="false" ht="15" hidden="false" customHeight="false" outlineLevel="0" collapsed="false">
      <c r="A509" s="51" t="str">
        <f aca="false">C_KPI_Benchmark!A509</f>
        <v>10.a-D6-14</v>
      </c>
      <c r="B509" s="52" t="str">
        <f aca="false">C_KPI_Benchmark!D509</f>
        <v>10.a</v>
      </c>
      <c r="C509" s="51" t="str">
        <f aca="false">C_KPI_Benchmark!E509</f>
        <v>Anomaly Detection Agent</v>
      </c>
      <c r="D509" s="52" t="str">
        <f aca="false">C_KPI_Benchmark!F509</f>
        <v>D6</v>
      </c>
      <c r="E509" s="51" t="str">
        <f aca="false">C_KPI_Benchmark!J509</f>
        <v>Solution code test coverage</v>
      </c>
      <c r="F509" s="52" t="str">
        <f aca="false">C_KPI_Benchmark!K509</f>
        <v>%</v>
      </c>
      <c r="G509" s="51" t="str">
        <f aca="false">C_KPI_Benchmark!L509</f>
        <v>Higher is better</v>
      </c>
      <c r="H509" s="53" t="n">
        <f aca="false">C_KPI_Benchmark!N509</f>
        <v>0.8</v>
      </c>
      <c r="I509" s="54" t="n">
        <f aca="false">IF(C_KPI_Benchmark!O509&lt;&gt;"",C_KPI_Benchmark!O509,IF(G509="Higher is better",H509*(1-A_Scoring_Model!$C$16),H509*(1+A_Scoring_Model!$C$16)))</f>
        <v>0.6</v>
      </c>
      <c r="J509" s="55"/>
      <c r="K509" s="55"/>
      <c r="L509" s="55"/>
      <c r="M509" s="55"/>
      <c r="N509" s="56" t="str">
        <f aca="false">IF(J509="","",IF($H509=$I509,IF(OR(AND($G509="Higher is better",J509&gt;=$H509),AND($G509="Lower is better",J509&lt;=$H509)),A_Scoring_Model!$C$14,0),IF($G509="Higher is better",IF(J509&gt;=$H509,A_Scoring_Model!$C$14,IF(J509&lt;$I509,0,A_Scoring_Model!$C$15+(A_Scoring_Model!$C$14-A_Scoring_Model!$C$15)*(J509-$I509)/($H509-$I509))),IF(J509&lt;=$H509,A_Scoring_Model!$C$14,IF(J509&gt;$I509,0,A_Scoring_Model!$C$15+(A_Scoring_Model!$C$14-A_Scoring_Model!$C$15)*($I509-J509)/($I509-$H509))))))</f>
        <v/>
      </c>
      <c r="O509" s="56" t="str">
        <f aca="false">IF(K509="","",IF($H509=$I509,IF(OR(AND($G509="Higher is better",K509&gt;=$H509),AND($G509="Lower is better",K509&lt;=$H509)),A_Scoring_Model!$C$14,0),IF($G509="Higher is better",IF(K509&gt;=$H509,A_Scoring_Model!$C$14,IF(K509&lt;$I509,0,A_Scoring_Model!$C$15+(A_Scoring_Model!$C$14-A_Scoring_Model!$C$15)*(K509-$I509)/($H509-$I509))),IF(K509&lt;=$H509,A_Scoring_Model!$C$14,IF(K509&gt;$I509,0,A_Scoring_Model!$C$15+(A_Scoring_Model!$C$14-A_Scoring_Model!$C$15)*($I509-K509)/($I509-$H509))))))</f>
        <v/>
      </c>
      <c r="P509" s="56" t="str">
        <f aca="false">IF(L509="","",IF($H509=$I509,IF(OR(AND($G509="Higher is better",L509&gt;=$H509),AND($G509="Lower is better",L509&lt;=$H509)),A_Scoring_Model!$C$14,0),IF($G509="Higher is better",IF(L509&gt;=$H509,A_Scoring_Model!$C$14,IF(L509&lt;$I509,0,A_Scoring_Model!$C$15+(A_Scoring_Model!$C$14-A_Scoring_Model!$C$15)*(L509-$I509)/($H509-$I509))),IF(L509&lt;=$H509,A_Scoring_Model!$C$14,IF(L509&gt;$I509,0,A_Scoring_Model!$C$15+(A_Scoring_Model!$C$14-A_Scoring_Model!$C$15)*($I509-L509)/($I509-$H509))))))</f>
        <v/>
      </c>
      <c r="Q509" s="56" t="str">
        <f aca="false">IF(M509="","",IF($H509=$I509,IF(OR(AND($G509="Higher is better",M509&gt;=$H509),AND($G509="Lower is better",M509&lt;=$H509)),A_Scoring_Model!$C$14,0),IF($G509="Higher is better",IF(M509&gt;=$H509,A_Scoring_Model!$C$14,IF(M509&lt;$I509,0,A_Scoring_Model!$C$15+(A_Scoring_Model!$C$14-A_Scoring_Model!$C$15)*(M509-$I509)/($H509-$I509))),IF(M509&lt;=$H509,A_Scoring_Model!$C$14,IF(M509&gt;$I509,0,A_Scoring_Model!$C$15+(A_Scoring_Model!$C$14-A_Scoring_Model!$C$15)*($I509-M509)/($I509-$H509))))))</f>
        <v/>
      </c>
    </row>
    <row r="510" customFormat="false" ht="15" hidden="false" customHeight="false" outlineLevel="0" collapsed="false">
      <c r="A510" s="51" t="str">
        <f aca="false">C_KPI_Benchmark!A510</f>
        <v>10.a-D6-15</v>
      </c>
      <c r="B510" s="52" t="str">
        <f aca="false">C_KPI_Benchmark!D510</f>
        <v>10.a</v>
      </c>
      <c r="C510" s="51" t="str">
        <f aca="false">C_KPI_Benchmark!E510</f>
        <v>Anomaly Detection Agent</v>
      </c>
      <c r="D510" s="52" t="str">
        <f aca="false">C_KPI_Benchmark!F510</f>
        <v>D6</v>
      </c>
      <c r="E510" s="51" t="str">
        <f aca="false">C_KPI_Benchmark!J510</f>
        <v>Review Shield critical findings</v>
      </c>
      <c r="F510" s="52" t="str">
        <f aca="false">C_KPI_Benchmark!K510</f>
        <v>count</v>
      </c>
      <c r="G510" s="51" t="str">
        <f aca="false">C_KPI_Benchmark!L510</f>
        <v>Lower is better</v>
      </c>
      <c r="H510" s="62" t="n">
        <f aca="false">C_KPI_Benchmark!N510</f>
        <v>0</v>
      </c>
      <c r="I510" s="63" t="n">
        <f aca="false">IF(C_KPI_Benchmark!O510&lt;&gt;"",C_KPI_Benchmark!O510,IF(G510="Higher is better",H510*(1-A_Scoring_Model!$C$16),H510*(1+A_Scoring_Model!$C$16)))</f>
        <v>0</v>
      </c>
      <c r="J510" s="64"/>
      <c r="K510" s="64"/>
      <c r="L510" s="64"/>
      <c r="M510" s="64"/>
      <c r="N510" s="56" t="str">
        <f aca="false">IF(J510="","",IF($H510=$I510,IF(OR(AND($G510="Higher is better",J510&gt;=$H510),AND($G510="Lower is better",J510&lt;=$H510)),A_Scoring_Model!$C$14,0),IF($G510="Higher is better",IF(J510&gt;=$H510,A_Scoring_Model!$C$14,IF(J510&lt;$I510,0,A_Scoring_Model!$C$15+(A_Scoring_Model!$C$14-A_Scoring_Model!$C$15)*(J510-$I510)/($H510-$I510))),IF(J510&lt;=$H510,A_Scoring_Model!$C$14,IF(J510&gt;$I510,0,A_Scoring_Model!$C$15+(A_Scoring_Model!$C$14-A_Scoring_Model!$C$15)*($I510-J510)/($I510-$H510))))))</f>
        <v/>
      </c>
      <c r="O510" s="56" t="str">
        <f aca="false">IF(K510="","",IF($H510=$I510,IF(OR(AND($G510="Higher is better",K510&gt;=$H510),AND($G510="Lower is better",K510&lt;=$H510)),A_Scoring_Model!$C$14,0),IF($G510="Higher is better",IF(K510&gt;=$H510,A_Scoring_Model!$C$14,IF(K510&lt;$I510,0,A_Scoring_Model!$C$15+(A_Scoring_Model!$C$14-A_Scoring_Model!$C$15)*(K510-$I510)/($H510-$I510))),IF(K510&lt;=$H510,A_Scoring_Model!$C$14,IF(K510&gt;$I510,0,A_Scoring_Model!$C$15+(A_Scoring_Model!$C$14-A_Scoring_Model!$C$15)*($I510-K510)/($I510-$H510))))))</f>
        <v/>
      </c>
      <c r="P510" s="56" t="str">
        <f aca="false">IF(L510="","",IF($H510=$I510,IF(OR(AND($G510="Higher is better",L510&gt;=$H510),AND($G510="Lower is better",L510&lt;=$H510)),A_Scoring_Model!$C$14,0),IF($G510="Higher is better",IF(L510&gt;=$H510,A_Scoring_Model!$C$14,IF(L510&lt;$I510,0,A_Scoring_Model!$C$15+(A_Scoring_Model!$C$14-A_Scoring_Model!$C$15)*(L510-$I510)/($H510-$I510))),IF(L510&lt;=$H510,A_Scoring_Model!$C$14,IF(L510&gt;$I510,0,A_Scoring_Model!$C$15+(A_Scoring_Model!$C$14-A_Scoring_Model!$C$15)*($I510-L510)/($I510-$H510))))))</f>
        <v/>
      </c>
      <c r="Q510" s="56" t="str">
        <f aca="false">IF(M510="","",IF($H510=$I510,IF(OR(AND($G510="Higher is better",M510&gt;=$H510),AND($G510="Lower is better",M510&lt;=$H510)),A_Scoring_Model!$C$14,0),IF($G510="Higher is better",IF(M510&gt;=$H510,A_Scoring_Model!$C$14,IF(M510&lt;$I510,0,A_Scoring_Model!$C$15+(A_Scoring_Model!$C$14-A_Scoring_Model!$C$15)*(M510-$I510)/($H510-$I510))),IF(M510&lt;=$H510,A_Scoring_Model!$C$14,IF(M510&gt;$I510,0,A_Scoring_Model!$C$15+(A_Scoring_Model!$C$14-A_Scoring_Model!$C$15)*($I510-M510)/($I510-$H510))))))</f>
        <v/>
      </c>
    </row>
    <row r="511" customFormat="false" ht="15" hidden="false" customHeight="false" outlineLevel="0" collapsed="false">
      <c r="A511" s="51" t="str">
        <f aca="false">C_KPI_Benchmark!A511</f>
        <v>10.a-D6-16</v>
      </c>
      <c r="B511" s="52" t="str">
        <f aca="false">C_KPI_Benchmark!D511</f>
        <v>10.a</v>
      </c>
      <c r="C511" s="51" t="str">
        <f aca="false">C_KPI_Benchmark!E511</f>
        <v>Anomaly Detection Agent</v>
      </c>
      <c r="D511" s="52" t="str">
        <f aca="false">C_KPI_Benchmark!F511</f>
        <v>D6</v>
      </c>
      <c r="E511" s="51" t="str">
        <f aca="false">C_KPI_Benchmark!J511</f>
        <v>SAST high findings and exposed secrets</v>
      </c>
      <c r="F511" s="52" t="str">
        <f aca="false">C_KPI_Benchmark!K511</f>
        <v>count</v>
      </c>
      <c r="G511" s="51" t="str">
        <f aca="false">C_KPI_Benchmark!L511</f>
        <v>Lower is better</v>
      </c>
      <c r="H511" s="62" t="n">
        <f aca="false">C_KPI_Benchmark!N511</f>
        <v>0</v>
      </c>
      <c r="I511" s="63" t="n">
        <f aca="false">IF(C_KPI_Benchmark!O511&lt;&gt;"",C_KPI_Benchmark!O511,IF(G511="Higher is better",H511*(1-A_Scoring_Model!$C$16),H511*(1+A_Scoring_Model!$C$16)))</f>
        <v>0</v>
      </c>
      <c r="J511" s="64"/>
      <c r="K511" s="64"/>
      <c r="L511" s="64"/>
      <c r="M511" s="64"/>
      <c r="N511" s="56" t="str">
        <f aca="false">IF(J511="","",IF($H511=$I511,IF(OR(AND($G511="Higher is better",J511&gt;=$H511),AND($G511="Lower is better",J511&lt;=$H511)),A_Scoring_Model!$C$14,0),IF($G511="Higher is better",IF(J511&gt;=$H511,A_Scoring_Model!$C$14,IF(J511&lt;$I511,0,A_Scoring_Model!$C$15+(A_Scoring_Model!$C$14-A_Scoring_Model!$C$15)*(J511-$I511)/($H511-$I511))),IF(J511&lt;=$H511,A_Scoring_Model!$C$14,IF(J511&gt;$I511,0,A_Scoring_Model!$C$15+(A_Scoring_Model!$C$14-A_Scoring_Model!$C$15)*($I511-J511)/($I511-$H511))))))</f>
        <v/>
      </c>
      <c r="O511" s="56" t="str">
        <f aca="false">IF(K511="","",IF($H511=$I511,IF(OR(AND($G511="Higher is better",K511&gt;=$H511),AND($G511="Lower is better",K511&lt;=$H511)),A_Scoring_Model!$C$14,0),IF($G511="Higher is better",IF(K511&gt;=$H511,A_Scoring_Model!$C$14,IF(K511&lt;$I511,0,A_Scoring_Model!$C$15+(A_Scoring_Model!$C$14-A_Scoring_Model!$C$15)*(K511-$I511)/($H511-$I511))),IF(K511&lt;=$H511,A_Scoring_Model!$C$14,IF(K511&gt;$I511,0,A_Scoring_Model!$C$15+(A_Scoring_Model!$C$14-A_Scoring_Model!$C$15)*($I511-K511)/($I511-$H511))))))</f>
        <v/>
      </c>
      <c r="P511" s="56" t="str">
        <f aca="false">IF(L511="","",IF($H511=$I511,IF(OR(AND($G511="Higher is better",L511&gt;=$H511),AND($G511="Lower is better",L511&lt;=$H511)),A_Scoring_Model!$C$14,0),IF($G511="Higher is better",IF(L511&gt;=$H511,A_Scoring_Model!$C$14,IF(L511&lt;$I511,0,A_Scoring_Model!$C$15+(A_Scoring_Model!$C$14-A_Scoring_Model!$C$15)*(L511-$I511)/($H511-$I511))),IF(L511&lt;=$H511,A_Scoring_Model!$C$14,IF(L511&gt;$I511,0,A_Scoring_Model!$C$15+(A_Scoring_Model!$C$14-A_Scoring_Model!$C$15)*($I511-L511)/($I511-$H511))))))</f>
        <v/>
      </c>
      <c r="Q511" s="56" t="str">
        <f aca="false">IF(M511="","",IF($H511=$I511,IF(OR(AND($G511="Higher is better",M511&gt;=$H511),AND($G511="Lower is better",M511&lt;=$H511)),A_Scoring_Model!$C$14,0),IF($G511="Higher is better",IF(M511&gt;=$H511,A_Scoring_Model!$C$14,IF(M511&lt;$I511,0,A_Scoring_Model!$C$15+(A_Scoring_Model!$C$14-A_Scoring_Model!$C$15)*(M511-$I511)/($H511-$I511))),IF(M511&lt;=$H511,A_Scoring_Model!$C$14,IF(M511&gt;$I511,0,A_Scoring_Model!$C$15+(A_Scoring_Model!$C$14-A_Scoring_Model!$C$15)*($I511-M511)/($I511-$H511))))))</f>
        <v/>
      </c>
    </row>
    <row r="512" customFormat="false" ht="23.85" hidden="false" customHeight="false" outlineLevel="0" collapsed="false">
      <c r="A512" s="51" t="str">
        <f aca="false">C_KPI_Benchmark!A512</f>
        <v>10.a-D6-17</v>
      </c>
      <c r="B512" s="52" t="str">
        <f aca="false">C_KPI_Benchmark!D512</f>
        <v>10.a</v>
      </c>
      <c r="C512" s="51" t="str">
        <f aca="false">C_KPI_Benchmark!E512</f>
        <v>Anomaly Detection Agent</v>
      </c>
      <c r="D512" s="52" t="str">
        <f aca="false">C_KPI_Benchmark!F512</f>
        <v>D6</v>
      </c>
      <c r="E512" s="51" t="str">
        <f aca="false">C_KPI_Benchmark!J512</f>
        <v>Documentation pack complete (README, I/O contract, model card, runbook)</v>
      </c>
      <c r="F512" s="52" t="str">
        <f aca="false">C_KPI_Benchmark!K512</f>
        <v>Yes/No</v>
      </c>
      <c r="G512" s="51" t="str">
        <f aca="false">C_KPI_Benchmark!L512</f>
        <v>Higher is better</v>
      </c>
      <c r="H512" s="60" t="n">
        <f aca="false">C_KPI_Benchmark!N512</f>
        <v>1</v>
      </c>
      <c r="I512" s="56" t="n">
        <f aca="false">IF(C_KPI_Benchmark!O512&lt;&gt;"",C_KPI_Benchmark!O512,IF(G512="Higher is better",H512*(1-A_Scoring_Model!$C$16),H512*(1+A_Scoring_Model!$C$16)))</f>
        <v>0.8</v>
      </c>
      <c r="J512" s="61"/>
      <c r="K512" s="61"/>
      <c r="L512" s="61"/>
      <c r="M512" s="61"/>
      <c r="N512" s="56" t="str">
        <f aca="false">IF(J512="","",IF($H512=$I512,IF(OR(AND($G512="Higher is better",J512&gt;=$H512),AND($G512="Lower is better",J512&lt;=$H512)),A_Scoring_Model!$C$14,0),IF($G512="Higher is better",IF(J512&gt;=$H512,A_Scoring_Model!$C$14,IF(J512&lt;$I512,0,A_Scoring_Model!$C$15+(A_Scoring_Model!$C$14-A_Scoring_Model!$C$15)*(J512-$I512)/($H512-$I512))),IF(J512&lt;=$H512,A_Scoring_Model!$C$14,IF(J512&gt;$I512,0,A_Scoring_Model!$C$15+(A_Scoring_Model!$C$14-A_Scoring_Model!$C$15)*($I512-J512)/($I512-$H512))))))</f>
        <v/>
      </c>
      <c r="O512" s="56" t="str">
        <f aca="false">IF(K512="","",IF($H512=$I512,IF(OR(AND($G512="Higher is better",K512&gt;=$H512),AND($G512="Lower is better",K512&lt;=$H512)),A_Scoring_Model!$C$14,0),IF($G512="Higher is better",IF(K512&gt;=$H512,A_Scoring_Model!$C$14,IF(K512&lt;$I512,0,A_Scoring_Model!$C$15+(A_Scoring_Model!$C$14-A_Scoring_Model!$C$15)*(K512-$I512)/($H512-$I512))),IF(K512&lt;=$H512,A_Scoring_Model!$C$14,IF(K512&gt;$I512,0,A_Scoring_Model!$C$15+(A_Scoring_Model!$C$14-A_Scoring_Model!$C$15)*($I512-K512)/($I512-$H512))))))</f>
        <v/>
      </c>
      <c r="P512" s="56" t="str">
        <f aca="false">IF(L512="","",IF($H512=$I512,IF(OR(AND($G512="Higher is better",L512&gt;=$H512),AND($G512="Lower is better",L512&lt;=$H512)),A_Scoring_Model!$C$14,0),IF($G512="Higher is better",IF(L512&gt;=$H512,A_Scoring_Model!$C$14,IF(L512&lt;$I512,0,A_Scoring_Model!$C$15+(A_Scoring_Model!$C$14-A_Scoring_Model!$C$15)*(L512-$I512)/($H512-$I512))),IF(L512&lt;=$H512,A_Scoring_Model!$C$14,IF(L512&gt;$I512,0,A_Scoring_Model!$C$15+(A_Scoring_Model!$C$14-A_Scoring_Model!$C$15)*($I512-L512)/($I512-$H512))))))</f>
        <v/>
      </c>
      <c r="Q512" s="56" t="str">
        <f aca="false">IF(M512="","",IF($H512=$I512,IF(OR(AND($G512="Higher is better",M512&gt;=$H512),AND($G512="Lower is better",M512&lt;=$H512)),A_Scoring_Model!$C$14,0),IF($G512="Higher is better",IF(M512&gt;=$H512,A_Scoring_Model!$C$14,IF(M512&lt;$I512,0,A_Scoring_Model!$C$15+(A_Scoring_Model!$C$14-A_Scoring_Model!$C$15)*(M512-$I512)/($H512-$I512))),IF(M512&lt;=$H512,A_Scoring_Model!$C$14,IF(M512&gt;$I512,0,A_Scoring_Model!$C$15+(A_Scoring_Model!$C$14-A_Scoring_Model!$C$15)*($I512-M512)/($I512-$H512))))))</f>
        <v/>
      </c>
    </row>
    <row r="513" customFormat="false" ht="15" hidden="false" customHeight="false" outlineLevel="0" collapsed="false">
      <c r="A513" s="51" t="str">
        <f aca="false">C_KPI_Benchmark!A513</f>
        <v>10.a-D6-18</v>
      </c>
      <c r="B513" s="52" t="str">
        <f aca="false">C_KPI_Benchmark!D513</f>
        <v>10.a</v>
      </c>
      <c r="C513" s="51" t="str">
        <f aca="false">C_KPI_Benchmark!E513</f>
        <v>Anomaly Detection Agent</v>
      </c>
      <c r="D513" s="52" t="str">
        <f aca="false">C_KPI_Benchmark!F513</f>
        <v>D6</v>
      </c>
      <c r="E513" s="51" t="str">
        <f aca="false">C_KPI_Benchmark!J513</f>
        <v>Named owner and support SLA</v>
      </c>
      <c r="F513" s="52" t="str">
        <f aca="false">C_KPI_Benchmark!K513</f>
        <v>Yes/No</v>
      </c>
      <c r="G513" s="51" t="str">
        <f aca="false">C_KPI_Benchmark!L513</f>
        <v>Higher is better</v>
      </c>
      <c r="H513" s="60" t="n">
        <f aca="false">C_KPI_Benchmark!N513</f>
        <v>1</v>
      </c>
      <c r="I513" s="56" t="n">
        <f aca="false">IF(C_KPI_Benchmark!O513&lt;&gt;"",C_KPI_Benchmark!O513,IF(G513="Higher is better",H513*(1-A_Scoring_Model!$C$16),H513*(1+A_Scoring_Model!$C$16)))</f>
        <v>0.8</v>
      </c>
      <c r="J513" s="61"/>
      <c r="K513" s="61"/>
      <c r="L513" s="61"/>
      <c r="M513" s="61"/>
      <c r="N513" s="56" t="str">
        <f aca="false">IF(J513="","",IF($H513=$I513,IF(OR(AND($G513="Higher is better",J513&gt;=$H513),AND($G513="Lower is better",J513&lt;=$H513)),A_Scoring_Model!$C$14,0),IF($G513="Higher is better",IF(J513&gt;=$H513,A_Scoring_Model!$C$14,IF(J513&lt;$I513,0,A_Scoring_Model!$C$15+(A_Scoring_Model!$C$14-A_Scoring_Model!$C$15)*(J513-$I513)/($H513-$I513))),IF(J513&lt;=$H513,A_Scoring_Model!$C$14,IF(J513&gt;$I513,0,A_Scoring_Model!$C$15+(A_Scoring_Model!$C$14-A_Scoring_Model!$C$15)*($I513-J513)/($I513-$H513))))))</f>
        <v/>
      </c>
      <c r="O513" s="56" t="str">
        <f aca="false">IF(K513="","",IF($H513=$I513,IF(OR(AND($G513="Higher is better",K513&gt;=$H513),AND($G513="Lower is better",K513&lt;=$H513)),A_Scoring_Model!$C$14,0),IF($G513="Higher is better",IF(K513&gt;=$H513,A_Scoring_Model!$C$14,IF(K513&lt;$I513,0,A_Scoring_Model!$C$15+(A_Scoring_Model!$C$14-A_Scoring_Model!$C$15)*(K513-$I513)/($H513-$I513))),IF(K513&lt;=$H513,A_Scoring_Model!$C$14,IF(K513&gt;$I513,0,A_Scoring_Model!$C$15+(A_Scoring_Model!$C$14-A_Scoring_Model!$C$15)*($I513-K513)/($I513-$H513))))))</f>
        <v/>
      </c>
      <c r="P513" s="56" t="str">
        <f aca="false">IF(L513="","",IF($H513=$I513,IF(OR(AND($G513="Higher is better",L513&gt;=$H513),AND($G513="Lower is better",L513&lt;=$H513)),A_Scoring_Model!$C$14,0),IF($G513="Higher is better",IF(L513&gt;=$H513,A_Scoring_Model!$C$14,IF(L513&lt;$I513,0,A_Scoring_Model!$C$15+(A_Scoring_Model!$C$14-A_Scoring_Model!$C$15)*(L513-$I513)/($H513-$I513))),IF(L513&lt;=$H513,A_Scoring_Model!$C$14,IF(L513&gt;$I513,0,A_Scoring_Model!$C$15+(A_Scoring_Model!$C$14-A_Scoring_Model!$C$15)*($I513-L513)/($I513-$H513))))))</f>
        <v/>
      </c>
      <c r="Q513" s="56" t="str">
        <f aca="false">IF(M513="","",IF($H513=$I513,IF(OR(AND($G513="Higher is better",M513&gt;=$H513),AND($G513="Lower is better",M513&lt;=$H513)),A_Scoring_Model!$C$14,0),IF($G513="Higher is better",IF(M513&gt;=$H513,A_Scoring_Model!$C$14,IF(M513&lt;$I513,0,A_Scoring_Model!$C$15+(A_Scoring_Model!$C$14-A_Scoring_Model!$C$15)*(M513-$I513)/($H513-$I513))),IF(M513&lt;=$H513,A_Scoring_Model!$C$14,IF(M513&gt;$I513,0,A_Scoring_Model!$C$15+(A_Scoring_Model!$C$14-A_Scoring_Model!$C$15)*($I513-M513)/($I513-$H513))))))</f>
        <v/>
      </c>
    </row>
    <row r="514" customFormat="false" ht="15" hidden="false" customHeight="false" outlineLevel="0" collapsed="false">
      <c r="A514" s="51" t="str">
        <f aca="false">C_KPI_Benchmark!A514</f>
        <v>10.b-D1-01</v>
      </c>
      <c r="B514" s="52" t="str">
        <f aca="false">C_KPI_Benchmark!D514</f>
        <v>10.b</v>
      </c>
      <c r="C514" s="51" t="str">
        <f aca="false">C_KPI_Benchmark!E514</f>
        <v>Customer Feedback Analyzer</v>
      </c>
      <c r="D514" s="52" t="str">
        <f aca="false">C_KPI_Benchmark!F514</f>
        <v>D1</v>
      </c>
      <c r="E514" s="51" t="str">
        <f aca="false">C_KPI_Benchmark!J514</f>
        <v>Sentiment F1</v>
      </c>
      <c r="F514" s="52" t="str">
        <f aca="false">C_KPI_Benchmark!K514</f>
        <v>F1</v>
      </c>
      <c r="G514" s="51" t="str">
        <f aca="false">C_KPI_Benchmark!L514</f>
        <v>Higher is better</v>
      </c>
      <c r="H514" s="57" t="n">
        <f aca="false">C_KPI_Benchmark!N514</f>
        <v>0.85</v>
      </c>
      <c r="I514" s="58" t="n">
        <f aca="false">IF(C_KPI_Benchmark!O514&lt;&gt;"",C_KPI_Benchmark!O514,IF(G514="Higher is better",H514*(1-A_Scoring_Model!$C$16),H514*(1+A_Scoring_Model!$C$16)))</f>
        <v>0.75</v>
      </c>
      <c r="J514" s="59"/>
      <c r="K514" s="59"/>
      <c r="L514" s="59"/>
      <c r="M514" s="59"/>
      <c r="N514" s="56" t="str">
        <f aca="false">IF(J514="","",IF($H514=$I514,IF(OR(AND($G514="Higher is better",J514&gt;=$H514),AND($G514="Lower is better",J514&lt;=$H514)),A_Scoring_Model!$C$14,0),IF($G514="Higher is better",IF(J514&gt;=$H514,A_Scoring_Model!$C$14,IF(J514&lt;$I514,0,A_Scoring_Model!$C$15+(A_Scoring_Model!$C$14-A_Scoring_Model!$C$15)*(J514-$I514)/($H514-$I514))),IF(J514&lt;=$H514,A_Scoring_Model!$C$14,IF(J514&gt;$I514,0,A_Scoring_Model!$C$15+(A_Scoring_Model!$C$14-A_Scoring_Model!$C$15)*($I514-J514)/($I514-$H514))))))</f>
        <v/>
      </c>
      <c r="O514" s="56" t="str">
        <f aca="false">IF(K514="","",IF($H514=$I514,IF(OR(AND($G514="Higher is better",K514&gt;=$H514),AND($G514="Lower is better",K514&lt;=$H514)),A_Scoring_Model!$C$14,0),IF($G514="Higher is better",IF(K514&gt;=$H514,A_Scoring_Model!$C$14,IF(K514&lt;$I514,0,A_Scoring_Model!$C$15+(A_Scoring_Model!$C$14-A_Scoring_Model!$C$15)*(K514-$I514)/($H514-$I514))),IF(K514&lt;=$H514,A_Scoring_Model!$C$14,IF(K514&gt;$I514,0,A_Scoring_Model!$C$15+(A_Scoring_Model!$C$14-A_Scoring_Model!$C$15)*($I514-K514)/($I514-$H514))))))</f>
        <v/>
      </c>
      <c r="P514" s="56" t="str">
        <f aca="false">IF(L514="","",IF($H514=$I514,IF(OR(AND($G514="Higher is better",L514&gt;=$H514),AND($G514="Lower is better",L514&lt;=$H514)),A_Scoring_Model!$C$14,0),IF($G514="Higher is better",IF(L514&gt;=$H514,A_Scoring_Model!$C$14,IF(L514&lt;$I514,0,A_Scoring_Model!$C$15+(A_Scoring_Model!$C$14-A_Scoring_Model!$C$15)*(L514-$I514)/($H514-$I514))),IF(L514&lt;=$H514,A_Scoring_Model!$C$14,IF(L514&gt;$I514,0,A_Scoring_Model!$C$15+(A_Scoring_Model!$C$14-A_Scoring_Model!$C$15)*($I514-L514)/($I514-$H514))))))</f>
        <v/>
      </c>
      <c r="Q514" s="56" t="str">
        <f aca="false">IF(M514="","",IF($H514=$I514,IF(OR(AND($G514="Higher is better",M514&gt;=$H514),AND($G514="Lower is better",M514&lt;=$H514)),A_Scoring_Model!$C$14,0),IF($G514="Higher is better",IF(M514&gt;=$H514,A_Scoring_Model!$C$14,IF(M514&lt;$I514,0,A_Scoring_Model!$C$15+(A_Scoring_Model!$C$14-A_Scoring_Model!$C$15)*(M514-$I514)/($H514-$I514))),IF(M514&lt;=$H514,A_Scoring_Model!$C$14,IF(M514&gt;$I514,0,A_Scoring_Model!$C$15+(A_Scoring_Model!$C$14-A_Scoring_Model!$C$15)*($I514-M514)/($I514-$H514))))))</f>
        <v/>
      </c>
    </row>
    <row r="515" customFormat="false" ht="15" hidden="false" customHeight="false" outlineLevel="0" collapsed="false">
      <c r="A515" s="51" t="str">
        <f aca="false">C_KPI_Benchmark!A515</f>
        <v>10.b-D1-02</v>
      </c>
      <c r="B515" s="52" t="str">
        <f aca="false">C_KPI_Benchmark!D515</f>
        <v>10.b</v>
      </c>
      <c r="C515" s="51" t="str">
        <f aca="false">C_KPI_Benchmark!E515</f>
        <v>Customer Feedback Analyzer</v>
      </c>
      <c r="D515" s="52" t="str">
        <f aca="false">C_KPI_Benchmark!F515</f>
        <v>D1</v>
      </c>
      <c r="E515" s="51" t="str">
        <f aca="false">C_KPI_Benchmark!J515</f>
        <v>Topic classification accuracy</v>
      </c>
      <c r="F515" s="52" t="str">
        <f aca="false">C_KPI_Benchmark!K515</f>
        <v>%</v>
      </c>
      <c r="G515" s="51" t="str">
        <f aca="false">C_KPI_Benchmark!L515</f>
        <v>Higher is better</v>
      </c>
      <c r="H515" s="53" t="n">
        <f aca="false">C_KPI_Benchmark!N515</f>
        <v>0.88</v>
      </c>
      <c r="I515" s="54" t="n">
        <f aca="false">IF(C_KPI_Benchmark!O515&lt;&gt;"",C_KPI_Benchmark!O515,IF(G515="Higher is better",H515*(1-A_Scoring_Model!$C$16),H515*(1+A_Scoring_Model!$C$16)))</f>
        <v>0.78</v>
      </c>
      <c r="J515" s="55"/>
      <c r="K515" s="55"/>
      <c r="L515" s="55"/>
      <c r="M515" s="55"/>
      <c r="N515" s="56" t="str">
        <f aca="false">IF(J515="","",IF($H515=$I515,IF(OR(AND($G515="Higher is better",J515&gt;=$H515),AND($G515="Lower is better",J515&lt;=$H515)),A_Scoring_Model!$C$14,0),IF($G515="Higher is better",IF(J515&gt;=$H515,A_Scoring_Model!$C$14,IF(J515&lt;$I515,0,A_Scoring_Model!$C$15+(A_Scoring_Model!$C$14-A_Scoring_Model!$C$15)*(J515-$I515)/($H515-$I515))),IF(J515&lt;=$H515,A_Scoring_Model!$C$14,IF(J515&gt;$I515,0,A_Scoring_Model!$C$15+(A_Scoring_Model!$C$14-A_Scoring_Model!$C$15)*($I515-J515)/($I515-$H515))))))</f>
        <v/>
      </c>
      <c r="O515" s="56" t="str">
        <f aca="false">IF(K515="","",IF($H515=$I515,IF(OR(AND($G515="Higher is better",K515&gt;=$H515),AND($G515="Lower is better",K515&lt;=$H515)),A_Scoring_Model!$C$14,0),IF($G515="Higher is better",IF(K515&gt;=$H515,A_Scoring_Model!$C$14,IF(K515&lt;$I515,0,A_Scoring_Model!$C$15+(A_Scoring_Model!$C$14-A_Scoring_Model!$C$15)*(K515-$I515)/($H515-$I515))),IF(K515&lt;=$H515,A_Scoring_Model!$C$14,IF(K515&gt;$I515,0,A_Scoring_Model!$C$15+(A_Scoring_Model!$C$14-A_Scoring_Model!$C$15)*($I515-K515)/($I515-$H515))))))</f>
        <v/>
      </c>
      <c r="P515" s="56" t="str">
        <f aca="false">IF(L515="","",IF($H515=$I515,IF(OR(AND($G515="Higher is better",L515&gt;=$H515),AND($G515="Lower is better",L515&lt;=$H515)),A_Scoring_Model!$C$14,0),IF($G515="Higher is better",IF(L515&gt;=$H515,A_Scoring_Model!$C$14,IF(L515&lt;$I515,0,A_Scoring_Model!$C$15+(A_Scoring_Model!$C$14-A_Scoring_Model!$C$15)*(L515-$I515)/($H515-$I515))),IF(L515&lt;=$H515,A_Scoring_Model!$C$14,IF(L515&gt;$I515,0,A_Scoring_Model!$C$15+(A_Scoring_Model!$C$14-A_Scoring_Model!$C$15)*($I515-L515)/($I515-$H515))))))</f>
        <v/>
      </c>
      <c r="Q515" s="56" t="str">
        <f aca="false">IF(M515="","",IF($H515=$I515,IF(OR(AND($G515="Higher is better",M515&gt;=$H515),AND($G515="Lower is better",M515&lt;=$H515)),A_Scoring_Model!$C$14,0),IF($G515="Higher is better",IF(M515&gt;=$H515,A_Scoring_Model!$C$14,IF(M515&lt;$I515,0,A_Scoring_Model!$C$15+(A_Scoring_Model!$C$14-A_Scoring_Model!$C$15)*(M515-$I515)/($H515-$I515))),IF(M515&lt;=$H515,A_Scoring_Model!$C$14,IF(M515&gt;$I515,0,A_Scoring_Model!$C$15+(A_Scoring_Model!$C$14-A_Scoring_Model!$C$15)*($I515-M515)/($I515-$H515))))))</f>
        <v/>
      </c>
    </row>
    <row r="516" customFormat="false" ht="15" hidden="false" customHeight="false" outlineLevel="0" collapsed="false">
      <c r="A516" s="51" t="str">
        <f aca="false">C_KPI_Benchmark!A516</f>
        <v>10.b-D1-03</v>
      </c>
      <c r="B516" s="52" t="str">
        <f aca="false">C_KPI_Benchmark!D516</f>
        <v>10.b</v>
      </c>
      <c r="C516" s="51" t="str">
        <f aca="false">C_KPI_Benchmark!E516</f>
        <v>Customer Feedback Analyzer</v>
      </c>
      <c r="D516" s="52" t="str">
        <f aca="false">C_KPI_Benchmark!F516</f>
        <v>D1</v>
      </c>
      <c r="E516" s="51" t="str">
        <f aca="false">C_KPI_Benchmark!J516</f>
        <v>Defect-worthy issue recall</v>
      </c>
      <c r="F516" s="52" t="str">
        <f aca="false">C_KPI_Benchmark!K516</f>
        <v>%</v>
      </c>
      <c r="G516" s="51" t="str">
        <f aca="false">C_KPI_Benchmark!L516</f>
        <v>Higher is better</v>
      </c>
      <c r="H516" s="53" t="n">
        <f aca="false">C_KPI_Benchmark!N516</f>
        <v>0.9</v>
      </c>
      <c r="I516" s="54" t="n">
        <f aca="false">IF(C_KPI_Benchmark!O516&lt;&gt;"",C_KPI_Benchmark!O516,IF(G516="Higher is better",H516*(1-A_Scoring_Model!$C$16),H516*(1+A_Scoring_Model!$C$16)))</f>
        <v>0.8</v>
      </c>
      <c r="J516" s="55"/>
      <c r="K516" s="55"/>
      <c r="L516" s="55"/>
      <c r="M516" s="55"/>
      <c r="N516" s="56" t="str">
        <f aca="false">IF(J516="","",IF($H516=$I516,IF(OR(AND($G516="Higher is better",J516&gt;=$H516),AND($G516="Lower is better",J516&lt;=$H516)),A_Scoring_Model!$C$14,0),IF($G516="Higher is better",IF(J516&gt;=$H516,A_Scoring_Model!$C$14,IF(J516&lt;$I516,0,A_Scoring_Model!$C$15+(A_Scoring_Model!$C$14-A_Scoring_Model!$C$15)*(J516-$I516)/($H516-$I516))),IF(J516&lt;=$H516,A_Scoring_Model!$C$14,IF(J516&gt;$I516,0,A_Scoring_Model!$C$15+(A_Scoring_Model!$C$14-A_Scoring_Model!$C$15)*($I516-J516)/($I516-$H516))))))</f>
        <v/>
      </c>
      <c r="O516" s="56" t="str">
        <f aca="false">IF(K516="","",IF($H516=$I516,IF(OR(AND($G516="Higher is better",K516&gt;=$H516),AND($G516="Lower is better",K516&lt;=$H516)),A_Scoring_Model!$C$14,0),IF($G516="Higher is better",IF(K516&gt;=$H516,A_Scoring_Model!$C$14,IF(K516&lt;$I516,0,A_Scoring_Model!$C$15+(A_Scoring_Model!$C$14-A_Scoring_Model!$C$15)*(K516-$I516)/($H516-$I516))),IF(K516&lt;=$H516,A_Scoring_Model!$C$14,IF(K516&gt;$I516,0,A_Scoring_Model!$C$15+(A_Scoring_Model!$C$14-A_Scoring_Model!$C$15)*($I516-K516)/($I516-$H516))))))</f>
        <v/>
      </c>
      <c r="P516" s="56" t="str">
        <f aca="false">IF(L516="","",IF($H516=$I516,IF(OR(AND($G516="Higher is better",L516&gt;=$H516),AND($G516="Lower is better",L516&lt;=$H516)),A_Scoring_Model!$C$14,0),IF($G516="Higher is better",IF(L516&gt;=$H516,A_Scoring_Model!$C$14,IF(L516&lt;$I516,0,A_Scoring_Model!$C$15+(A_Scoring_Model!$C$14-A_Scoring_Model!$C$15)*(L516-$I516)/($H516-$I516))),IF(L516&lt;=$H516,A_Scoring_Model!$C$14,IF(L516&gt;$I516,0,A_Scoring_Model!$C$15+(A_Scoring_Model!$C$14-A_Scoring_Model!$C$15)*($I516-L516)/($I516-$H516))))))</f>
        <v/>
      </c>
      <c r="Q516" s="56" t="str">
        <f aca="false">IF(M516="","",IF($H516=$I516,IF(OR(AND($G516="Higher is better",M516&gt;=$H516),AND($G516="Lower is better",M516&lt;=$H516)),A_Scoring_Model!$C$14,0),IF($G516="Higher is better",IF(M516&gt;=$H516,A_Scoring_Model!$C$14,IF(M516&lt;$I516,0,A_Scoring_Model!$C$15+(A_Scoring_Model!$C$14-A_Scoring_Model!$C$15)*(M516-$I516)/($H516-$I516))),IF(M516&lt;=$H516,A_Scoring_Model!$C$14,IF(M516&gt;$I516,0,A_Scoring_Model!$C$15+(A_Scoring_Model!$C$14-A_Scoring_Model!$C$15)*($I516-M516)/($I516-$H516))))))</f>
        <v/>
      </c>
    </row>
    <row r="517" customFormat="false" ht="15" hidden="false" customHeight="false" outlineLevel="0" collapsed="false">
      <c r="A517" s="51" t="str">
        <f aca="false">C_KPI_Benchmark!A517</f>
        <v>10.b-D2-04</v>
      </c>
      <c r="B517" s="52" t="str">
        <f aca="false">C_KPI_Benchmark!D517</f>
        <v>10.b</v>
      </c>
      <c r="C517" s="51" t="str">
        <f aca="false">C_KPI_Benchmark!E517</f>
        <v>Customer Feedback Analyzer</v>
      </c>
      <c r="D517" s="52" t="str">
        <f aca="false">C_KPI_Benchmark!F517</f>
        <v>D2</v>
      </c>
      <c r="E517" s="51" t="str">
        <f aca="false">C_KPI_Benchmark!J517</f>
        <v>Languages supported (EN / KO / ZH)</v>
      </c>
      <c r="F517" s="52" t="str">
        <f aca="false">C_KPI_Benchmark!K517</f>
        <v>count</v>
      </c>
      <c r="G517" s="51" t="str">
        <f aca="false">C_KPI_Benchmark!L517</f>
        <v>Higher is better</v>
      </c>
      <c r="H517" s="62" t="n">
        <f aca="false">C_KPI_Benchmark!N517</f>
        <v>3</v>
      </c>
      <c r="I517" s="63" t="n">
        <f aca="false">IF(C_KPI_Benchmark!O517&lt;&gt;"",C_KPI_Benchmark!O517,IF(G517="Higher is better",H517*(1-A_Scoring_Model!$C$16),H517*(1+A_Scoring_Model!$C$16)))</f>
        <v>2.4</v>
      </c>
      <c r="J517" s="64"/>
      <c r="K517" s="64"/>
      <c r="L517" s="64"/>
      <c r="M517" s="64"/>
      <c r="N517" s="56" t="str">
        <f aca="false">IF(J517="","",IF($H517=$I517,IF(OR(AND($G517="Higher is better",J517&gt;=$H517),AND($G517="Lower is better",J517&lt;=$H517)),A_Scoring_Model!$C$14,0),IF($G517="Higher is better",IF(J517&gt;=$H517,A_Scoring_Model!$C$14,IF(J517&lt;$I517,0,A_Scoring_Model!$C$15+(A_Scoring_Model!$C$14-A_Scoring_Model!$C$15)*(J517-$I517)/($H517-$I517))),IF(J517&lt;=$H517,A_Scoring_Model!$C$14,IF(J517&gt;$I517,0,A_Scoring_Model!$C$15+(A_Scoring_Model!$C$14-A_Scoring_Model!$C$15)*($I517-J517)/($I517-$H517))))))</f>
        <v/>
      </c>
      <c r="O517" s="56" t="str">
        <f aca="false">IF(K517="","",IF($H517=$I517,IF(OR(AND($G517="Higher is better",K517&gt;=$H517),AND($G517="Lower is better",K517&lt;=$H517)),A_Scoring_Model!$C$14,0),IF($G517="Higher is better",IF(K517&gt;=$H517,A_Scoring_Model!$C$14,IF(K517&lt;$I517,0,A_Scoring_Model!$C$15+(A_Scoring_Model!$C$14-A_Scoring_Model!$C$15)*(K517-$I517)/($H517-$I517))),IF(K517&lt;=$H517,A_Scoring_Model!$C$14,IF(K517&gt;$I517,0,A_Scoring_Model!$C$15+(A_Scoring_Model!$C$14-A_Scoring_Model!$C$15)*($I517-K517)/($I517-$H517))))))</f>
        <v/>
      </c>
      <c r="P517" s="56" t="str">
        <f aca="false">IF(L517="","",IF($H517=$I517,IF(OR(AND($G517="Higher is better",L517&gt;=$H517),AND($G517="Lower is better",L517&lt;=$H517)),A_Scoring_Model!$C$14,0),IF($G517="Higher is better",IF(L517&gt;=$H517,A_Scoring_Model!$C$14,IF(L517&lt;$I517,0,A_Scoring_Model!$C$15+(A_Scoring_Model!$C$14-A_Scoring_Model!$C$15)*(L517-$I517)/($H517-$I517))),IF(L517&lt;=$H517,A_Scoring_Model!$C$14,IF(L517&gt;$I517,0,A_Scoring_Model!$C$15+(A_Scoring_Model!$C$14-A_Scoring_Model!$C$15)*($I517-L517)/($I517-$H517))))))</f>
        <v/>
      </c>
      <c r="Q517" s="56" t="str">
        <f aca="false">IF(M517="","",IF($H517=$I517,IF(OR(AND($G517="Higher is better",M517&gt;=$H517),AND($G517="Lower is better",M517&lt;=$H517)),A_Scoring_Model!$C$14,0),IF($G517="Higher is better",IF(M517&gt;=$H517,A_Scoring_Model!$C$14,IF(M517&lt;$I517,0,A_Scoring_Model!$C$15+(A_Scoring_Model!$C$14-A_Scoring_Model!$C$15)*(M517-$I517)/($H517-$I517))),IF(M517&lt;=$H517,A_Scoring_Model!$C$14,IF(M517&gt;$I517,0,A_Scoring_Model!$C$15+(A_Scoring_Model!$C$14-A_Scoring_Model!$C$15)*($I517-M517)/($I517-$H517))))))</f>
        <v/>
      </c>
    </row>
    <row r="518" customFormat="false" ht="23.85" hidden="false" customHeight="false" outlineLevel="0" collapsed="false">
      <c r="A518" s="51" t="str">
        <f aca="false">C_KPI_Benchmark!A518</f>
        <v>10.b-D2-05</v>
      </c>
      <c r="B518" s="52" t="str">
        <f aca="false">C_KPI_Benchmark!D518</f>
        <v>10.b</v>
      </c>
      <c r="C518" s="51" t="str">
        <f aca="false">C_KPI_Benchmark!E518</f>
        <v>Customer Feedback Analyzer</v>
      </c>
      <c r="D518" s="52" t="str">
        <f aca="false">C_KPI_Benchmark!F518</f>
        <v>D2</v>
      </c>
      <c r="E518" s="51" t="str">
        <f aca="false">C_KPI_Benchmark!J518</f>
        <v>Product lines supported with ≤10% efficacy drop (NVMe SSD, UFS, eMMC/uSD, PSSD)</v>
      </c>
      <c r="F518" s="52" t="str">
        <f aca="false">C_KPI_Benchmark!K518</f>
        <v>count</v>
      </c>
      <c r="G518" s="51" t="str">
        <f aca="false">C_KPI_Benchmark!L518</f>
        <v>Higher is better</v>
      </c>
      <c r="H518" s="62" t="n">
        <f aca="false">C_KPI_Benchmark!N518</f>
        <v>3</v>
      </c>
      <c r="I518" s="63" t="n">
        <f aca="false">IF(C_KPI_Benchmark!O518&lt;&gt;"",C_KPI_Benchmark!O518,IF(G518="Higher is better",H518*(1-A_Scoring_Model!$C$16),H518*(1+A_Scoring_Model!$C$16)))</f>
        <v>2</v>
      </c>
      <c r="J518" s="64"/>
      <c r="K518" s="64"/>
      <c r="L518" s="64"/>
      <c r="M518" s="64"/>
      <c r="N518" s="56" t="str">
        <f aca="false">IF(J518="","",IF($H518=$I518,IF(OR(AND($G518="Higher is better",J518&gt;=$H518),AND($G518="Lower is better",J518&lt;=$H518)),A_Scoring_Model!$C$14,0),IF($G518="Higher is better",IF(J518&gt;=$H518,A_Scoring_Model!$C$14,IF(J518&lt;$I518,0,A_Scoring_Model!$C$15+(A_Scoring_Model!$C$14-A_Scoring_Model!$C$15)*(J518-$I518)/($H518-$I518))),IF(J518&lt;=$H518,A_Scoring_Model!$C$14,IF(J518&gt;$I518,0,A_Scoring_Model!$C$15+(A_Scoring_Model!$C$14-A_Scoring_Model!$C$15)*($I518-J518)/($I518-$H518))))))</f>
        <v/>
      </c>
      <c r="O518" s="56" t="str">
        <f aca="false">IF(K518="","",IF($H518=$I518,IF(OR(AND($G518="Higher is better",K518&gt;=$H518),AND($G518="Lower is better",K518&lt;=$H518)),A_Scoring_Model!$C$14,0),IF($G518="Higher is better",IF(K518&gt;=$H518,A_Scoring_Model!$C$14,IF(K518&lt;$I518,0,A_Scoring_Model!$C$15+(A_Scoring_Model!$C$14-A_Scoring_Model!$C$15)*(K518-$I518)/($H518-$I518))),IF(K518&lt;=$H518,A_Scoring_Model!$C$14,IF(K518&gt;$I518,0,A_Scoring_Model!$C$15+(A_Scoring_Model!$C$14-A_Scoring_Model!$C$15)*($I518-K518)/($I518-$H518))))))</f>
        <v/>
      </c>
      <c r="P518" s="56" t="str">
        <f aca="false">IF(L518="","",IF($H518=$I518,IF(OR(AND($G518="Higher is better",L518&gt;=$H518),AND($G518="Lower is better",L518&lt;=$H518)),A_Scoring_Model!$C$14,0),IF($G518="Higher is better",IF(L518&gt;=$H518,A_Scoring_Model!$C$14,IF(L518&lt;$I518,0,A_Scoring_Model!$C$15+(A_Scoring_Model!$C$14-A_Scoring_Model!$C$15)*(L518-$I518)/($H518-$I518))),IF(L518&lt;=$H518,A_Scoring_Model!$C$14,IF(L518&gt;$I518,0,A_Scoring_Model!$C$15+(A_Scoring_Model!$C$14-A_Scoring_Model!$C$15)*($I518-L518)/($I518-$H518))))))</f>
        <v/>
      </c>
      <c r="Q518" s="56" t="str">
        <f aca="false">IF(M518="","",IF($H518=$I518,IF(OR(AND($G518="Higher is better",M518&gt;=$H518),AND($G518="Lower is better",M518&lt;=$H518)),A_Scoring_Model!$C$14,0),IF($G518="Higher is better",IF(M518&gt;=$H518,A_Scoring_Model!$C$14,IF(M518&lt;$I518,0,A_Scoring_Model!$C$15+(A_Scoring_Model!$C$14-A_Scoring_Model!$C$15)*(M518-$I518)/($H518-$I518))),IF(M518&lt;=$H518,A_Scoring_Model!$C$14,IF(M518&gt;$I518,0,A_Scoring_Model!$C$15+(A_Scoring_Model!$C$14-A_Scoring_Model!$C$15)*($I518-M518)/($I518-$H518))))))</f>
        <v/>
      </c>
    </row>
    <row r="519" customFormat="false" ht="15" hidden="false" customHeight="false" outlineLevel="0" collapsed="false">
      <c r="A519" s="51" t="str">
        <f aca="false">C_KPI_Benchmark!A519</f>
        <v>10.b-D2-06</v>
      </c>
      <c r="B519" s="52" t="str">
        <f aca="false">C_KPI_Benchmark!D519</f>
        <v>10.b</v>
      </c>
      <c r="C519" s="51" t="str">
        <f aca="false">C_KPI_Benchmark!E519</f>
        <v>Customer Feedback Analyzer</v>
      </c>
      <c r="D519" s="52" t="str">
        <f aca="false">C_KPI_Benchmark!F519</f>
        <v>D2</v>
      </c>
      <c r="E519" s="51" t="str">
        <f aca="false">C_KPI_Benchmark!J519</f>
        <v>Uses Zion shared services instead of re-implementing them</v>
      </c>
      <c r="F519" s="52" t="str">
        <f aca="false">C_KPI_Benchmark!K519</f>
        <v>Yes/No</v>
      </c>
      <c r="G519" s="51" t="str">
        <f aca="false">C_KPI_Benchmark!L519</f>
        <v>Higher is better</v>
      </c>
      <c r="H519" s="60" t="n">
        <f aca="false">C_KPI_Benchmark!N519</f>
        <v>1</v>
      </c>
      <c r="I519" s="56" t="n">
        <f aca="false">IF(C_KPI_Benchmark!O519&lt;&gt;"",C_KPI_Benchmark!O519,IF(G519="Higher is better",H519*(1-A_Scoring_Model!$C$16),H519*(1+A_Scoring_Model!$C$16)))</f>
        <v>0.8</v>
      </c>
      <c r="J519" s="61"/>
      <c r="K519" s="61"/>
      <c r="L519" s="61"/>
      <c r="M519" s="61"/>
      <c r="N519" s="56" t="str">
        <f aca="false">IF(J519="","",IF($H519=$I519,IF(OR(AND($G519="Higher is better",J519&gt;=$H519),AND($G519="Lower is better",J519&lt;=$H519)),A_Scoring_Model!$C$14,0),IF($G519="Higher is better",IF(J519&gt;=$H519,A_Scoring_Model!$C$14,IF(J519&lt;$I519,0,A_Scoring_Model!$C$15+(A_Scoring_Model!$C$14-A_Scoring_Model!$C$15)*(J519-$I519)/($H519-$I519))),IF(J519&lt;=$H519,A_Scoring_Model!$C$14,IF(J519&gt;$I519,0,A_Scoring_Model!$C$15+(A_Scoring_Model!$C$14-A_Scoring_Model!$C$15)*($I519-J519)/($I519-$H519))))))</f>
        <v/>
      </c>
      <c r="O519" s="56" t="str">
        <f aca="false">IF(K519="","",IF($H519=$I519,IF(OR(AND($G519="Higher is better",K519&gt;=$H519),AND($G519="Lower is better",K519&lt;=$H519)),A_Scoring_Model!$C$14,0),IF($G519="Higher is better",IF(K519&gt;=$H519,A_Scoring_Model!$C$14,IF(K519&lt;$I519,0,A_Scoring_Model!$C$15+(A_Scoring_Model!$C$14-A_Scoring_Model!$C$15)*(K519-$I519)/($H519-$I519))),IF(K519&lt;=$H519,A_Scoring_Model!$C$14,IF(K519&gt;$I519,0,A_Scoring_Model!$C$15+(A_Scoring_Model!$C$14-A_Scoring_Model!$C$15)*($I519-K519)/($I519-$H519))))))</f>
        <v/>
      </c>
      <c r="P519" s="56" t="str">
        <f aca="false">IF(L519="","",IF($H519=$I519,IF(OR(AND($G519="Higher is better",L519&gt;=$H519),AND($G519="Lower is better",L519&lt;=$H519)),A_Scoring_Model!$C$14,0),IF($G519="Higher is better",IF(L519&gt;=$H519,A_Scoring_Model!$C$14,IF(L519&lt;$I519,0,A_Scoring_Model!$C$15+(A_Scoring_Model!$C$14-A_Scoring_Model!$C$15)*(L519-$I519)/($H519-$I519))),IF(L519&lt;=$H519,A_Scoring_Model!$C$14,IF(L519&gt;$I519,0,A_Scoring_Model!$C$15+(A_Scoring_Model!$C$14-A_Scoring_Model!$C$15)*($I519-L519)/($I519-$H519))))))</f>
        <v/>
      </c>
      <c r="Q519" s="56" t="str">
        <f aca="false">IF(M519="","",IF($H519=$I519,IF(OR(AND($G519="Higher is better",M519&gt;=$H519),AND($G519="Lower is better",M519&lt;=$H519)),A_Scoring_Model!$C$14,0),IF($G519="Higher is better",IF(M519&gt;=$H519,A_Scoring_Model!$C$14,IF(M519&lt;$I519,0,A_Scoring_Model!$C$15+(A_Scoring_Model!$C$14-A_Scoring_Model!$C$15)*(M519-$I519)/($H519-$I519))),IF(M519&lt;=$H519,A_Scoring_Model!$C$14,IF(M519&gt;$I519,0,A_Scoring_Model!$C$15+(A_Scoring_Model!$C$14-A_Scoring_Model!$C$15)*($I519-M519)/($I519-$H519))))))</f>
        <v/>
      </c>
    </row>
    <row r="520" customFormat="false" ht="15" hidden="false" customHeight="false" outlineLevel="0" collapsed="false">
      <c r="A520" s="51" t="str">
        <f aca="false">C_KPI_Benchmark!A520</f>
        <v>10.b-D3-07</v>
      </c>
      <c r="B520" s="52" t="str">
        <f aca="false">C_KPI_Benchmark!D520</f>
        <v>10.b</v>
      </c>
      <c r="C520" s="51" t="str">
        <f aca="false">C_KPI_Benchmark!E520</f>
        <v>Customer Feedback Analyzer</v>
      </c>
      <c r="D520" s="52" t="str">
        <f aca="false">C_KPI_Benchmark!F520</f>
        <v>D3</v>
      </c>
      <c r="E520" s="51" t="str">
        <f aca="false">C_KPI_Benchmark!J520</f>
        <v>Items processed per day</v>
      </c>
      <c r="F520" s="52" t="str">
        <f aca="false">C_KPI_Benchmark!K520</f>
        <v>items/day</v>
      </c>
      <c r="G520" s="51" t="str">
        <f aca="false">C_KPI_Benchmark!L520</f>
        <v>Higher is better</v>
      </c>
      <c r="H520" s="62" t="n">
        <f aca="false">C_KPI_Benchmark!N520</f>
        <v>10000</v>
      </c>
      <c r="I520" s="63" t="n">
        <f aca="false">IF(C_KPI_Benchmark!O520&lt;&gt;"",C_KPI_Benchmark!O520,IF(G520="Higher is better",H520*(1-A_Scoring_Model!$C$16),H520*(1+A_Scoring_Model!$C$16)))</f>
        <v>8000</v>
      </c>
      <c r="J520" s="64"/>
      <c r="K520" s="64"/>
      <c r="L520" s="64"/>
      <c r="M520" s="64"/>
      <c r="N520" s="56" t="str">
        <f aca="false">IF(J520="","",IF($H520=$I520,IF(OR(AND($G520="Higher is better",J520&gt;=$H520),AND($G520="Lower is better",J520&lt;=$H520)),A_Scoring_Model!$C$14,0),IF($G520="Higher is better",IF(J520&gt;=$H520,A_Scoring_Model!$C$14,IF(J520&lt;$I520,0,A_Scoring_Model!$C$15+(A_Scoring_Model!$C$14-A_Scoring_Model!$C$15)*(J520-$I520)/($H520-$I520))),IF(J520&lt;=$H520,A_Scoring_Model!$C$14,IF(J520&gt;$I520,0,A_Scoring_Model!$C$15+(A_Scoring_Model!$C$14-A_Scoring_Model!$C$15)*($I520-J520)/($I520-$H520))))))</f>
        <v/>
      </c>
      <c r="O520" s="56" t="str">
        <f aca="false">IF(K520="","",IF($H520=$I520,IF(OR(AND($G520="Higher is better",K520&gt;=$H520),AND($G520="Lower is better",K520&lt;=$H520)),A_Scoring_Model!$C$14,0),IF($G520="Higher is better",IF(K520&gt;=$H520,A_Scoring_Model!$C$14,IF(K520&lt;$I520,0,A_Scoring_Model!$C$15+(A_Scoring_Model!$C$14-A_Scoring_Model!$C$15)*(K520-$I520)/($H520-$I520))),IF(K520&lt;=$H520,A_Scoring_Model!$C$14,IF(K520&gt;$I520,0,A_Scoring_Model!$C$15+(A_Scoring_Model!$C$14-A_Scoring_Model!$C$15)*($I520-K520)/($I520-$H520))))))</f>
        <v/>
      </c>
      <c r="P520" s="56" t="str">
        <f aca="false">IF(L520="","",IF($H520=$I520,IF(OR(AND($G520="Higher is better",L520&gt;=$H520),AND($G520="Lower is better",L520&lt;=$H520)),A_Scoring_Model!$C$14,0),IF($G520="Higher is better",IF(L520&gt;=$H520,A_Scoring_Model!$C$14,IF(L520&lt;$I520,0,A_Scoring_Model!$C$15+(A_Scoring_Model!$C$14-A_Scoring_Model!$C$15)*(L520-$I520)/($H520-$I520))),IF(L520&lt;=$H520,A_Scoring_Model!$C$14,IF(L520&gt;$I520,0,A_Scoring_Model!$C$15+(A_Scoring_Model!$C$14-A_Scoring_Model!$C$15)*($I520-L520)/($I520-$H520))))))</f>
        <v/>
      </c>
      <c r="Q520" s="56" t="str">
        <f aca="false">IF(M520="","",IF($H520=$I520,IF(OR(AND($G520="Higher is better",M520&gt;=$H520),AND($G520="Lower is better",M520&lt;=$H520)),A_Scoring_Model!$C$14,0),IF($G520="Higher is better",IF(M520&gt;=$H520,A_Scoring_Model!$C$14,IF(M520&lt;$I520,0,A_Scoring_Model!$C$15+(A_Scoring_Model!$C$14-A_Scoring_Model!$C$15)*(M520-$I520)/($H520-$I520))),IF(M520&lt;=$H520,A_Scoring_Model!$C$14,IF(M520&gt;$I520,0,A_Scoring_Model!$C$15+(A_Scoring_Model!$C$14-A_Scoring_Model!$C$15)*($I520-M520)/($I520-$H520))))))</f>
        <v/>
      </c>
    </row>
    <row r="521" customFormat="false" ht="15" hidden="false" customHeight="false" outlineLevel="0" collapsed="false">
      <c r="A521" s="51" t="str">
        <f aca="false">C_KPI_Benchmark!A521</f>
        <v>10.b-D3-08</v>
      </c>
      <c r="B521" s="52" t="str">
        <f aca="false">C_KPI_Benchmark!D521</f>
        <v>10.b</v>
      </c>
      <c r="C521" s="51" t="str">
        <f aca="false">C_KPI_Benchmark!E521</f>
        <v>Customer Feedback Analyzer</v>
      </c>
      <c r="D521" s="52" t="str">
        <f aca="false">C_KPI_Benchmark!F521</f>
        <v>D3</v>
      </c>
      <c r="E521" s="51" t="str">
        <f aca="false">C_KPI_Benchmark!J521</f>
        <v>Latency degradation at 10× load</v>
      </c>
      <c r="F521" s="52" t="str">
        <f aca="false">C_KPI_Benchmark!K521</f>
        <v>%</v>
      </c>
      <c r="G521" s="51" t="str">
        <f aca="false">C_KPI_Benchmark!L521</f>
        <v>Lower is better</v>
      </c>
      <c r="H521" s="53" t="n">
        <f aca="false">C_KPI_Benchmark!N521</f>
        <v>0.2</v>
      </c>
      <c r="I521" s="54" t="n">
        <f aca="false">IF(C_KPI_Benchmark!O521&lt;&gt;"",C_KPI_Benchmark!O521,IF(G521="Higher is better",H521*(1-A_Scoring_Model!$C$16),H521*(1+A_Scoring_Model!$C$16)))</f>
        <v>0.4</v>
      </c>
      <c r="J521" s="55"/>
      <c r="K521" s="55"/>
      <c r="L521" s="55"/>
      <c r="M521" s="55"/>
      <c r="N521" s="56" t="str">
        <f aca="false">IF(J521="","",IF($H521=$I521,IF(OR(AND($G521="Higher is better",J521&gt;=$H521),AND($G521="Lower is better",J521&lt;=$H521)),A_Scoring_Model!$C$14,0),IF($G521="Higher is better",IF(J521&gt;=$H521,A_Scoring_Model!$C$14,IF(J521&lt;$I521,0,A_Scoring_Model!$C$15+(A_Scoring_Model!$C$14-A_Scoring_Model!$C$15)*(J521-$I521)/($H521-$I521))),IF(J521&lt;=$H521,A_Scoring_Model!$C$14,IF(J521&gt;$I521,0,A_Scoring_Model!$C$15+(A_Scoring_Model!$C$14-A_Scoring_Model!$C$15)*($I521-J521)/($I521-$H521))))))</f>
        <v/>
      </c>
      <c r="O521" s="56" t="str">
        <f aca="false">IF(K521="","",IF($H521=$I521,IF(OR(AND($G521="Higher is better",K521&gt;=$H521),AND($G521="Lower is better",K521&lt;=$H521)),A_Scoring_Model!$C$14,0),IF($G521="Higher is better",IF(K521&gt;=$H521,A_Scoring_Model!$C$14,IF(K521&lt;$I521,0,A_Scoring_Model!$C$15+(A_Scoring_Model!$C$14-A_Scoring_Model!$C$15)*(K521-$I521)/($H521-$I521))),IF(K521&lt;=$H521,A_Scoring_Model!$C$14,IF(K521&gt;$I521,0,A_Scoring_Model!$C$15+(A_Scoring_Model!$C$14-A_Scoring_Model!$C$15)*($I521-K521)/($I521-$H521))))))</f>
        <v/>
      </c>
      <c r="P521" s="56" t="str">
        <f aca="false">IF(L521="","",IF($H521=$I521,IF(OR(AND($G521="Higher is better",L521&gt;=$H521),AND($G521="Lower is better",L521&lt;=$H521)),A_Scoring_Model!$C$14,0),IF($G521="Higher is better",IF(L521&gt;=$H521,A_Scoring_Model!$C$14,IF(L521&lt;$I521,0,A_Scoring_Model!$C$15+(A_Scoring_Model!$C$14-A_Scoring_Model!$C$15)*(L521-$I521)/($H521-$I521))),IF(L521&lt;=$H521,A_Scoring_Model!$C$14,IF(L521&gt;$I521,0,A_Scoring_Model!$C$15+(A_Scoring_Model!$C$14-A_Scoring_Model!$C$15)*($I521-L521)/($I521-$H521))))))</f>
        <v/>
      </c>
      <c r="Q521" s="56" t="str">
        <f aca="false">IF(M521="","",IF($H521=$I521,IF(OR(AND($G521="Higher is better",M521&gt;=$H521),AND($G521="Lower is better",M521&lt;=$H521)),A_Scoring_Model!$C$14,0),IF($G521="Higher is better",IF(M521&gt;=$H521,A_Scoring_Model!$C$14,IF(M521&lt;$I521,0,A_Scoring_Model!$C$15+(A_Scoring_Model!$C$14-A_Scoring_Model!$C$15)*(M521-$I521)/($H521-$I521))),IF(M521&lt;=$H521,A_Scoring_Model!$C$14,IF(M521&gt;$I521,0,A_Scoring_Model!$C$15+(A_Scoring_Model!$C$14-A_Scoring_Model!$C$15)*($I521-M521)/($I521-$H521))))))</f>
        <v/>
      </c>
    </row>
    <row r="522" customFormat="false" ht="15" hidden="false" customHeight="false" outlineLevel="0" collapsed="false">
      <c r="A522" s="51" t="str">
        <f aca="false">C_KPI_Benchmark!A522</f>
        <v>10.b-D4-09</v>
      </c>
      <c r="B522" s="52" t="str">
        <f aca="false">C_KPI_Benchmark!D522</f>
        <v>10.b</v>
      </c>
      <c r="C522" s="51" t="str">
        <f aca="false">C_KPI_Benchmark!E522</f>
        <v>Customer Feedback Analyzer</v>
      </c>
      <c r="D522" s="52" t="str">
        <f aca="false">C_KPI_Benchmark!F522</f>
        <v>D4</v>
      </c>
      <c r="E522" s="51" t="str">
        <f aca="false">C_KPI_Benchmark!J522</f>
        <v>Customer data processed only via on-prem LLM</v>
      </c>
      <c r="F522" s="52" t="str">
        <f aca="false">C_KPI_Benchmark!K522</f>
        <v>%</v>
      </c>
      <c r="G522" s="51" t="str">
        <f aca="false">C_KPI_Benchmark!L522</f>
        <v>Higher is better</v>
      </c>
      <c r="H522" s="53" t="n">
        <f aca="false">C_KPI_Benchmark!N522</f>
        <v>1</v>
      </c>
      <c r="I522" s="54" t="n">
        <f aca="false">IF(C_KPI_Benchmark!O522&lt;&gt;"",C_KPI_Benchmark!O522,IF(G522="Higher is better",H522*(1-A_Scoring_Model!$C$16),H522*(1+A_Scoring_Model!$C$16)))</f>
        <v>0.8</v>
      </c>
      <c r="J522" s="55"/>
      <c r="K522" s="55"/>
      <c r="L522" s="55"/>
      <c r="M522" s="55"/>
      <c r="N522" s="56" t="str">
        <f aca="false">IF(J522="","",IF($H522=$I522,IF(OR(AND($G522="Higher is better",J522&gt;=$H522),AND($G522="Lower is better",J522&lt;=$H522)),A_Scoring_Model!$C$14,0),IF($G522="Higher is better",IF(J522&gt;=$H522,A_Scoring_Model!$C$14,IF(J522&lt;$I522,0,A_Scoring_Model!$C$15+(A_Scoring_Model!$C$14-A_Scoring_Model!$C$15)*(J522-$I522)/($H522-$I522))),IF(J522&lt;=$H522,A_Scoring_Model!$C$14,IF(J522&gt;$I522,0,A_Scoring_Model!$C$15+(A_Scoring_Model!$C$14-A_Scoring_Model!$C$15)*($I522-J522)/($I522-$H522))))))</f>
        <v/>
      </c>
      <c r="O522" s="56" t="str">
        <f aca="false">IF(K522="","",IF($H522=$I522,IF(OR(AND($G522="Higher is better",K522&gt;=$H522),AND($G522="Lower is better",K522&lt;=$H522)),A_Scoring_Model!$C$14,0),IF($G522="Higher is better",IF(K522&gt;=$H522,A_Scoring_Model!$C$14,IF(K522&lt;$I522,0,A_Scoring_Model!$C$15+(A_Scoring_Model!$C$14-A_Scoring_Model!$C$15)*(K522-$I522)/($H522-$I522))),IF(K522&lt;=$H522,A_Scoring_Model!$C$14,IF(K522&gt;$I522,0,A_Scoring_Model!$C$15+(A_Scoring_Model!$C$14-A_Scoring_Model!$C$15)*($I522-K522)/($I522-$H522))))))</f>
        <v/>
      </c>
      <c r="P522" s="56" t="str">
        <f aca="false">IF(L522="","",IF($H522=$I522,IF(OR(AND($G522="Higher is better",L522&gt;=$H522),AND($G522="Lower is better",L522&lt;=$H522)),A_Scoring_Model!$C$14,0),IF($G522="Higher is better",IF(L522&gt;=$H522,A_Scoring_Model!$C$14,IF(L522&lt;$I522,0,A_Scoring_Model!$C$15+(A_Scoring_Model!$C$14-A_Scoring_Model!$C$15)*(L522-$I522)/($H522-$I522))),IF(L522&lt;=$H522,A_Scoring_Model!$C$14,IF(L522&gt;$I522,0,A_Scoring_Model!$C$15+(A_Scoring_Model!$C$14-A_Scoring_Model!$C$15)*($I522-L522)/($I522-$H522))))))</f>
        <v/>
      </c>
      <c r="Q522" s="56" t="str">
        <f aca="false">IF(M522="","",IF($H522=$I522,IF(OR(AND($G522="Higher is better",M522&gt;=$H522),AND($G522="Lower is better",M522&lt;=$H522)),A_Scoring_Model!$C$14,0),IF($G522="Higher is better",IF(M522&gt;=$H522,A_Scoring_Model!$C$14,IF(M522&lt;$I522,0,A_Scoring_Model!$C$15+(A_Scoring_Model!$C$14-A_Scoring_Model!$C$15)*(M522-$I522)/($H522-$I522))),IF(M522&lt;=$H522,A_Scoring_Model!$C$14,IF(M522&gt;$I522,0,A_Scoring_Model!$C$15+(A_Scoring_Model!$C$14-A_Scoring_Model!$C$15)*($I522-M522)/($I522-$H522))))))</f>
        <v/>
      </c>
    </row>
    <row r="523" customFormat="false" ht="15" hidden="false" customHeight="false" outlineLevel="0" collapsed="false">
      <c r="A523" s="51" t="str">
        <f aca="false">C_KPI_Benchmark!A523</f>
        <v>10.b-D4-10</v>
      </c>
      <c r="B523" s="52" t="str">
        <f aca="false">C_KPI_Benchmark!D523</f>
        <v>10.b</v>
      </c>
      <c r="C523" s="51" t="str">
        <f aca="false">C_KPI_Benchmark!E523</f>
        <v>Customer Feedback Analyzer</v>
      </c>
      <c r="D523" s="52" t="str">
        <f aca="false">C_KPI_Benchmark!F523</f>
        <v>D4</v>
      </c>
      <c r="E523" s="51" t="str">
        <f aca="false">C_KPI_Benchmark!J523</f>
        <v>Service availability</v>
      </c>
      <c r="F523" s="52" t="str">
        <f aca="false">C_KPI_Benchmark!K523</f>
        <v>%</v>
      </c>
      <c r="G523" s="51" t="str">
        <f aca="false">C_KPI_Benchmark!L523</f>
        <v>Higher is better</v>
      </c>
      <c r="H523" s="53" t="n">
        <f aca="false">C_KPI_Benchmark!N523</f>
        <v>0.995</v>
      </c>
      <c r="I523" s="54" t="n">
        <f aca="false">IF(C_KPI_Benchmark!O523&lt;&gt;"",C_KPI_Benchmark!O523,IF(G523="Higher is better",H523*(1-A_Scoring_Model!$C$16),H523*(1+A_Scoring_Model!$C$16)))</f>
        <v>0.99</v>
      </c>
      <c r="J523" s="55"/>
      <c r="K523" s="55"/>
      <c r="L523" s="55"/>
      <c r="M523" s="55"/>
      <c r="N523" s="56" t="str">
        <f aca="false">IF(J523="","",IF($H523=$I523,IF(OR(AND($G523="Higher is better",J523&gt;=$H523),AND($G523="Lower is better",J523&lt;=$H523)),A_Scoring_Model!$C$14,0),IF($G523="Higher is better",IF(J523&gt;=$H523,A_Scoring_Model!$C$14,IF(J523&lt;$I523,0,A_Scoring_Model!$C$15+(A_Scoring_Model!$C$14-A_Scoring_Model!$C$15)*(J523-$I523)/($H523-$I523))),IF(J523&lt;=$H523,A_Scoring_Model!$C$14,IF(J523&gt;$I523,0,A_Scoring_Model!$C$15+(A_Scoring_Model!$C$14-A_Scoring_Model!$C$15)*($I523-J523)/($I523-$H523))))))</f>
        <v/>
      </c>
      <c r="O523" s="56" t="str">
        <f aca="false">IF(K523="","",IF($H523=$I523,IF(OR(AND($G523="Higher is better",K523&gt;=$H523),AND($G523="Lower is better",K523&lt;=$H523)),A_Scoring_Model!$C$14,0),IF($G523="Higher is better",IF(K523&gt;=$H523,A_Scoring_Model!$C$14,IF(K523&lt;$I523,0,A_Scoring_Model!$C$15+(A_Scoring_Model!$C$14-A_Scoring_Model!$C$15)*(K523-$I523)/($H523-$I523))),IF(K523&lt;=$H523,A_Scoring_Model!$C$14,IF(K523&gt;$I523,0,A_Scoring_Model!$C$15+(A_Scoring_Model!$C$14-A_Scoring_Model!$C$15)*($I523-K523)/($I523-$H523))))))</f>
        <v/>
      </c>
      <c r="P523" s="56" t="str">
        <f aca="false">IF(L523="","",IF($H523=$I523,IF(OR(AND($G523="Higher is better",L523&gt;=$H523),AND($G523="Lower is better",L523&lt;=$H523)),A_Scoring_Model!$C$14,0),IF($G523="Higher is better",IF(L523&gt;=$H523,A_Scoring_Model!$C$14,IF(L523&lt;$I523,0,A_Scoring_Model!$C$15+(A_Scoring_Model!$C$14-A_Scoring_Model!$C$15)*(L523-$I523)/($H523-$I523))),IF(L523&lt;=$H523,A_Scoring_Model!$C$14,IF(L523&gt;$I523,0,A_Scoring_Model!$C$15+(A_Scoring_Model!$C$14-A_Scoring_Model!$C$15)*($I523-L523)/($I523-$H523))))))</f>
        <v/>
      </c>
      <c r="Q523" s="56" t="str">
        <f aca="false">IF(M523="","",IF($H523=$I523,IF(OR(AND($G523="Higher is better",M523&gt;=$H523),AND($G523="Lower is better",M523&lt;=$H523)),A_Scoring_Model!$C$14,0),IF($G523="Higher is better",IF(M523&gt;=$H523,A_Scoring_Model!$C$14,IF(M523&lt;$I523,0,A_Scoring_Model!$C$15+(A_Scoring_Model!$C$14-A_Scoring_Model!$C$15)*(M523-$I523)/($H523-$I523))),IF(M523&lt;=$H523,A_Scoring_Model!$C$14,IF(M523&gt;$I523,0,A_Scoring_Model!$C$15+(A_Scoring_Model!$C$14-A_Scoring_Model!$C$15)*($I523-M523)/($I523-$H523))))))</f>
        <v/>
      </c>
    </row>
    <row r="524" customFormat="false" ht="15" hidden="false" customHeight="false" outlineLevel="0" collapsed="false">
      <c r="A524" s="51" t="str">
        <f aca="false">C_KPI_Benchmark!A524</f>
        <v>10.b-D5-11</v>
      </c>
      <c r="B524" s="52" t="str">
        <f aca="false">C_KPI_Benchmark!D524</f>
        <v>10.b</v>
      </c>
      <c r="C524" s="51" t="str">
        <f aca="false">C_KPI_Benchmark!E524</f>
        <v>Customer Feedback Analyzer</v>
      </c>
      <c r="D524" s="52" t="str">
        <f aca="false">C_KPI_Benchmark!F524</f>
        <v>D5</v>
      </c>
      <c r="E524" s="51" t="str">
        <f aca="false">C_KPI_Benchmark!J524</f>
        <v>Customer issue response time reduction</v>
      </c>
      <c r="F524" s="52" t="str">
        <f aca="false">C_KPI_Benchmark!K524</f>
        <v>%</v>
      </c>
      <c r="G524" s="51" t="str">
        <f aca="false">C_KPI_Benchmark!L524</f>
        <v>Higher is better</v>
      </c>
      <c r="H524" s="53" t="n">
        <f aca="false">C_KPI_Benchmark!N524</f>
        <v>0.4</v>
      </c>
      <c r="I524" s="54" t="n">
        <f aca="false">IF(C_KPI_Benchmark!O524&lt;&gt;"",C_KPI_Benchmark!O524,IF(G524="Higher is better",H524*(1-A_Scoring_Model!$C$16),H524*(1+A_Scoring_Model!$C$16)))</f>
        <v>0.32</v>
      </c>
      <c r="J524" s="55"/>
      <c r="K524" s="55"/>
      <c r="L524" s="55"/>
      <c r="M524" s="55"/>
      <c r="N524" s="56" t="str">
        <f aca="false">IF(J524="","",IF($H524=$I524,IF(OR(AND($G524="Higher is better",J524&gt;=$H524),AND($G524="Lower is better",J524&lt;=$H524)),A_Scoring_Model!$C$14,0),IF($G524="Higher is better",IF(J524&gt;=$H524,A_Scoring_Model!$C$14,IF(J524&lt;$I524,0,A_Scoring_Model!$C$15+(A_Scoring_Model!$C$14-A_Scoring_Model!$C$15)*(J524-$I524)/($H524-$I524))),IF(J524&lt;=$H524,A_Scoring_Model!$C$14,IF(J524&gt;$I524,0,A_Scoring_Model!$C$15+(A_Scoring_Model!$C$14-A_Scoring_Model!$C$15)*($I524-J524)/($I524-$H524))))))</f>
        <v/>
      </c>
      <c r="O524" s="56" t="str">
        <f aca="false">IF(K524="","",IF($H524=$I524,IF(OR(AND($G524="Higher is better",K524&gt;=$H524),AND($G524="Lower is better",K524&lt;=$H524)),A_Scoring_Model!$C$14,0),IF($G524="Higher is better",IF(K524&gt;=$H524,A_Scoring_Model!$C$14,IF(K524&lt;$I524,0,A_Scoring_Model!$C$15+(A_Scoring_Model!$C$14-A_Scoring_Model!$C$15)*(K524-$I524)/($H524-$I524))),IF(K524&lt;=$H524,A_Scoring_Model!$C$14,IF(K524&gt;$I524,0,A_Scoring_Model!$C$15+(A_Scoring_Model!$C$14-A_Scoring_Model!$C$15)*($I524-K524)/($I524-$H524))))))</f>
        <v/>
      </c>
      <c r="P524" s="56" t="str">
        <f aca="false">IF(L524="","",IF($H524=$I524,IF(OR(AND($G524="Higher is better",L524&gt;=$H524),AND($G524="Lower is better",L524&lt;=$H524)),A_Scoring_Model!$C$14,0),IF($G524="Higher is better",IF(L524&gt;=$H524,A_Scoring_Model!$C$14,IF(L524&lt;$I524,0,A_Scoring_Model!$C$15+(A_Scoring_Model!$C$14-A_Scoring_Model!$C$15)*(L524-$I524)/($H524-$I524))),IF(L524&lt;=$H524,A_Scoring_Model!$C$14,IF(L524&gt;$I524,0,A_Scoring_Model!$C$15+(A_Scoring_Model!$C$14-A_Scoring_Model!$C$15)*($I524-L524)/($I524-$H524))))))</f>
        <v/>
      </c>
      <c r="Q524" s="56" t="str">
        <f aca="false">IF(M524="","",IF($H524=$I524,IF(OR(AND($G524="Higher is better",M524&gt;=$H524),AND($G524="Lower is better",M524&lt;=$H524)),A_Scoring_Model!$C$14,0),IF($G524="Higher is better",IF(M524&gt;=$H524,A_Scoring_Model!$C$14,IF(M524&lt;$I524,0,A_Scoring_Model!$C$15+(A_Scoring_Model!$C$14-A_Scoring_Model!$C$15)*(M524-$I524)/($H524-$I524))),IF(M524&lt;=$H524,A_Scoring_Model!$C$14,IF(M524&gt;$I524,0,A_Scoring_Model!$C$15+(A_Scoring_Model!$C$14-A_Scoring_Model!$C$15)*($I524-M524)/($I524-$H524))))))</f>
        <v/>
      </c>
    </row>
    <row r="525" customFormat="false" ht="15" hidden="false" customHeight="false" outlineLevel="0" collapsed="false">
      <c r="A525" s="51" t="str">
        <f aca="false">C_KPI_Benchmark!A525</f>
        <v>10.b-D6-12</v>
      </c>
      <c r="B525" s="52" t="str">
        <f aca="false">C_KPI_Benchmark!D525</f>
        <v>10.b</v>
      </c>
      <c r="C525" s="51" t="str">
        <f aca="false">C_KPI_Benchmark!E525</f>
        <v>Customer Feedback Analyzer</v>
      </c>
      <c r="D525" s="52" t="str">
        <f aca="false">C_KPI_Benchmark!F525</f>
        <v>D6</v>
      </c>
      <c r="E525" s="51" t="str">
        <f aca="false">C_KPI_Benchmark!J525</f>
        <v>Solution code test coverage</v>
      </c>
      <c r="F525" s="52" t="str">
        <f aca="false">C_KPI_Benchmark!K525</f>
        <v>%</v>
      </c>
      <c r="G525" s="51" t="str">
        <f aca="false">C_KPI_Benchmark!L525</f>
        <v>Higher is better</v>
      </c>
      <c r="H525" s="53" t="n">
        <f aca="false">C_KPI_Benchmark!N525</f>
        <v>0.8</v>
      </c>
      <c r="I525" s="54" t="n">
        <f aca="false">IF(C_KPI_Benchmark!O525&lt;&gt;"",C_KPI_Benchmark!O525,IF(G525="Higher is better",H525*(1-A_Scoring_Model!$C$16),H525*(1+A_Scoring_Model!$C$16)))</f>
        <v>0.6</v>
      </c>
      <c r="J525" s="55"/>
      <c r="K525" s="55"/>
      <c r="L525" s="55"/>
      <c r="M525" s="55"/>
      <c r="N525" s="56" t="str">
        <f aca="false">IF(J525="","",IF($H525=$I525,IF(OR(AND($G525="Higher is better",J525&gt;=$H525),AND($G525="Lower is better",J525&lt;=$H525)),A_Scoring_Model!$C$14,0),IF($G525="Higher is better",IF(J525&gt;=$H525,A_Scoring_Model!$C$14,IF(J525&lt;$I525,0,A_Scoring_Model!$C$15+(A_Scoring_Model!$C$14-A_Scoring_Model!$C$15)*(J525-$I525)/($H525-$I525))),IF(J525&lt;=$H525,A_Scoring_Model!$C$14,IF(J525&gt;$I525,0,A_Scoring_Model!$C$15+(A_Scoring_Model!$C$14-A_Scoring_Model!$C$15)*($I525-J525)/($I525-$H525))))))</f>
        <v/>
      </c>
      <c r="O525" s="56" t="str">
        <f aca="false">IF(K525="","",IF($H525=$I525,IF(OR(AND($G525="Higher is better",K525&gt;=$H525),AND($G525="Lower is better",K525&lt;=$H525)),A_Scoring_Model!$C$14,0),IF($G525="Higher is better",IF(K525&gt;=$H525,A_Scoring_Model!$C$14,IF(K525&lt;$I525,0,A_Scoring_Model!$C$15+(A_Scoring_Model!$C$14-A_Scoring_Model!$C$15)*(K525-$I525)/($H525-$I525))),IF(K525&lt;=$H525,A_Scoring_Model!$C$14,IF(K525&gt;$I525,0,A_Scoring_Model!$C$15+(A_Scoring_Model!$C$14-A_Scoring_Model!$C$15)*($I525-K525)/($I525-$H525))))))</f>
        <v/>
      </c>
      <c r="P525" s="56" t="str">
        <f aca="false">IF(L525="","",IF($H525=$I525,IF(OR(AND($G525="Higher is better",L525&gt;=$H525),AND($G525="Lower is better",L525&lt;=$H525)),A_Scoring_Model!$C$14,0),IF($G525="Higher is better",IF(L525&gt;=$H525,A_Scoring_Model!$C$14,IF(L525&lt;$I525,0,A_Scoring_Model!$C$15+(A_Scoring_Model!$C$14-A_Scoring_Model!$C$15)*(L525-$I525)/($H525-$I525))),IF(L525&lt;=$H525,A_Scoring_Model!$C$14,IF(L525&gt;$I525,0,A_Scoring_Model!$C$15+(A_Scoring_Model!$C$14-A_Scoring_Model!$C$15)*($I525-L525)/($I525-$H525))))))</f>
        <v/>
      </c>
      <c r="Q525" s="56" t="str">
        <f aca="false">IF(M525="","",IF($H525=$I525,IF(OR(AND($G525="Higher is better",M525&gt;=$H525),AND($G525="Lower is better",M525&lt;=$H525)),A_Scoring_Model!$C$14,0),IF($G525="Higher is better",IF(M525&gt;=$H525,A_Scoring_Model!$C$14,IF(M525&lt;$I525,0,A_Scoring_Model!$C$15+(A_Scoring_Model!$C$14-A_Scoring_Model!$C$15)*(M525-$I525)/($H525-$I525))),IF(M525&lt;=$H525,A_Scoring_Model!$C$14,IF(M525&gt;$I525,0,A_Scoring_Model!$C$15+(A_Scoring_Model!$C$14-A_Scoring_Model!$C$15)*($I525-M525)/($I525-$H525))))))</f>
        <v/>
      </c>
    </row>
    <row r="526" customFormat="false" ht="15" hidden="false" customHeight="false" outlineLevel="0" collapsed="false">
      <c r="A526" s="51" t="str">
        <f aca="false">C_KPI_Benchmark!A526</f>
        <v>10.b-D6-13</v>
      </c>
      <c r="B526" s="52" t="str">
        <f aca="false">C_KPI_Benchmark!D526</f>
        <v>10.b</v>
      </c>
      <c r="C526" s="51" t="str">
        <f aca="false">C_KPI_Benchmark!E526</f>
        <v>Customer Feedback Analyzer</v>
      </c>
      <c r="D526" s="52" t="str">
        <f aca="false">C_KPI_Benchmark!F526</f>
        <v>D6</v>
      </c>
      <c r="E526" s="51" t="str">
        <f aca="false">C_KPI_Benchmark!J526</f>
        <v>Review Shield critical findings</v>
      </c>
      <c r="F526" s="52" t="str">
        <f aca="false">C_KPI_Benchmark!K526</f>
        <v>count</v>
      </c>
      <c r="G526" s="51" t="str">
        <f aca="false">C_KPI_Benchmark!L526</f>
        <v>Lower is better</v>
      </c>
      <c r="H526" s="62" t="n">
        <f aca="false">C_KPI_Benchmark!N526</f>
        <v>0</v>
      </c>
      <c r="I526" s="63" t="n">
        <f aca="false">IF(C_KPI_Benchmark!O526&lt;&gt;"",C_KPI_Benchmark!O526,IF(G526="Higher is better",H526*(1-A_Scoring_Model!$C$16),H526*(1+A_Scoring_Model!$C$16)))</f>
        <v>0</v>
      </c>
      <c r="J526" s="64"/>
      <c r="K526" s="64"/>
      <c r="L526" s="64"/>
      <c r="M526" s="64"/>
      <c r="N526" s="56" t="str">
        <f aca="false">IF(J526="","",IF($H526=$I526,IF(OR(AND($G526="Higher is better",J526&gt;=$H526),AND($G526="Lower is better",J526&lt;=$H526)),A_Scoring_Model!$C$14,0),IF($G526="Higher is better",IF(J526&gt;=$H526,A_Scoring_Model!$C$14,IF(J526&lt;$I526,0,A_Scoring_Model!$C$15+(A_Scoring_Model!$C$14-A_Scoring_Model!$C$15)*(J526-$I526)/($H526-$I526))),IF(J526&lt;=$H526,A_Scoring_Model!$C$14,IF(J526&gt;$I526,0,A_Scoring_Model!$C$15+(A_Scoring_Model!$C$14-A_Scoring_Model!$C$15)*($I526-J526)/($I526-$H526))))))</f>
        <v/>
      </c>
      <c r="O526" s="56" t="str">
        <f aca="false">IF(K526="","",IF($H526=$I526,IF(OR(AND($G526="Higher is better",K526&gt;=$H526),AND($G526="Lower is better",K526&lt;=$H526)),A_Scoring_Model!$C$14,0),IF($G526="Higher is better",IF(K526&gt;=$H526,A_Scoring_Model!$C$14,IF(K526&lt;$I526,0,A_Scoring_Model!$C$15+(A_Scoring_Model!$C$14-A_Scoring_Model!$C$15)*(K526-$I526)/($H526-$I526))),IF(K526&lt;=$H526,A_Scoring_Model!$C$14,IF(K526&gt;$I526,0,A_Scoring_Model!$C$15+(A_Scoring_Model!$C$14-A_Scoring_Model!$C$15)*($I526-K526)/($I526-$H526))))))</f>
        <v/>
      </c>
      <c r="P526" s="56" t="str">
        <f aca="false">IF(L526="","",IF($H526=$I526,IF(OR(AND($G526="Higher is better",L526&gt;=$H526),AND($G526="Lower is better",L526&lt;=$H526)),A_Scoring_Model!$C$14,0),IF($G526="Higher is better",IF(L526&gt;=$H526,A_Scoring_Model!$C$14,IF(L526&lt;$I526,0,A_Scoring_Model!$C$15+(A_Scoring_Model!$C$14-A_Scoring_Model!$C$15)*(L526-$I526)/($H526-$I526))),IF(L526&lt;=$H526,A_Scoring_Model!$C$14,IF(L526&gt;$I526,0,A_Scoring_Model!$C$15+(A_Scoring_Model!$C$14-A_Scoring_Model!$C$15)*($I526-L526)/($I526-$H526))))))</f>
        <v/>
      </c>
      <c r="Q526" s="56" t="str">
        <f aca="false">IF(M526="","",IF($H526=$I526,IF(OR(AND($G526="Higher is better",M526&gt;=$H526),AND($G526="Lower is better",M526&lt;=$H526)),A_Scoring_Model!$C$14,0),IF($G526="Higher is better",IF(M526&gt;=$H526,A_Scoring_Model!$C$14,IF(M526&lt;$I526,0,A_Scoring_Model!$C$15+(A_Scoring_Model!$C$14-A_Scoring_Model!$C$15)*(M526-$I526)/($H526-$I526))),IF(M526&lt;=$H526,A_Scoring_Model!$C$14,IF(M526&gt;$I526,0,A_Scoring_Model!$C$15+(A_Scoring_Model!$C$14-A_Scoring_Model!$C$15)*($I526-M526)/($I526-$H526))))))</f>
        <v/>
      </c>
    </row>
    <row r="527" customFormat="false" ht="15" hidden="false" customHeight="false" outlineLevel="0" collapsed="false">
      <c r="A527" s="51" t="str">
        <f aca="false">C_KPI_Benchmark!A527</f>
        <v>10.b-D6-14</v>
      </c>
      <c r="B527" s="52" t="str">
        <f aca="false">C_KPI_Benchmark!D527</f>
        <v>10.b</v>
      </c>
      <c r="C527" s="51" t="str">
        <f aca="false">C_KPI_Benchmark!E527</f>
        <v>Customer Feedback Analyzer</v>
      </c>
      <c r="D527" s="52" t="str">
        <f aca="false">C_KPI_Benchmark!F527</f>
        <v>D6</v>
      </c>
      <c r="E527" s="51" t="str">
        <f aca="false">C_KPI_Benchmark!J527</f>
        <v>SAST high findings and exposed secrets</v>
      </c>
      <c r="F527" s="52" t="str">
        <f aca="false">C_KPI_Benchmark!K527</f>
        <v>count</v>
      </c>
      <c r="G527" s="51" t="str">
        <f aca="false">C_KPI_Benchmark!L527</f>
        <v>Lower is better</v>
      </c>
      <c r="H527" s="62" t="n">
        <f aca="false">C_KPI_Benchmark!N527</f>
        <v>0</v>
      </c>
      <c r="I527" s="63" t="n">
        <f aca="false">IF(C_KPI_Benchmark!O527&lt;&gt;"",C_KPI_Benchmark!O527,IF(G527="Higher is better",H527*(1-A_Scoring_Model!$C$16),H527*(1+A_Scoring_Model!$C$16)))</f>
        <v>0</v>
      </c>
      <c r="J527" s="64"/>
      <c r="K527" s="64"/>
      <c r="L527" s="64"/>
      <c r="M527" s="64"/>
      <c r="N527" s="56" t="str">
        <f aca="false">IF(J527="","",IF($H527=$I527,IF(OR(AND($G527="Higher is better",J527&gt;=$H527),AND($G527="Lower is better",J527&lt;=$H527)),A_Scoring_Model!$C$14,0),IF($G527="Higher is better",IF(J527&gt;=$H527,A_Scoring_Model!$C$14,IF(J527&lt;$I527,0,A_Scoring_Model!$C$15+(A_Scoring_Model!$C$14-A_Scoring_Model!$C$15)*(J527-$I527)/($H527-$I527))),IF(J527&lt;=$H527,A_Scoring_Model!$C$14,IF(J527&gt;$I527,0,A_Scoring_Model!$C$15+(A_Scoring_Model!$C$14-A_Scoring_Model!$C$15)*($I527-J527)/($I527-$H527))))))</f>
        <v/>
      </c>
      <c r="O527" s="56" t="str">
        <f aca="false">IF(K527="","",IF($H527=$I527,IF(OR(AND($G527="Higher is better",K527&gt;=$H527),AND($G527="Lower is better",K527&lt;=$H527)),A_Scoring_Model!$C$14,0),IF($G527="Higher is better",IF(K527&gt;=$H527,A_Scoring_Model!$C$14,IF(K527&lt;$I527,0,A_Scoring_Model!$C$15+(A_Scoring_Model!$C$14-A_Scoring_Model!$C$15)*(K527-$I527)/($H527-$I527))),IF(K527&lt;=$H527,A_Scoring_Model!$C$14,IF(K527&gt;$I527,0,A_Scoring_Model!$C$15+(A_Scoring_Model!$C$14-A_Scoring_Model!$C$15)*($I527-K527)/($I527-$H527))))))</f>
        <v/>
      </c>
      <c r="P527" s="56" t="str">
        <f aca="false">IF(L527="","",IF($H527=$I527,IF(OR(AND($G527="Higher is better",L527&gt;=$H527),AND($G527="Lower is better",L527&lt;=$H527)),A_Scoring_Model!$C$14,0),IF($G527="Higher is better",IF(L527&gt;=$H527,A_Scoring_Model!$C$14,IF(L527&lt;$I527,0,A_Scoring_Model!$C$15+(A_Scoring_Model!$C$14-A_Scoring_Model!$C$15)*(L527-$I527)/($H527-$I527))),IF(L527&lt;=$H527,A_Scoring_Model!$C$14,IF(L527&gt;$I527,0,A_Scoring_Model!$C$15+(A_Scoring_Model!$C$14-A_Scoring_Model!$C$15)*($I527-L527)/($I527-$H527))))))</f>
        <v/>
      </c>
      <c r="Q527" s="56" t="str">
        <f aca="false">IF(M527="","",IF($H527=$I527,IF(OR(AND($G527="Higher is better",M527&gt;=$H527),AND($G527="Lower is better",M527&lt;=$H527)),A_Scoring_Model!$C$14,0),IF($G527="Higher is better",IF(M527&gt;=$H527,A_Scoring_Model!$C$14,IF(M527&lt;$I527,0,A_Scoring_Model!$C$15+(A_Scoring_Model!$C$14-A_Scoring_Model!$C$15)*(M527-$I527)/($H527-$I527))),IF(M527&lt;=$H527,A_Scoring_Model!$C$14,IF(M527&gt;$I527,0,A_Scoring_Model!$C$15+(A_Scoring_Model!$C$14-A_Scoring_Model!$C$15)*($I527-M527)/($I527-$H527))))))</f>
        <v/>
      </c>
    </row>
    <row r="528" customFormat="false" ht="23.85" hidden="false" customHeight="false" outlineLevel="0" collapsed="false">
      <c r="A528" s="51" t="str">
        <f aca="false">C_KPI_Benchmark!A528</f>
        <v>10.b-D6-15</v>
      </c>
      <c r="B528" s="52" t="str">
        <f aca="false">C_KPI_Benchmark!D528</f>
        <v>10.b</v>
      </c>
      <c r="C528" s="51" t="str">
        <f aca="false">C_KPI_Benchmark!E528</f>
        <v>Customer Feedback Analyzer</v>
      </c>
      <c r="D528" s="52" t="str">
        <f aca="false">C_KPI_Benchmark!F528</f>
        <v>D6</v>
      </c>
      <c r="E528" s="51" t="str">
        <f aca="false">C_KPI_Benchmark!J528</f>
        <v>Documentation pack complete (README, I/O contract, model card, runbook)</v>
      </c>
      <c r="F528" s="52" t="str">
        <f aca="false">C_KPI_Benchmark!K528</f>
        <v>Yes/No</v>
      </c>
      <c r="G528" s="51" t="str">
        <f aca="false">C_KPI_Benchmark!L528</f>
        <v>Higher is better</v>
      </c>
      <c r="H528" s="60" t="n">
        <f aca="false">C_KPI_Benchmark!N528</f>
        <v>1</v>
      </c>
      <c r="I528" s="56" t="n">
        <f aca="false">IF(C_KPI_Benchmark!O528&lt;&gt;"",C_KPI_Benchmark!O528,IF(G528="Higher is better",H528*(1-A_Scoring_Model!$C$16),H528*(1+A_Scoring_Model!$C$16)))</f>
        <v>0.8</v>
      </c>
      <c r="J528" s="61"/>
      <c r="K528" s="61"/>
      <c r="L528" s="61"/>
      <c r="M528" s="61"/>
      <c r="N528" s="56" t="str">
        <f aca="false">IF(J528="","",IF($H528=$I528,IF(OR(AND($G528="Higher is better",J528&gt;=$H528),AND($G528="Lower is better",J528&lt;=$H528)),A_Scoring_Model!$C$14,0),IF($G528="Higher is better",IF(J528&gt;=$H528,A_Scoring_Model!$C$14,IF(J528&lt;$I528,0,A_Scoring_Model!$C$15+(A_Scoring_Model!$C$14-A_Scoring_Model!$C$15)*(J528-$I528)/($H528-$I528))),IF(J528&lt;=$H528,A_Scoring_Model!$C$14,IF(J528&gt;$I528,0,A_Scoring_Model!$C$15+(A_Scoring_Model!$C$14-A_Scoring_Model!$C$15)*($I528-J528)/($I528-$H528))))))</f>
        <v/>
      </c>
      <c r="O528" s="56" t="str">
        <f aca="false">IF(K528="","",IF($H528=$I528,IF(OR(AND($G528="Higher is better",K528&gt;=$H528),AND($G528="Lower is better",K528&lt;=$H528)),A_Scoring_Model!$C$14,0),IF($G528="Higher is better",IF(K528&gt;=$H528,A_Scoring_Model!$C$14,IF(K528&lt;$I528,0,A_Scoring_Model!$C$15+(A_Scoring_Model!$C$14-A_Scoring_Model!$C$15)*(K528-$I528)/($H528-$I528))),IF(K528&lt;=$H528,A_Scoring_Model!$C$14,IF(K528&gt;$I528,0,A_Scoring_Model!$C$15+(A_Scoring_Model!$C$14-A_Scoring_Model!$C$15)*($I528-K528)/($I528-$H528))))))</f>
        <v/>
      </c>
      <c r="P528" s="56" t="str">
        <f aca="false">IF(L528="","",IF($H528=$I528,IF(OR(AND($G528="Higher is better",L528&gt;=$H528),AND($G528="Lower is better",L528&lt;=$H528)),A_Scoring_Model!$C$14,0),IF($G528="Higher is better",IF(L528&gt;=$H528,A_Scoring_Model!$C$14,IF(L528&lt;$I528,0,A_Scoring_Model!$C$15+(A_Scoring_Model!$C$14-A_Scoring_Model!$C$15)*(L528-$I528)/($H528-$I528))),IF(L528&lt;=$H528,A_Scoring_Model!$C$14,IF(L528&gt;$I528,0,A_Scoring_Model!$C$15+(A_Scoring_Model!$C$14-A_Scoring_Model!$C$15)*($I528-L528)/($I528-$H528))))))</f>
        <v/>
      </c>
      <c r="Q528" s="56" t="str">
        <f aca="false">IF(M528="","",IF($H528=$I528,IF(OR(AND($G528="Higher is better",M528&gt;=$H528),AND($G528="Lower is better",M528&lt;=$H528)),A_Scoring_Model!$C$14,0),IF($G528="Higher is better",IF(M528&gt;=$H528,A_Scoring_Model!$C$14,IF(M528&lt;$I528,0,A_Scoring_Model!$C$15+(A_Scoring_Model!$C$14-A_Scoring_Model!$C$15)*(M528-$I528)/($H528-$I528))),IF(M528&lt;=$H528,A_Scoring_Model!$C$14,IF(M528&gt;$I528,0,A_Scoring_Model!$C$15+(A_Scoring_Model!$C$14-A_Scoring_Model!$C$15)*($I528-M528)/($I528-$H528))))))</f>
        <v/>
      </c>
    </row>
    <row r="529" customFormat="false" ht="15" hidden="false" customHeight="false" outlineLevel="0" collapsed="false">
      <c r="A529" s="51" t="str">
        <f aca="false">C_KPI_Benchmark!A529</f>
        <v>10.b-D6-16</v>
      </c>
      <c r="B529" s="52" t="str">
        <f aca="false">C_KPI_Benchmark!D529</f>
        <v>10.b</v>
      </c>
      <c r="C529" s="51" t="str">
        <f aca="false">C_KPI_Benchmark!E529</f>
        <v>Customer Feedback Analyzer</v>
      </c>
      <c r="D529" s="52" t="str">
        <f aca="false">C_KPI_Benchmark!F529</f>
        <v>D6</v>
      </c>
      <c r="E529" s="51" t="str">
        <f aca="false">C_KPI_Benchmark!J529</f>
        <v>Named owner and support SLA</v>
      </c>
      <c r="F529" s="52" t="str">
        <f aca="false">C_KPI_Benchmark!K529</f>
        <v>Yes/No</v>
      </c>
      <c r="G529" s="51" t="str">
        <f aca="false">C_KPI_Benchmark!L529</f>
        <v>Higher is better</v>
      </c>
      <c r="H529" s="60" t="n">
        <f aca="false">C_KPI_Benchmark!N529</f>
        <v>1</v>
      </c>
      <c r="I529" s="56" t="n">
        <f aca="false">IF(C_KPI_Benchmark!O529&lt;&gt;"",C_KPI_Benchmark!O529,IF(G529="Higher is better",H529*(1-A_Scoring_Model!$C$16),H529*(1+A_Scoring_Model!$C$16)))</f>
        <v>0.8</v>
      </c>
      <c r="J529" s="61"/>
      <c r="K529" s="61"/>
      <c r="L529" s="61"/>
      <c r="M529" s="61"/>
      <c r="N529" s="56" t="str">
        <f aca="false">IF(J529="","",IF($H529=$I529,IF(OR(AND($G529="Higher is better",J529&gt;=$H529),AND($G529="Lower is better",J529&lt;=$H529)),A_Scoring_Model!$C$14,0),IF($G529="Higher is better",IF(J529&gt;=$H529,A_Scoring_Model!$C$14,IF(J529&lt;$I529,0,A_Scoring_Model!$C$15+(A_Scoring_Model!$C$14-A_Scoring_Model!$C$15)*(J529-$I529)/($H529-$I529))),IF(J529&lt;=$H529,A_Scoring_Model!$C$14,IF(J529&gt;$I529,0,A_Scoring_Model!$C$15+(A_Scoring_Model!$C$14-A_Scoring_Model!$C$15)*($I529-J529)/($I529-$H529))))))</f>
        <v/>
      </c>
      <c r="O529" s="56" t="str">
        <f aca="false">IF(K529="","",IF($H529=$I529,IF(OR(AND($G529="Higher is better",K529&gt;=$H529),AND($G529="Lower is better",K529&lt;=$H529)),A_Scoring_Model!$C$14,0),IF($G529="Higher is better",IF(K529&gt;=$H529,A_Scoring_Model!$C$14,IF(K529&lt;$I529,0,A_Scoring_Model!$C$15+(A_Scoring_Model!$C$14-A_Scoring_Model!$C$15)*(K529-$I529)/($H529-$I529))),IF(K529&lt;=$H529,A_Scoring_Model!$C$14,IF(K529&gt;$I529,0,A_Scoring_Model!$C$15+(A_Scoring_Model!$C$14-A_Scoring_Model!$C$15)*($I529-K529)/($I529-$H529))))))</f>
        <v/>
      </c>
      <c r="P529" s="56" t="str">
        <f aca="false">IF(L529="","",IF($H529=$I529,IF(OR(AND($G529="Higher is better",L529&gt;=$H529),AND($G529="Lower is better",L529&lt;=$H529)),A_Scoring_Model!$C$14,0),IF($G529="Higher is better",IF(L529&gt;=$H529,A_Scoring_Model!$C$14,IF(L529&lt;$I529,0,A_Scoring_Model!$C$15+(A_Scoring_Model!$C$14-A_Scoring_Model!$C$15)*(L529-$I529)/($H529-$I529))),IF(L529&lt;=$H529,A_Scoring_Model!$C$14,IF(L529&gt;$I529,0,A_Scoring_Model!$C$15+(A_Scoring_Model!$C$14-A_Scoring_Model!$C$15)*($I529-L529)/($I529-$H529))))))</f>
        <v/>
      </c>
      <c r="Q529" s="56" t="str">
        <f aca="false">IF(M529="","",IF($H529=$I529,IF(OR(AND($G529="Higher is better",M529&gt;=$H529),AND($G529="Lower is better",M529&lt;=$H529)),A_Scoring_Model!$C$14,0),IF($G529="Higher is better",IF(M529&gt;=$H529,A_Scoring_Model!$C$14,IF(M529&lt;$I529,0,A_Scoring_Model!$C$15+(A_Scoring_Model!$C$14-A_Scoring_Model!$C$15)*(M529-$I529)/($H529-$I529))),IF(M529&lt;=$H529,A_Scoring_Model!$C$14,IF(M529&gt;$I529,0,A_Scoring_Model!$C$15+(A_Scoring_Model!$C$14-A_Scoring_Model!$C$15)*($I529-M529)/($I529-$H529))))))</f>
        <v/>
      </c>
    </row>
    <row r="530" customFormat="false" ht="15" hidden="false" customHeight="false" outlineLevel="0" collapsed="false">
      <c r="A530" s="51" t="str">
        <f aca="false">C_KPI_Benchmark!A530</f>
        <v>10.c-D1-01</v>
      </c>
      <c r="B530" s="52" t="str">
        <f aca="false">C_KPI_Benchmark!D530</f>
        <v>10.c</v>
      </c>
      <c r="C530" s="51" t="str">
        <f aca="false">C_KPI_Benchmark!E530</f>
        <v>Hotfix Triage &amp; MLOps Pipeline</v>
      </c>
      <c r="D530" s="52" t="str">
        <f aca="false">C_KPI_Benchmark!F530</f>
        <v>D1</v>
      </c>
      <c r="E530" s="51" t="str">
        <f aca="false">C_KPI_Benchmark!J530</f>
        <v>Hotfix priority agreement</v>
      </c>
      <c r="F530" s="52" t="str">
        <f aca="false">C_KPI_Benchmark!K530</f>
        <v>%</v>
      </c>
      <c r="G530" s="51" t="str">
        <f aca="false">C_KPI_Benchmark!L530</f>
        <v>Higher is better</v>
      </c>
      <c r="H530" s="53" t="n">
        <f aca="false">C_KPI_Benchmark!N530</f>
        <v>0.9</v>
      </c>
      <c r="I530" s="54" t="n">
        <f aca="false">IF(C_KPI_Benchmark!O530&lt;&gt;"",C_KPI_Benchmark!O530,IF(G530="Higher is better",H530*(1-A_Scoring_Model!$C$16),H530*(1+A_Scoring_Model!$C$16)))</f>
        <v>0.8</v>
      </c>
      <c r="J530" s="55"/>
      <c r="K530" s="55"/>
      <c r="L530" s="55"/>
      <c r="M530" s="55"/>
      <c r="N530" s="56" t="str">
        <f aca="false">IF(J530="","",IF($H530=$I530,IF(OR(AND($G530="Higher is better",J530&gt;=$H530),AND($G530="Lower is better",J530&lt;=$H530)),A_Scoring_Model!$C$14,0),IF($G530="Higher is better",IF(J530&gt;=$H530,A_Scoring_Model!$C$14,IF(J530&lt;$I530,0,A_Scoring_Model!$C$15+(A_Scoring_Model!$C$14-A_Scoring_Model!$C$15)*(J530-$I530)/($H530-$I530))),IF(J530&lt;=$H530,A_Scoring_Model!$C$14,IF(J530&gt;$I530,0,A_Scoring_Model!$C$15+(A_Scoring_Model!$C$14-A_Scoring_Model!$C$15)*($I530-J530)/($I530-$H530))))))</f>
        <v/>
      </c>
      <c r="O530" s="56" t="str">
        <f aca="false">IF(K530="","",IF($H530=$I530,IF(OR(AND($G530="Higher is better",K530&gt;=$H530),AND($G530="Lower is better",K530&lt;=$H530)),A_Scoring_Model!$C$14,0),IF($G530="Higher is better",IF(K530&gt;=$H530,A_Scoring_Model!$C$14,IF(K530&lt;$I530,0,A_Scoring_Model!$C$15+(A_Scoring_Model!$C$14-A_Scoring_Model!$C$15)*(K530-$I530)/($H530-$I530))),IF(K530&lt;=$H530,A_Scoring_Model!$C$14,IF(K530&gt;$I530,0,A_Scoring_Model!$C$15+(A_Scoring_Model!$C$14-A_Scoring_Model!$C$15)*($I530-K530)/($I530-$H530))))))</f>
        <v/>
      </c>
      <c r="P530" s="56" t="str">
        <f aca="false">IF(L530="","",IF($H530=$I530,IF(OR(AND($G530="Higher is better",L530&gt;=$H530),AND($G530="Lower is better",L530&lt;=$H530)),A_Scoring_Model!$C$14,0),IF($G530="Higher is better",IF(L530&gt;=$H530,A_Scoring_Model!$C$14,IF(L530&lt;$I530,0,A_Scoring_Model!$C$15+(A_Scoring_Model!$C$14-A_Scoring_Model!$C$15)*(L530-$I530)/($H530-$I530))),IF(L530&lt;=$H530,A_Scoring_Model!$C$14,IF(L530&gt;$I530,0,A_Scoring_Model!$C$15+(A_Scoring_Model!$C$14-A_Scoring_Model!$C$15)*($I530-L530)/($I530-$H530))))))</f>
        <v/>
      </c>
      <c r="Q530" s="56" t="str">
        <f aca="false">IF(M530="","",IF($H530=$I530,IF(OR(AND($G530="Higher is better",M530&gt;=$H530),AND($G530="Lower is better",M530&lt;=$H530)),A_Scoring_Model!$C$14,0),IF($G530="Higher is better",IF(M530&gt;=$H530,A_Scoring_Model!$C$14,IF(M530&lt;$I530,0,A_Scoring_Model!$C$15+(A_Scoring_Model!$C$14-A_Scoring_Model!$C$15)*(M530-$I530)/($H530-$I530))),IF(M530&lt;=$H530,A_Scoring_Model!$C$14,IF(M530&gt;$I530,0,A_Scoring_Model!$C$15+(A_Scoring_Model!$C$14-A_Scoring_Model!$C$15)*($I530-M530)/($I530-$H530))))))</f>
        <v/>
      </c>
    </row>
    <row r="531" customFormat="false" ht="15" hidden="false" customHeight="false" outlineLevel="0" collapsed="false">
      <c r="A531" s="51" t="str">
        <f aca="false">C_KPI_Benchmark!A531</f>
        <v>10.c-D1-02</v>
      </c>
      <c r="B531" s="52" t="str">
        <f aca="false">C_KPI_Benchmark!D531</f>
        <v>10.c</v>
      </c>
      <c r="C531" s="51" t="str">
        <f aca="false">C_KPI_Benchmark!E531</f>
        <v>Hotfix Triage &amp; MLOps Pipeline</v>
      </c>
      <c r="D531" s="52" t="str">
        <f aca="false">C_KPI_Benchmark!F531</f>
        <v>D1</v>
      </c>
      <c r="E531" s="51" t="str">
        <f aca="false">C_KPI_Benchmark!J531</f>
        <v>Targeted regression catch vs full regression</v>
      </c>
      <c r="F531" s="52" t="str">
        <f aca="false">C_KPI_Benchmark!K531</f>
        <v>%</v>
      </c>
      <c r="G531" s="51" t="str">
        <f aca="false">C_KPI_Benchmark!L531</f>
        <v>Higher is better</v>
      </c>
      <c r="H531" s="53" t="n">
        <f aca="false">C_KPI_Benchmark!N531</f>
        <v>0.98</v>
      </c>
      <c r="I531" s="54" t="n">
        <f aca="false">IF(C_KPI_Benchmark!O531&lt;&gt;"",C_KPI_Benchmark!O531,IF(G531="Higher is better",H531*(1-A_Scoring_Model!$C$16),H531*(1+A_Scoring_Model!$C$16)))</f>
        <v>0.95</v>
      </c>
      <c r="J531" s="55"/>
      <c r="K531" s="55"/>
      <c r="L531" s="55"/>
      <c r="M531" s="55"/>
      <c r="N531" s="56" t="str">
        <f aca="false">IF(J531="","",IF($H531=$I531,IF(OR(AND($G531="Higher is better",J531&gt;=$H531),AND($G531="Lower is better",J531&lt;=$H531)),A_Scoring_Model!$C$14,0),IF($G531="Higher is better",IF(J531&gt;=$H531,A_Scoring_Model!$C$14,IF(J531&lt;$I531,0,A_Scoring_Model!$C$15+(A_Scoring_Model!$C$14-A_Scoring_Model!$C$15)*(J531-$I531)/($H531-$I531))),IF(J531&lt;=$H531,A_Scoring_Model!$C$14,IF(J531&gt;$I531,0,A_Scoring_Model!$C$15+(A_Scoring_Model!$C$14-A_Scoring_Model!$C$15)*($I531-J531)/($I531-$H531))))))</f>
        <v/>
      </c>
      <c r="O531" s="56" t="str">
        <f aca="false">IF(K531="","",IF($H531=$I531,IF(OR(AND($G531="Higher is better",K531&gt;=$H531),AND($G531="Lower is better",K531&lt;=$H531)),A_Scoring_Model!$C$14,0),IF($G531="Higher is better",IF(K531&gt;=$H531,A_Scoring_Model!$C$14,IF(K531&lt;$I531,0,A_Scoring_Model!$C$15+(A_Scoring_Model!$C$14-A_Scoring_Model!$C$15)*(K531-$I531)/($H531-$I531))),IF(K531&lt;=$H531,A_Scoring_Model!$C$14,IF(K531&gt;$I531,0,A_Scoring_Model!$C$15+(A_Scoring_Model!$C$14-A_Scoring_Model!$C$15)*($I531-K531)/($I531-$H531))))))</f>
        <v/>
      </c>
      <c r="P531" s="56" t="str">
        <f aca="false">IF(L531="","",IF($H531=$I531,IF(OR(AND($G531="Higher is better",L531&gt;=$H531),AND($G531="Lower is better",L531&lt;=$H531)),A_Scoring_Model!$C$14,0),IF($G531="Higher is better",IF(L531&gt;=$H531,A_Scoring_Model!$C$14,IF(L531&lt;$I531,0,A_Scoring_Model!$C$15+(A_Scoring_Model!$C$14-A_Scoring_Model!$C$15)*(L531-$I531)/($H531-$I531))),IF(L531&lt;=$H531,A_Scoring_Model!$C$14,IF(L531&gt;$I531,0,A_Scoring_Model!$C$15+(A_Scoring_Model!$C$14-A_Scoring_Model!$C$15)*($I531-L531)/($I531-$H531))))))</f>
        <v/>
      </c>
      <c r="Q531" s="56" t="str">
        <f aca="false">IF(M531="","",IF($H531=$I531,IF(OR(AND($G531="Higher is better",M531&gt;=$H531),AND($G531="Lower is better",M531&lt;=$H531)),A_Scoring_Model!$C$14,0),IF($G531="Higher is better",IF(M531&gt;=$H531,A_Scoring_Model!$C$14,IF(M531&lt;$I531,0,A_Scoring_Model!$C$15+(A_Scoring_Model!$C$14-A_Scoring_Model!$C$15)*(M531-$I531)/($H531-$I531))),IF(M531&lt;=$H531,A_Scoring_Model!$C$14,IF(M531&gt;$I531,0,A_Scoring_Model!$C$15+(A_Scoring_Model!$C$14-A_Scoring_Model!$C$15)*($I531-M531)/($I531-$H531))))))</f>
        <v/>
      </c>
    </row>
    <row r="532" customFormat="false" ht="15" hidden="false" customHeight="false" outlineLevel="0" collapsed="false">
      <c r="A532" s="51" t="str">
        <f aca="false">C_KPI_Benchmark!A532</f>
        <v>10.c-D1-03</v>
      </c>
      <c r="B532" s="52" t="str">
        <f aca="false">C_KPI_Benchmark!D532</f>
        <v>10.c</v>
      </c>
      <c r="C532" s="51" t="str">
        <f aca="false">C_KPI_Benchmark!E532</f>
        <v>Hotfix Triage &amp; MLOps Pipeline</v>
      </c>
      <c r="D532" s="52" t="str">
        <f aca="false">C_KPI_Benchmark!F532</f>
        <v>D1</v>
      </c>
      <c r="E532" s="51" t="str">
        <f aca="false">C_KPI_Benchmark!J532</f>
        <v>Retrained model non-regression gate</v>
      </c>
      <c r="F532" s="52" t="str">
        <f aca="false">C_KPI_Benchmark!K532</f>
        <v>%</v>
      </c>
      <c r="G532" s="51" t="str">
        <f aca="false">C_KPI_Benchmark!L532</f>
        <v>Higher is better</v>
      </c>
      <c r="H532" s="53" t="n">
        <f aca="false">C_KPI_Benchmark!N532</f>
        <v>1</v>
      </c>
      <c r="I532" s="54" t="n">
        <f aca="false">IF(C_KPI_Benchmark!O532&lt;&gt;"",C_KPI_Benchmark!O532,IF(G532="Higher is better",H532*(1-A_Scoring_Model!$C$16),H532*(1+A_Scoring_Model!$C$16)))</f>
        <v>1</v>
      </c>
      <c r="J532" s="55"/>
      <c r="K532" s="55"/>
      <c r="L532" s="55"/>
      <c r="M532" s="55"/>
      <c r="N532" s="56" t="str">
        <f aca="false">IF(J532="","",IF($H532=$I532,IF(OR(AND($G532="Higher is better",J532&gt;=$H532),AND($G532="Lower is better",J532&lt;=$H532)),A_Scoring_Model!$C$14,0),IF($G532="Higher is better",IF(J532&gt;=$H532,A_Scoring_Model!$C$14,IF(J532&lt;$I532,0,A_Scoring_Model!$C$15+(A_Scoring_Model!$C$14-A_Scoring_Model!$C$15)*(J532-$I532)/($H532-$I532))),IF(J532&lt;=$H532,A_Scoring_Model!$C$14,IF(J532&gt;$I532,0,A_Scoring_Model!$C$15+(A_Scoring_Model!$C$14-A_Scoring_Model!$C$15)*($I532-J532)/($I532-$H532))))))</f>
        <v/>
      </c>
      <c r="O532" s="56" t="str">
        <f aca="false">IF(K532="","",IF($H532=$I532,IF(OR(AND($G532="Higher is better",K532&gt;=$H532),AND($G532="Lower is better",K532&lt;=$H532)),A_Scoring_Model!$C$14,0),IF($G532="Higher is better",IF(K532&gt;=$H532,A_Scoring_Model!$C$14,IF(K532&lt;$I532,0,A_Scoring_Model!$C$15+(A_Scoring_Model!$C$14-A_Scoring_Model!$C$15)*(K532-$I532)/($H532-$I532))),IF(K532&lt;=$H532,A_Scoring_Model!$C$14,IF(K532&gt;$I532,0,A_Scoring_Model!$C$15+(A_Scoring_Model!$C$14-A_Scoring_Model!$C$15)*($I532-K532)/($I532-$H532))))))</f>
        <v/>
      </c>
      <c r="P532" s="56" t="str">
        <f aca="false">IF(L532="","",IF($H532=$I532,IF(OR(AND($G532="Higher is better",L532&gt;=$H532),AND($G532="Lower is better",L532&lt;=$H532)),A_Scoring_Model!$C$14,0),IF($G532="Higher is better",IF(L532&gt;=$H532,A_Scoring_Model!$C$14,IF(L532&lt;$I532,0,A_Scoring_Model!$C$15+(A_Scoring_Model!$C$14-A_Scoring_Model!$C$15)*(L532-$I532)/($H532-$I532))),IF(L532&lt;=$H532,A_Scoring_Model!$C$14,IF(L532&gt;$I532,0,A_Scoring_Model!$C$15+(A_Scoring_Model!$C$14-A_Scoring_Model!$C$15)*($I532-L532)/($I532-$H532))))))</f>
        <v/>
      </c>
      <c r="Q532" s="56" t="str">
        <f aca="false">IF(M532="","",IF($H532=$I532,IF(OR(AND($G532="Higher is better",M532&gt;=$H532),AND($G532="Lower is better",M532&lt;=$H532)),A_Scoring_Model!$C$14,0),IF($G532="Higher is better",IF(M532&gt;=$H532,A_Scoring_Model!$C$14,IF(M532&lt;$I532,0,A_Scoring_Model!$C$15+(A_Scoring_Model!$C$14-A_Scoring_Model!$C$15)*(M532-$I532)/($H532-$I532))),IF(M532&lt;=$H532,A_Scoring_Model!$C$14,IF(M532&gt;$I532,0,A_Scoring_Model!$C$15+(A_Scoring_Model!$C$14-A_Scoring_Model!$C$15)*($I532-M532)/($I532-$H532))))))</f>
        <v/>
      </c>
    </row>
    <row r="533" customFormat="false" ht="15" hidden="false" customHeight="false" outlineLevel="0" collapsed="false">
      <c r="A533" s="51" t="str">
        <f aca="false">C_KPI_Benchmark!A533</f>
        <v>10.c-D2-04</v>
      </c>
      <c r="B533" s="52" t="str">
        <f aca="false">C_KPI_Benchmark!D533</f>
        <v>10.c</v>
      </c>
      <c r="C533" s="51" t="str">
        <f aca="false">C_KPI_Benchmark!E533</f>
        <v>Hotfix Triage &amp; MLOps Pipeline</v>
      </c>
      <c r="D533" s="52" t="str">
        <f aca="false">C_KPI_Benchmark!F533</f>
        <v>D2</v>
      </c>
      <c r="E533" s="51" t="str">
        <f aca="false">C_KPI_Benchmark!J533</f>
        <v>ML components served by one pipeline</v>
      </c>
      <c r="F533" s="52" t="str">
        <f aca="false">C_KPI_Benchmark!K533</f>
        <v>count</v>
      </c>
      <c r="G533" s="51" t="str">
        <f aca="false">C_KPI_Benchmark!L533</f>
        <v>Higher is better</v>
      </c>
      <c r="H533" s="62" t="n">
        <f aca="false">C_KPI_Benchmark!N533</f>
        <v>7</v>
      </c>
      <c r="I533" s="63" t="n">
        <f aca="false">IF(C_KPI_Benchmark!O533&lt;&gt;"",C_KPI_Benchmark!O533,IF(G533="Higher is better",H533*(1-A_Scoring_Model!$C$16),H533*(1+A_Scoring_Model!$C$16)))</f>
        <v>5.6</v>
      </c>
      <c r="J533" s="64"/>
      <c r="K533" s="64"/>
      <c r="L533" s="64"/>
      <c r="M533" s="64"/>
      <c r="N533" s="56" t="str">
        <f aca="false">IF(J533="","",IF($H533=$I533,IF(OR(AND($G533="Higher is better",J533&gt;=$H533),AND($G533="Lower is better",J533&lt;=$H533)),A_Scoring_Model!$C$14,0),IF($G533="Higher is better",IF(J533&gt;=$H533,A_Scoring_Model!$C$14,IF(J533&lt;$I533,0,A_Scoring_Model!$C$15+(A_Scoring_Model!$C$14-A_Scoring_Model!$C$15)*(J533-$I533)/($H533-$I533))),IF(J533&lt;=$H533,A_Scoring_Model!$C$14,IF(J533&gt;$I533,0,A_Scoring_Model!$C$15+(A_Scoring_Model!$C$14-A_Scoring_Model!$C$15)*($I533-J533)/($I533-$H533))))))</f>
        <v/>
      </c>
      <c r="O533" s="56" t="str">
        <f aca="false">IF(K533="","",IF($H533=$I533,IF(OR(AND($G533="Higher is better",K533&gt;=$H533),AND($G533="Lower is better",K533&lt;=$H533)),A_Scoring_Model!$C$14,0),IF($G533="Higher is better",IF(K533&gt;=$H533,A_Scoring_Model!$C$14,IF(K533&lt;$I533,0,A_Scoring_Model!$C$15+(A_Scoring_Model!$C$14-A_Scoring_Model!$C$15)*(K533-$I533)/($H533-$I533))),IF(K533&lt;=$H533,A_Scoring_Model!$C$14,IF(K533&gt;$I533,0,A_Scoring_Model!$C$15+(A_Scoring_Model!$C$14-A_Scoring_Model!$C$15)*($I533-K533)/($I533-$H533))))))</f>
        <v/>
      </c>
      <c r="P533" s="56" t="str">
        <f aca="false">IF(L533="","",IF($H533=$I533,IF(OR(AND($G533="Higher is better",L533&gt;=$H533),AND($G533="Lower is better",L533&lt;=$H533)),A_Scoring_Model!$C$14,0),IF($G533="Higher is better",IF(L533&gt;=$H533,A_Scoring_Model!$C$14,IF(L533&lt;$I533,0,A_Scoring_Model!$C$15+(A_Scoring_Model!$C$14-A_Scoring_Model!$C$15)*(L533-$I533)/($H533-$I533))),IF(L533&lt;=$H533,A_Scoring_Model!$C$14,IF(L533&gt;$I533,0,A_Scoring_Model!$C$15+(A_Scoring_Model!$C$14-A_Scoring_Model!$C$15)*($I533-L533)/($I533-$H533))))))</f>
        <v/>
      </c>
      <c r="Q533" s="56" t="str">
        <f aca="false">IF(M533="","",IF($H533=$I533,IF(OR(AND($G533="Higher is better",M533&gt;=$H533),AND($G533="Lower is better",M533&lt;=$H533)),A_Scoring_Model!$C$14,0),IF($G533="Higher is better",IF(M533&gt;=$H533,A_Scoring_Model!$C$14,IF(M533&lt;$I533,0,A_Scoring_Model!$C$15+(A_Scoring_Model!$C$14-A_Scoring_Model!$C$15)*(M533-$I533)/($H533-$I533))),IF(M533&lt;=$H533,A_Scoring_Model!$C$14,IF(M533&gt;$I533,0,A_Scoring_Model!$C$15+(A_Scoring_Model!$C$14-A_Scoring_Model!$C$15)*($I533-M533)/($I533-$H533))))))</f>
        <v/>
      </c>
    </row>
    <row r="534" customFormat="false" ht="23.85" hidden="false" customHeight="false" outlineLevel="0" collapsed="false">
      <c r="A534" s="51" t="str">
        <f aca="false">C_KPI_Benchmark!A534</f>
        <v>10.c-D2-05</v>
      </c>
      <c r="B534" s="52" t="str">
        <f aca="false">C_KPI_Benchmark!D534</f>
        <v>10.c</v>
      </c>
      <c r="C534" s="51" t="str">
        <f aca="false">C_KPI_Benchmark!E534</f>
        <v>Hotfix Triage &amp; MLOps Pipeline</v>
      </c>
      <c r="D534" s="52" t="str">
        <f aca="false">C_KPI_Benchmark!F534</f>
        <v>D2</v>
      </c>
      <c r="E534" s="51" t="str">
        <f aca="false">C_KPI_Benchmark!J534</f>
        <v>Product lines supported with ≤10% efficacy drop (NVMe SSD, UFS, eMMC/uSD, PSSD)</v>
      </c>
      <c r="F534" s="52" t="str">
        <f aca="false">C_KPI_Benchmark!K534</f>
        <v>count</v>
      </c>
      <c r="G534" s="51" t="str">
        <f aca="false">C_KPI_Benchmark!L534</f>
        <v>Higher is better</v>
      </c>
      <c r="H534" s="62" t="n">
        <f aca="false">C_KPI_Benchmark!N534</f>
        <v>3</v>
      </c>
      <c r="I534" s="63" t="n">
        <f aca="false">IF(C_KPI_Benchmark!O534&lt;&gt;"",C_KPI_Benchmark!O534,IF(G534="Higher is better",H534*(1-A_Scoring_Model!$C$16),H534*(1+A_Scoring_Model!$C$16)))</f>
        <v>2</v>
      </c>
      <c r="J534" s="64"/>
      <c r="K534" s="64"/>
      <c r="L534" s="64"/>
      <c r="M534" s="64"/>
      <c r="N534" s="56" t="str">
        <f aca="false">IF(J534="","",IF($H534=$I534,IF(OR(AND($G534="Higher is better",J534&gt;=$H534),AND($G534="Lower is better",J534&lt;=$H534)),A_Scoring_Model!$C$14,0),IF($G534="Higher is better",IF(J534&gt;=$H534,A_Scoring_Model!$C$14,IF(J534&lt;$I534,0,A_Scoring_Model!$C$15+(A_Scoring_Model!$C$14-A_Scoring_Model!$C$15)*(J534-$I534)/($H534-$I534))),IF(J534&lt;=$H534,A_Scoring_Model!$C$14,IF(J534&gt;$I534,0,A_Scoring_Model!$C$15+(A_Scoring_Model!$C$14-A_Scoring_Model!$C$15)*($I534-J534)/($I534-$H534))))))</f>
        <v/>
      </c>
      <c r="O534" s="56" t="str">
        <f aca="false">IF(K534="","",IF($H534=$I534,IF(OR(AND($G534="Higher is better",K534&gt;=$H534),AND($G534="Lower is better",K534&lt;=$H534)),A_Scoring_Model!$C$14,0),IF($G534="Higher is better",IF(K534&gt;=$H534,A_Scoring_Model!$C$14,IF(K534&lt;$I534,0,A_Scoring_Model!$C$15+(A_Scoring_Model!$C$14-A_Scoring_Model!$C$15)*(K534-$I534)/($H534-$I534))),IF(K534&lt;=$H534,A_Scoring_Model!$C$14,IF(K534&gt;$I534,0,A_Scoring_Model!$C$15+(A_Scoring_Model!$C$14-A_Scoring_Model!$C$15)*($I534-K534)/($I534-$H534))))))</f>
        <v/>
      </c>
      <c r="P534" s="56" t="str">
        <f aca="false">IF(L534="","",IF($H534=$I534,IF(OR(AND($G534="Higher is better",L534&gt;=$H534),AND($G534="Lower is better",L534&lt;=$H534)),A_Scoring_Model!$C$14,0),IF($G534="Higher is better",IF(L534&gt;=$H534,A_Scoring_Model!$C$14,IF(L534&lt;$I534,0,A_Scoring_Model!$C$15+(A_Scoring_Model!$C$14-A_Scoring_Model!$C$15)*(L534-$I534)/($H534-$I534))),IF(L534&lt;=$H534,A_Scoring_Model!$C$14,IF(L534&gt;$I534,0,A_Scoring_Model!$C$15+(A_Scoring_Model!$C$14-A_Scoring_Model!$C$15)*($I534-L534)/($I534-$H534))))))</f>
        <v/>
      </c>
      <c r="Q534" s="56" t="str">
        <f aca="false">IF(M534="","",IF($H534=$I534,IF(OR(AND($G534="Higher is better",M534&gt;=$H534),AND($G534="Lower is better",M534&lt;=$H534)),A_Scoring_Model!$C$14,0),IF($G534="Higher is better",IF(M534&gt;=$H534,A_Scoring_Model!$C$14,IF(M534&lt;$I534,0,A_Scoring_Model!$C$15+(A_Scoring_Model!$C$14-A_Scoring_Model!$C$15)*(M534-$I534)/($H534-$I534))),IF(M534&lt;=$H534,A_Scoring_Model!$C$14,IF(M534&gt;$I534,0,A_Scoring_Model!$C$15+(A_Scoring_Model!$C$14-A_Scoring_Model!$C$15)*($I534-M534)/($I534-$H534))))))</f>
        <v/>
      </c>
    </row>
    <row r="535" customFormat="false" ht="15" hidden="false" customHeight="false" outlineLevel="0" collapsed="false">
      <c r="A535" s="51" t="str">
        <f aca="false">C_KPI_Benchmark!A535</f>
        <v>10.c-D2-06</v>
      </c>
      <c r="B535" s="52" t="str">
        <f aca="false">C_KPI_Benchmark!D535</f>
        <v>10.c</v>
      </c>
      <c r="C535" s="51" t="str">
        <f aca="false">C_KPI_Benchmark!E535</f>
        <v>Hotfix Triage &amp; MLOps Pipeline</v>
      </c>
      <c r="D535" s="52" t="str">
        <f aca="false">C_KPI_Benchmark!F535</f>
        <v>D2</v>
      </c>
      <c r="E535" s="51" t="str">
        <f aca="false">C_KPI_Benchmark!J535</f>
        <v>Uses Zion shared services instead of re-implementing them</v>
      </c>
      <c r="F535" s="52" t="str">
        <f aca="false">C_KPI_Benchmark!K535</f>
        <v>Yes/No</v>
      </c>
      <c r="G535" s="51" t="str">
        <f aca="false">C_KPI_Benchmark!L535</f>
        <v>Higher is better</v>
      </c>
      <c r="H535" s="60" t="n">
        <f aca="false">C_KPI_Benchmark!N535</f>
        <v>1</v>
      </c>
      <c r="I535" s="56" t="n">
        <f aca="false">IF(C_KPI_Benchmark!O535&lt;&gt;"",C_KPI_Benchmark!O535,IF(G535="Higher is better",H535*(1-A_Scoring_Model!$C$16),H535*(1+A_Scoring_Model!$C$16)))</f>
        <v>0.8</v>
      </c>
      <c r="J535" s="61"/>
      <c r="K535" s="61"/>
      <c r="L535" s="61"/>
      <c r="M535" s="61"/>
      <c r="N535" s="56" t="str">
        <f aca="false">IF(J535="","",IF($H535=$I535,IF(OR(AND($G535="Higher is better",J535&gt;=$H535),AND($G535="Lower is better",J535&lt;=$H535)),A_Scoring_Model!$C$14,0),IF($G535="Higher is better",IF(J535&gt;=$H535,A_Scoring_Model!$C$14,IF(J535&lt;$I535,0,A_Scoring_Model!$C$15+(A_Scoring_Model!$C$14-A_Scoring_Model!$C$15)*(J535-$I535)/($H535-$I535))),IF(J535&lt;=$H535,A_Scoring_Model!$C$14,IF(J535&gt;$I535,0,A_Scoring_Model!$C$15+(A_Scoring_Model!$C$14-A_Scoring_Model!$C$15)*($I535-J535)/($I535-$H535))))))</f>
        <v/>
      </c>
      <c r="O535" s="56" t="str">
        <f aca="false">IF(K535="","",IF($H535=$I535,IF(OR(AND($G535="Higher is better",K535&gt;=$H535),AND($G535="Lower is better",K535&lt;=$H535)),A_Scoring_Model!$C$14,0),IF($G535="Higher is better",IF(K535&gt;=$H535,A_Scoring_Model!$C$14,IF(K535&lt;$I535,0,A_Scoring_Model!$C$15+(A_Scoring_Model!$C$14-A_Scoring_Model!$C$15)*(K535-$I535)/($H535-$I535))),IF(K535&lt;=$H535,A_Scoring_Model!$C$14,IF(K535&gt;$I535,0,A_Scoring_Model!$C$15+(A_Scoring_Model!$C$14-A_Scoring_Model!$C$15)*($I535-K535)/($I535-$H535))))))</f>
        <v/>
      </c>
      <c r="P535" s="56" t="str">
        <f aca="false">IF(L535="","",IF($H535=$I535,IF(OR(AND($G535="Higher is better",L535&gt;=$H535),AND($G535="Lower is better",L535&lt;=$H535)),A_Scoring_Model!$C$14,0),IF($G535="Higher is better",IF(L535&gt;=$H535,A_Scoring_Model!$C$14,IF(L535&lt;$I535,0,A_Scoring_Model!$C$15+(A_Scoring_Model!$C$14-A_Scoring_Model!$C$15)*(L535-$I535)/($H535-$I535))),IF(L535&lt;=$H535,A_Scoring_Model!$C$14,IF(L535&gt;$I535,0,A_Scoring_Model!$C$15+(A_Scoring_Model!$C$14-A_Scoring_Model!$C$15)*($I535-L535)/($I535-$H535))))))</f>
        <v/>
      </c>
      <c r="Q535" s="56" t="str">
        <f aca="false">IF(M535="","",IF($H535=$I535,IF(OR(AND($G535="Higher is better",M535&gt;=$H535),AND($G535="Lower is better",M535&lt;=$H535)),A_Scoring_Model!$C$14,0),IF($G535="Higher is better",IF(M535&gt;=$H535,A_Scoring_Model!$C$14,IF(M535&lt;$I535,0,A_Scoring_Model!$C$15+(A_Scoring_Model!$C$14-A_Scoring_Model!$C$15)*(M535-$I535)/($H535-$I535))),IF(M535&lt;=$H535,A_Scoring_Model!$C$14,IF(M535&gt;$I535,0,A_Scoring_Model!$C$15+(A_Scoring_Model!$C$14-A_Scoring_Model!$C$15)*($I535-M535)/($I535-$H535))))))</f>
        <v/>
      </c>
    </row>
    <row r="536" customFormat="false" ht="15" hidden="false" customHeight="false" outlineLevel="0" collapsed="false">
      <c r="A536" s="51" t="str">
        <f aca="false">C_KPI_Benchmark!A536</f>
        <v>10.c-D3-07</v>
      </c>
      <c r="B536" s="52" t="str">
        <f aca="false">C_KPI_Benchmark!D536</f>
        <v>10.c</v>
      </c>
      <c r="C536" s="51" t="str">
        <f aca="false">C_KPI_Benchmark!E536</f>
        <v>Hotfix Triage &amp; MLOps Pipeline</v>
      </c>
      <c r="D536" s="52" t="str">
        <f aca="false">C_KPI_Benchmark!F536</f>
        <v>D3</v>
      </c>
      <c r="E536" s="51" t="str">
        <f aca="false">C_KPI_Benchmark!J536</f>
        <v>Retrain cycle time</v>
      </c>
      <c r="F536" s="52" t="str">
        <f aca="false">C_KPI_Benchmark!K536</f>
        <v>hr</v>
      </c>
      <c r="G536" s="51" t="str">
        <f aca="false">C_KPI_Benchmark!L536</f>
        <v>Lower is better</v>
      </c>
      <c r="H536" s="62" t="n">
        <f aca="false">C_KPI_Benchmark!N536</f>
        <v>24</v>
      </c>
      <c r="I536" s="63" t="n">
        <f aca="false">IF(C_KPI_Benchmark!O536&lt;&gt;"",C_KPI_Benchmark!O536,IF(G536="Higher is better",H536*(1-A_Scoring_Model!$C$16),H536*(1+A_Scoring_Model!$C$16)))</f>
        <v>28.8</v>
      </c>
      <c r="J536" s="64"/>
      <c r="K536" s="64"/>
      <c r="L536" s="64"/>
      <c r="M536" s="64"/>
      <c r="N536" s="56" t="str">
        <f aca="false">IF(J536="","",IF($H536=$I536,IF(OR(AND($G536="Higher is better",J536&gt;=$H536),AND($G536="Lower is better",J536&lt;=$H536)),A_Scoring_Model!$C$14,0),IF($G536="Higher is better",IF(J536&gt;=$H536,A_Scoring_Model!$C$14,IF(J536&lt;$I536,0,A_Scoring_Model!$C$15+(A_Scoring_Model!$C$14-A_Scoring_Model!$C$15)*(J536-$I536)/($H536-$I536))),IF(J536&lt;=$H536,A_Scoring_Model!$C$14,IF(J536&gt;$I536,0,A_Scoring_Model!$C$15+(A_Scoring_Model!$C$14-A_Scoring_Model!$C$15)*($I536-J536)/($I536-$H536))))))</f>
        <v/>
      </c>
      <c r="O536" s="56" t="str">
        <f aca="false">IF(K536="","",IF($H536=$I536,IF(OR(AND($G536="Higher is better",K536&gt;=$H536),AND($G536="Lower is better",K536&lt;=$H536)),A_Scoring_Model!$C$14,0),IF($G536="Higher is better",IF(K536&gt;=$H536,A_Scoring_Model!$C$14,IF(K536&lt;$I536,0,A_Scoring_Model!$C$15+(A_Scoring_Model!$C$14-A_Scoring_Model!$C$15)*(K536-$I536)/($H536-$I536))),IF(K536&lt;=$H536,A_Scoring_Model!$C$14,IF(K536&gt;$I536,0,A_Scoring_Model!$C$15+(A_Scoring_Model!$C$14-A_Scoring_Model!$C$15)*($I536-K536)/($I536-$H536))))))</f>
        <v/>
      </c>
      <c r="P536" s="56" t="str">
        <f aca="false">IF(L536="","",IF($H536=$I536,IF(OR(AND($G536="Higher is better",L536&gt;=$H536),AND($G536="Lower is better",L536&lt;=$H536)),A_Scoring_Model!$C$14,0),IF($G536="Higher is better",IF(L536&gt;=$H536,A_Scoring_Model!$C$14,IF(L536&lt;$I536,0,A_Scoring_Model!$C$15+(A_Scoring_Model!$C$14-A_Scoring_Model!$C$15)*(L536-$I536)/($H536-$I536))),IF(L536&lt;=$H536,A_Scoring_Model!$C$14,IF(L536&gt;$I536,0,A_Scoring_Model!$C$15+(A_Scoring_Model!$C$14-A_Scoring_Model!$C$15)*($I536-L536)/($I536-$H536))))))</f>
        <v/>
      </c>
      <c r="Q536" s="56" t="str">
        <f aca="false">IF(M536="","",IF($H536=$I536,IF(OR(AND($G536="Higher is better",M536&gt;=$H536),AND($G536="Lower is better",M536&lt;=$H536)),A_Scoring_Model!$C$14,0),IF($G536="Higher is better",IF(M536&gt;=$H536,A_Scoring_Model!$C$14,IF(M536&lt;$I536,0,A_Scoring_Model!$C$15+(A_Scoring_Model!$C$14-A_Scoring_Model!$C$15)*(M536-$I536)/($H536-$I536))),IF(M536&lt;=$H536,A_Scoring_Model!$C$14,IF(M536&gt;$I536,0,A_Scoring_Model!$C$15+(A_Scoring_Model!$C$14-A_Scoring_Model!$C$15)*($I536-M536)/($I536-$H536))))))</f>
        <v/>
      </c>
    </row>
    <row r="537" customFormat="false" ht="15" hidden="false" customHeight="false" outlineLevel="0" collapsed="false">
      <c r="A537" s="51" t="str">
        <f aca="false">C_KPI_Benchmark!A537</f>
        <v>10.c-D3-08</v>
      </c>
      <c r="B537" s="52" t="str">
        <f aca="false">C_KPI_Benchmark!D537</f>
        <v>10.c</v>
      </c>
      <c r="C537" s="51" t="str">
        <f aca="false">C_KPI_Benchmark!E537</f>
        <v>Hotfix Triage &amp; MLOps Pipeline</v>
      </c>
      <c r="D537" s="52" t="str">
        <f aca="false">C_KPI_Benchmark!F537</f>
        <v>D3</v>
      </c>
      <c r="E537" s="51" t="str">
        <f aca="false">C_KPI_Benchmark!J537</f>
        <v>Models managed</v>
      </c>
      <c r="F537" s="52" t="str">
        <f aca="false">C_KPI_Benchmark!K537</f>
        <v>count</v>
      </c>
      <c r="G537" s="51" t="str">
        <f aca="false">C_KPI_Benchmark!L537</f>
        <v>Higher is better</v>
      </c>
      <c r="H537" s="62" t="n">
        <f aca="false">C_KPI_Benchmark!N537</f>
        <v>20</v>
      </c>
      <c r="I537" s="63" t="n">
        <f aca="false">IF(C_KPI_Benchmark!O537&lt;&gt;"",C_KPI_Benchmark!O537,IF(G537="Higher is better",H537*(1-A_Scoring_Model!$C$16),H537*(1+A_Scoring_Model!$C$16)))</f>
        <v>16</v>
      </c>
      <c r="J537" s="64"/>
      <c r="K537" s="64"/>
      <c r="L537" s="64"/>
      <c r="M537" s="64"/>
      <c r="N537" s="56" t="str">
        <f aca="false">IF(J537="","",IF($H537=$I537,IF(OR(AND($G537="Higher is better",J537&gt;=$H537),AND($G537="Lower is better",J537&lt;=$H537)),A_Scoring_Model!$C$14,0),IF($G537="Higher is better",IF(J537&gt;=$H537,A_Scoring_Model!$C$14,IF(J537&lt;$I537,0,A_Scoring_Model!$C$15+(A_Scoring_Model!$C$14-A_Scoring_Model!$C$15)*(J537-$I537)/($H537-$I537))),IF(J537&lt;=$H537,A_Scoring_Model!$C$14,IF(J537&gt;$I537,0,A_Scoring_Model!$C$15+(A_Scoring_Model!$C$14-A_Scoring_Model!$C$15)*($I537-J537)/($I537-$H537))))))</f>
        <v/>
      </c>
      <c r="O537" s="56" t="str">
        <f aca="false">IF(K537="","",IF($H537=$I537,IF(OR(AND($G537="Higher is better",K537&gt;=$H537),AND($G537="Lower is better",K537&lt;=$H537)),A_Scoring_Model!$C$14,0),IF($G537="Higher is better",IF(K537&gt;=$H537,A_Scoring_Model!$C$14,IF(K537&lt;$I537,0,A_Scoring_Model!$C$15+(A_Scoring_Model!$C$14-A_Scoring_Model!$C$15)*(K537-$I537)/($H537-$I537))),IF(K537&lt;=$H537,A_Scoring_Model!$C$14,IF(K537&gt;$I537,0,A_Scoring_Model!$C$15+(A_Scoring_Model!$C$14-A_Scoring_Model!$C$15)*($I537-K537)/($I537-$H537))))))</f>
        <v/>
      </c>
      <c r="P537" s="56" t="str">
        <f aca="false">IF(L537="","",IF($H537=$I537,IF(OR(AND($G537="Higher is better",L537&gt;=$H537),AND($G537="Lower is better",L537&lt;=$H537)),A_Scoring_Model!$C$14,0),IF($G537="Higher is better",IF(L537&gt;=$H537,A_Scoring_Model!$C$14,IF(L537&lt;$I537,0,A_Scoring_Model!$C$15+(A_Scoring_Model!$C$14-A_Scoring_Model!$C$15)*(L537-$I537)/($H537-$I537))),IF(L537&lt;=$H537,A_Scoring_Model!$C$14,IF(L537&gt;$I537,0,A_Scoring_Model!$C$15+(A_Scoring_Model!$C$14-A_Scoring_Model!$C$15)*($I537-L537)/($I537-$H537))))))</f>
        <v/>
      </c>
      <c r="Q537" s="56" t="str">
        <f aca="false">IF(M537="","",IF($H537=$I537,IF(OR(AND($G537="Higher is better",M537&gt;=$H537),AND($G537="Lower is better",M537&lt;=$H537)),A_Scoring_Model!$C$14,0),IF($G537="Higher is better",IF(M537&gt;=$H537,A_Scoring_Model!$C$14,IF(M537&lt;$I537,0,A_Scoring_Model!$C$15+(A_Scoring_Model!$C$14-A_Scoring_Model!$C$15)*(M537-$I537)/($H537-$I537))),IF(M537&lt;=$H537,A_Scoring_Model!$C$14,IF(M537&gt;$I537,0,A_Scoring_Model!$C$15+(A_Scoring_Model!$C$14-A_Scoring_Model!$C$15)*($I537-M537)/($I537-$H537))))))</f>
        <v/>
      </c>
    </row>
    <row r="538" customFormat="false" ht="15" hidden="false" customHeight="false" outlineLevel="0" collapsed="false">
      <c r="A538" s="51" t="str">
        <f aca="false">C_KPI_Benchmark!A538</f>
        <v>10.c-D3-09</v>
      </c>
      <c r="B538" s="52" t="str">
        <f aca="false">C_KPI_Benchmark!D538</f>
        <v>10.c</v>
      </c>
      <c r="C538" s="51" t="str">
        <f aca="false">C_KPI_Benchmark!E538</f>
        <v>Hotfix Triage &amp; MLOps Pipeline</v>
      </c>
      <c r="D538" s="52" t="str">
        <f aca="false">C_KPI_Benchmark!F538</f>
        <v>D3</v>
      </c>
      <c r="E538" s="51" t="str">
        <f aca="false">C_KPI_Benchmark!J538</f>
        <v>Latency degradation at 10× load</v>
      </c>
      <c r="F538" s="52" t="str">
        <f aca="false">C_KPI_Benchmark!K538</f>
        <v>%</v>
      </c>
      <c r="G538" s="51" t="str">
        <f aca="false">C_KPI_Benchmark!L538</f>
        <v>Lower is better</v>
      </c>
      <c r="H538" s="53" t="n">
        <f aca="false">C_KPI_Benchmark!N538</f>
        <v>0.2</v>
      </c>
      <c r="I538" s="54" t="n">
        <f aca="false">IF(C_KPI_Benchmark!O538&lt;&gt;"",C_KPI_Benchmark!O538,IF(G538="Higher is better",H538*(1-A_Scoring_Model!$C$16),H538*(1+A_Scoring_Model!$C$16)))</f>
        <v>0.4</v>
      </c>
      <c r="J538" s="55"/>
      <c r="K538" s="55"/>
      <c r="L538" s="55"/>
      <c r="M538" s="55"/>
      <c r="N538" s="56" t="str">
        <f aca="false">IF(J538="","",IF($H538=$I538,IF(OR(AND($G538="Higher is better",J538&gt;=$H538),AND($G538="Lower is better",J538&lt;=$H538)),A_Scoring_Model!$C$14,0),IF($G538="Higher is better",IF(J538&gt;=$H538,A_Scoring_Model!$C$14,IF(J538&lt;$I538,0,A_Scoring_Model!$C$15+(A_Scoring_Model!$C$14-A_Scoring_Model!$C$15)*(J538-$I538)/($H538-$I538))),IF(J538&lt;=$H538,A_Scoring_Model!$C$14,IF(J538&gt;$I538,0,A_Scoring_Model!$C$15+(A_Scoring_Model!$C$14-A_Scoring_Model!$C$15)*($I538-J538)/($I538-$H538))))))</f>
        <v/>
      </c>
      <c r="O538" s="56" t="str">
        <f aca="false">IF(K538="","",IF($H538=$I538,IF(OR(AND($G538="Higher is better",K538&gt;=$H538),AND($G538="Lower is better",K538&lt;=$H538)),A_Scoring_Model!$C$14,0),IF($G538="Higher is better",IF(K538&gt;=$H538,A_Scoring_Model!$C$14,IF(K538&lt;$I538,0,A_Scoring_Model!$C$15+(A_Scoring_Model!$C$14-A_Scoring_Model!$C$15)*(K538-$I538)/($H538-$I538))),IF(K538&lt;=$H538,A_Scoring_Model!$C$14,IF(K538&gt;$I538,0,A_Scoring_Model!$C$15+(A_Scoring_Model!$C$14-A_Scoring_Model!$C$15)*($I538-K538)/($I538-$H538))))))</f>
        <v/>
      </c>
      <c r="P538" s="56" t="str">
        <f aca="false">IF(L538="","",IF($H538=$I538,IF(OR(AND($G538="Higher is better",L538&gt;=$H538),AND($G538="Lower is better",L538&lt;=$H538)),A_Scoring_Model!$C$14,0),IF($G538="Higher is better",IF(L538&gt;=$H538,A_Scoring_Model!$C$14,IF(L538&lt;$I538,0,A_Scoring_Model!$C$15+(A_Scoring_Model!$C$14-A_Scoring_Model!$C$15)*(L538-$I538)/($H538-$I538))),IF(L538&lt;=$H538,A_Scoring_Model!$C$14,IF(L538&gt;$I538,0,A_Scoring_Model!$C$15+(A_Scoring_Model!$C$14-A_Scoring_Model!$C$15)*($I538-L538)/($I538-$H538))))))</f>
        <v/>
      </c>
      <c r="Q538" s="56" t="str">
        <f aca="false">IF(M538="","",IF($H538=$I538,IF(OR(AND($G538="Higher is better",M538&gt;=$H538),AND($G538="Lower is better",M538&lt;=$H538)),A_Scoring_Model!$C$14,0),IF($G538="Higher is better",IF(M538&gt;=$H538,A_Scoring_Model!$C$14,IF(M538&lt;$I538,0,A_Scoring_Model!$C$15+(A_Scoring_Model!$C$14-A_Scoring_Model!$C$15)*(M538-$I538)/($H538-$I538))),IF(M538&lt;=$H538,A_Scoring_Model!$C$14,IF(M538&gt;$I538,0,A_Scoring_Model!$C$15+(A_Scoring_Model!$C$14-A_Scoring_Model!$C$15)*($I538-M538)/($I538-$H538))))))</f>
        <v/>
      </c>
    </row>
    <row r="539" customFormat="false" ht="15" hidden="false" customHeight="false" outlineLevel="0" collapsed="false">
      <c r="A539" s="51" t="str">
        <f aca="false">C_KPI_Benchmark!A539</f>
        <v>10.c-D4-10</v>
      </c>
      <c r="B539" s="52" t="str">
        <f aca="false">C_KPI_Benchmark!D539</f>
        <v>10.c</v>
      </c>
      <c r="C539" s="51" t="str">
        <f aca="false">C_KPI_Benchmark!E539</f>
        <v>Hotfix Triage &amp; MLOps Pipeline</v>
      </c>
      <c r="D539" s="52" t="str">
        <f aca="false">C_KPI_Benchmark!F539</f>
        <v>D4</v>
      </c>
      <c r="E539" s="51" t="str">
        <f aca="false">C_KPI_Benchmark!J539</f>
        <v>Model rollback time</v>
      </c>
      <c r="F539" s="52" t="str">
        <f aca="false">C_KPI_Benchmark!K539</f>
        <v>min</v>
      </c>
      <c r="G539" s="51" t="str">
        <f aca="false">C_KPI_Benchmark!L539</f>
        <v>Lower is better</v>
      </c>
      <c r="H539" s="62" t="n">
        <f aca="false">C_KPI_Benchmark!N539</f>
        <v>15</v>
      </c>
      <c r="I539" s="63" t="n">
        <f aca="false">IF(C_KPI_Benchmark!O539&lt;&gt;"",C_KPI_Benchmark!O539,IF(G539="Higher is better",H539*(1-A_Scoring_Model!$C$16),H539*(1+A_Scoring_Model!$C$16)))</f>
        <v>18</v>
      </c>
      <c r="J539" s="64"/>
      <c r="K539" s="64"/>
      <c r="L539" s="64"/>
      <c r="M539" s="64"/>
      <c r="N539" s="56" t="str">
        <f aca="false">IF(J539="","",IF($H539=$I539,IF(OR(AND($G539="Higher is better",J539&gt;=$H539),AND($G539="Lower is better",J539&lt;=$H539)),A_Scoring_Model!$C$14,0),IF($G539="Higher is better",IF(J539&gt;=$H539,A_Scoring_Model!$C$14,IF(J539&lt;$I539,0,A_Scoring_Model!$C$15+(A_Scoring_Model!$C$14-A_Scoring_Model!$C$15)*(J539-$I539)/($H539-$I539))),IF(J539&lt;=$H539,A_Scoring_Model!$C$14,IF(J539&gt;$I539,0,A_Scoring_Model!$C$15+(A_Scoring_Model!$C$14-A_Scoring_Model!$C$15)*($I539-J539)/($I539-$H539))))))</f>
        <v/>
      </c>
      <c r="O539" s="56" t="str">
        <f aca="false">IF(K539="","",IF($H539=$I539,IF(OR(AND($G539="Higher is better",K539&gt;=$H539),AND($G539="Lower is better",K539&lt;=$H539)),A_Scoring_Model!$C$14,0),IF($G539="Higher is better",IF(K539&gt;=$H539,A_Scoring_Model!$C$14,IF(K539&lt;$I539,0,A_Scoring_Model!$C$15+(A_Scoring_Model!$C$14-A_Scoring_Model!$C$15)*(K539-$I539)/($H539-$I539))),IF(K539&lt;=$H539,A_Scoring_Model!$C$14,IF(K539&gt;$I539,0,A_Scoring_Model!$C$15+(A_Scoring_Model!$C$14-A_Scoring_Model!$C$15)*($I539-K539)/($I539-$H539))))))</f>
        <v/>
      </c>
      <c r="P539" s="56" t="str">
        <f aca="false">IF(L539="","",IF($H539=$I539,IF(OR(AND($G539="Higher is better",L539&gt;=$H539),AND($G539="Lower is better",L539&lt;=$H539)),A_Scoring_Model!$C$14,0),IF($G539="Higher is better",IF(L539&gt;=$H539,A_Scoring_Model!$C$14,IF(L539&lt;$I539,0,A_Scoring_Model!$C$15+(A_Scoring_Model!$C$14-A_Scoring_Model!$C$15)*(L539-$I539)/($H539-$I539))),IF(L539&lt;=$H539,A_Scoring_Model!$C$14,IF(L539&gt;$I539,0,A_Scoring_Model!$C$15+(A_Scoring_Model!$C$14-A_Scoring_Model!$C$15)*($I539-L539)/($I539-$H539))))))</f>
        <v/>
      </c>
      <c r="Q539" s="56" t="str">
        <f aca="false">IF(M539="","",IF($H539=$I539,IF(OR(AND($G539="Higher is better",M539&gt;=$H539),AND($G539="Lower is better",M539&lt;=$H539)),A_Scoring_Model!$C$14,0),IF($G539="Higher is better",IF(M539&gt;=$H539,A_Scoring_Model!$C$14,IF(M539&lt;$I539,0,A_Scoring_Model!$C$15+(A_Scoring_Model!$C$14-A_Scoring_Model!$C$15)*(M539-$I539)/($H539-$I539))),IF(M539&lt;=$H539,A_Scoring_Model!$C$14,IF(M539&gt;$I539,0,A_Scoring_Model!$C$15+(A_Scoring_Model!$C$14-A_Scoring_Model!$C$15)*($I539-M539)/($I539-$H539))))))</f>
        <v/>
      </c>
    </row>
    <row r="540" customFormat="false" ht="15" hidden="false" customHeight="false" outlineLevel="0" collapsed="false">
      <c r="A540" s="51" t="str">
        <f aca="false">C_KPI_Benchmark!A540</f>
        <v>10.c-D4-11</v>
      </c>
      <c r="B540" s="52" t="str">
        <f aca="false">C_KPI_Benchmark!D540</f>
        <v>10.c</v>
      </c>
      <c r="C540" s="51" t="str">
        <f aca="false">C_KPI_Benchmark!E540</f>
        <v>Hotfix Triage &amp; MLOps Pipeline</v>
      </c>
      <c r="D540" s="52" t="str">
        <f aca="false">C_KPI_Benchmark!F540</f>
        <v>D4</v>
      </c>
      <c r="E540" s="51" t="str">
        <f aca="false">C_KPI_Benchmark!J540</f>
        <v>Service availability</v>
      </c>
      <c r="F540" s="52" t="str">
        <f aca="false">C_KPI_Benchmark!K540</f>
        <v>%</v>
      </c>
      <c r="G540" s="51" t="str">
        <f aca="false">C_KPI_Benchmark!L540</f>
        <v>Higher is better</v>
      </c>
      <c r="H540" s="53" t="n">
        <f aca="false">C_KPI_Benchmark!N540</f>
        <v>0.995</v>
      </c>
      <c r="I540" s="54" t="n">
        <f aca="false">IF(C_KPI_Benchmark!O540&lt;&gt;"",C_KPI_Benchmark!O540,IF(G540="Higher is better",H540*(1-A_Scoring_Model!$C$16),H540*(1+A_Scoring_Model!$C$16)))</f>
        <v>0.99</v>
      </c>
      <c r="J540" s="55"/>
      <c r="K540" s="55"/>
      <c r="L540" s="55"/>
      <c r="M540" s="55"/>
      <c r="N540" s="56" t="str">
        <f aca="false">IF(J540="","",IF($H540=$I540,IF(OR(AND($G540="Higher is better",J540&gt;=$H540),AND($G540="Lower is better",J540&lt;=$H540)),A_Scoring_Model!$C$14,0),IF($G540="Higher is better",IF(J540&gt;=$H540,A_Scoring_Model!$C$14,IF(J540&lt;$I540,0,A_Scoring_Model!$C$15+(A_Scoring_Model!$C$14-A_Scoring_Model!$C$15)*(J540-$I540)/($H540-$I540))),IF(J540&lt;=$H540,A_Scoring_Model!$C$14,IF(J540&gt;$I540,0,A_Scoring_Model!$C$15+(A_Scoring_Model!$C$14-A_Scoring_Model!$C$15)*($I540-J540)/($I540-$H540))))))</f>
        <v/>
      </c>
      <c r="O540" s="56" t="str">
        <f aca="false">IF(K540="","",IF($H540=$I540,IF(OR(AND($G540="Higher is better",K540&gt;=$H540),AND($G540="Lower is better",K540&lt;=$H540)),A_Scoring_Model!$C$14,0),IF($G540="Higher is better",IF(K540&gt;=$H540,A_Scoring_Model!$C$14,IF(K540&lt;$I540,0,A_Scoring_Model!$C$15+(A_Scoring_Model!$C$14-A_Scoring_Model!$C$15)*(K540-$I540)/($H540-$I540))),IF(K540&lt;=$H540,A_Scoring_Model!$C$14,IF(K540&gt;$I540,0,A_Scoring_Model!$C$15+(A_Scoring_Model!$C$14-A_Scoring_Model!$C$15)*($I540-K540)/($I540-$H540))))))</f>
        <v/>
      </c>
      <c r="P540" s="56" t="str">
        <f aca="false">IF(L540="","",IF($H540=$I540,IF(OR(AND($G540="Higher is better",L540&gt;=$H540),AND($G540="Lower is better",L540&lt;=$H540)),A_Scoring_Model!$C$14,0),IF($G540="Higher is better",IF(L540&gt;=$H540,A_Scoring_Model!$C$14,IF(L540&lt;$I540,0,A_Scoring_Model!$C$15+(A_Scoring_Model!$C$14-A_Scoring_Model!$C$15)*(L540-$I540)/($H540-$I540))),IF(L540&lt;=$H540,A_Scoring_Model!$C$14,IF(L540&gt;$I540,0,A_Scoring_Model!$C$15+(A_Scoring_Model!$C$14-A_Scoring_Model!$C$15)*($I540-L540)/($I540-$H540))))))</f>
        <v/>
      </c>
      <c r="Q540" s="56" t="str">
        <f aca="false">IF(M540="","",IF($H540=$I540,IF(OR(AND($G540="Higher is better",M540&gt;=$H540),AND($G540="Lower is better",M540&lt;=$H540)),A_Scoring_Model!$C$14,0),IF($G540="Higher is better",IF(M540&gt;=$H540,A_Scoring_Model!$C$14,IF(M540&lt;$I540,0,A_Scoring_Model!$C$15+(A_Scoring_Model!$C$14-A_Scoring_Model!$C$15)*(M540-$I540)/($H540-$I540))),IF(M540&lt;=$H540,A_Scoring_Model!$C$14,IF(M540&gt;$I540,0,A_Scoring_Model!$C$15+(A_Scoring_Model!$C$14-A_Scoring_Model!$C$15)*($I540-M540)/($I540-$H540))))))</f>
        <v/>
      </c>
    </row>
    <row r="541" customFormat="false" ht="15" hidden="false" customHeight="false" outlineLevel="0" collapsed="false">
      <c r="A541" s="51" t="str">
        <f aca="false">C_KPI_Benchmark!A541</f>
        <v>10.c-D5-12</v>
      </c>
      <c r="B541" s="52" t="str">
        <f aca="false">C_KPI_Benchmark!D541</f>
        <v>10.c</v>
      </c>
      <c r="C541" s="51" t="str">
        <f aca="false">C_KPI_Benchmark!E541</f>
        <v>Hotfix Triage &amp; MLOps Pipeline</v>
      </c>
      <c r="D541" s="52" t="str">
        <f aca="false">C_KPI_Benchmark!F541</f>
        <v>D5</v>
      </c>
      <c r="E541" s="51" t="str">
        <f aca="false">C_KPI_Benchmark!J541</f>
        <v>Hotfix turnaround reduction</v>
      </c>
      <c r="F541" s="52" t="str">
        <f aca="false">C_KPI_Benchmark!K541</f>
        <v>%</v>
      </c>
      <c r="G541" s="51" t="str">
        <f aca="false">C_KPI_Benchmark!L541</f>
        <v>Higher is better</v>
      </c>
      <c r="H541" s="53" t="n">
        <f aca="false">C_KPI_Benchmark!N541</f>
        <v>0.4</v>
      </c>
      <c r="I541" s="54" t="n">
        <f aca="false">IF(C_KPI_Benchmark!O541&lt;&gt;"",C_KPI_Benchmark!O541,IF(G541="Higher is better",H541*(1-A_Scoring_Model!$C$16),H541*(1+A_Scoring_Model!$C$16)))</f>
        <v>0.32</v>
      </c>
      <c r="J541" s="55"/>
      <c r="K541" s="55"/>
      <c r="L541" s="55"/>
      <c r="M541" s="55"/>
      <c r="N541" s="56" t="str">
        <f aca="false">IF(J541="","",IF($H541=$I541,IF(OR(AND($G541="Higher is better",J541&gt;=$H541),AND($G541="Lower is better",J541&lt;=$H541)),A_Scoring_Model!$C$14,0),IF($G541="Higher is better",IF(J541&gt;=$H541,A_Scoring_Model!$C$14,IF(J541&lt;$I541,0,A_Scoring_Model!$C$15+(A_Scoring_Model!$C$14-A_Scoring_Model!$C$15)*(J541-$I541)/($H541-$I541))),IF(J541&lt;=$H541,A_Scoring_Model!$C$14,IF(J541&gt;$I541,0,A_Scoring_Model!$C$15+(A_Scoring_Model!$C$14-A_Scoring_Model!$C$15)*($I541-J541)/($I541-$H541))))))</f>
        <v/>
      </c>
      <c r="O541" s="56" t="str">
        <f aca="false">IF(K541="","",IF($H541=$I541,IF(OR(AND($G541="Higher is better",K541&gt;=$H541),AND($G541="Lower is better",K541&lt;=$H541)),A_Scoring_Model!$C$14,0),IF($G541="Higher is better",IF(K541&gt;=$H541,A_Scoring_Model!$C$14,IF(K541&lt;$I541,0,A_Scoring_Model!$C$15+(A_Scoring_Model!$C$14-A_Scoring_Model!$C$15)*(K541-$I541)/($H541-$I541))),IF(K541&lt;=$H541,A_Scoring_Model!$C$14,IF(K541&gt;$I541,0,A_Scoring_Model!$C$15+(A_Scoring_Model!$C$14-A_Scoring_Model!$C$15)*($I541-K541)/($I541-$H541))))))</f>
        <v/>
      </c>
      <c r="P541" s="56" t="str">
        <f aca="false">IF(L541="","",IF($H541=$I541,IF(OR(AND($G541="Higher is better",L541&gt;=$H541),AND($G541="Lower is better",L541&lt;=$H541)),A_Scoring_Model!$C$14,0),IF($G541="Higher is better",IF(L541&gt;=$H541,A_Scoring_Model!$C$14,IF(L541&lt;$I541,0,A_Scoring_Model!$C$15+(A_Scoring_Model!$C$14-A_Scoring_Model!$C$15)*(L541-$I541)/($H541-$I541))),IF(L541&lt;=$H541,A_Scoring_Model!$C$14,IF(L541&gt;$I541,0,A_Scoring_Model!$C$15+(A_Scoring_Model!$C$14-A_Scoring_Model!$C$15)*($I541-L541)/($I541-$H541))))))</f>
        <v/>
      </c>
      <c r="Q541" s="56" t="str">
        <f aca="false">IF(M541="","",IF($H541=$I541,IF(OR(AND($G541="Higher is better",M541&gt;=$H541),AND($G541="Lower is better",M541&lt;=$H541)),A_Scoring_Model!$C$14,0),IF($G541="Higher is better",IF(M541&gt;=$H541,A_Scoring_Model!$C$14,IF(M541&lt;$I541,0,A_Scoring_Model!$C$15+(A_Scoring_Model!$C$14-A_Scoring_Model!$C$15)*(M541-$I541)/($H541-$I541))),IF(M541&lt;=$H541,A_Scoring_Model!$C$14,IF(M541&gt;$I541,0,A_Scoring_Model!$C$15+(A_Scoring_Model!$C$14-A_Scoring_Model!$C$15)*($I541-M541)/($I541-$H541))))))</f>
        <v/>
      </c>
    </row>
    <row r="542" customFormat="false" ht="15" hidden="false" customHeight="false" outlineLevel="0" collapsed="false">
      <c r="A542" s="51" t="str">
        <f aca="false">C_KPI_Benchmark!A542</f>
        <v>10.c-D6-13</v>
      </c>
      <c r="B542" s="52" t="str">
        <f aca="false">C_KPI_Benchmark!D542</f>
        <v>10.c</v>
      </c>
      <c r="C542" s="51" t="str">
        <f aca="false">C_KPI_Benchmark!E542</f>
        <v>Hotfix Triage &amp; MLOps Pipeline</v>
      </c>
      <c r="D542" s="52" t="str">
        <f aca="false">C_KPI_Benchmark!F542</f>
        <v>D6</v>
      </c>
      <c r="E542" s="51" t="str">
        <f aca="false">C_KPI_Benchmark!J542</f>
        <v>Solution code test coverage</v>
      </c>
      <c r="F542" s="52" t="str">
        <f aca="false">C_KPI_Benchmark!K542</f>
        <v>%</v>
      </c>
      <c r="G542" s="51" t="str">
        <f aca="false">C_KPI_Benchmark!L542</f>
        <v>Higher is better</v>
      </c>
      <c r="H542" s="53" t="n">
        <f aca="false">C_KPI_Benchmark!N542</f>
        <v>0.8</v>
      </c>
      <c r="I542" s="54" t="n">
        <f aca="false">IF(C_KPI_Benchmark!O542&lt;&gt;"",C_KPI_Benchmark!O542,IF(G542="Higher is better",H542*(1-A_Scoring_Model!$C$16),H542*(1+A_Scoring_Model!$C$16)))</f>
        <v>0.6</v>
      </c>
      <c r="J542" s="55"/>
      <c r="K542" s="55"/>
      <c r="L542" s="55"/>
      <c r="M542" s="55"/>
      <c r="N542" s="56" t="str">
        <f aca="false">IF(J542="","",IF($H542=$I542,IF(OR(AND($G542="Higher is better",J542&gt;=$H542),AND($G542="Lower is better",J542&lt;=$H542)),A_Scoring_Model!$C$14,0),IF($G542="Higher is better",IF(J542&gt;=$H542,A_Scoring_Model!$C$14,IF(J542&lt;$I542,0,A_Scoring_Model!$C$15+(A_Scoring_Model!$C$14-A_Scoring_Model!$C$15)*(J542-$I542)/($H542-$I542))),IF(J542&lt;=$H542,A_Scoring_Model!$C$14,IF(J542&gt;$I542,0,A_Scoring_Model!$C$15+(A_Scoring_Model!$C$14-A_Scoring_Model!$C$15)*($I542-J542)/($I542-$H542))))))</f>
        <v/>
      </c>
      <c r="O542" s="56" t="str">
        <f aca="false">IF(K542="","",IF($H542=$I542,IF(OR(AND($G542="Higher is better",K542&gt;=$H542),AND($G542="Lower is better",K542&lt;=$H542)),A_Scoring_Model!$C$14,0),IF($G542="Higher is better",IF(K542&gt;=$H542,A_Scoring_Model!$C$14,IF(K542&lt;$I542,0,A_Scoring_Model!$C$15+(A_Scoring_Model!$C$14-A_Scoring_Model!$C$15)*(K542-$I542)/($H542-$I542))),IF(K542&lt;=$H542,A_Scoring_Model!$C$14,IF(K542&gt;$I542,0,A_Scoring_Model!$C$15+(A_Scoring_Model!$C$14-A_Scoring_Model!$C$15)*($I542-K542)/($I542-$H542))))))</f>
        <v/>
      </c>
      <c r="P542" s="56" t="str">
        <f aca="false">IF(L542="","",IF($H542=$I542,IF(OR(AND($G542="Higher is better",L542&gt;=$H542),AND($G542="Lower is better",L542&lt;=$H542)),A_Scoring_Model!$C$14,0),IF($G542="Higher is better",IF(L542&gt;=$H542,A_Scoring_Model!$C$14,IF(L542&lt;$I542,0,A_Scoring_Model!$C$15+(A_Scoring_Model!$C$14-A_Scoring_Model!$C$15)*(L542-$I542)/($H542-$I542))),IF(L542&lt;=$H542,A_Scoring_Model!$C$14,IF(L542&gt;$I542,0,A_Scoring_Model!$C$15+(A_Scoring_Model!$C$14-A_Scoring_Model!$C$15)*($I542-L542)/($I542-$H542))))))</f>
        <v/>
      </c>
      <c r="Q542" s="56" t="str">
        <f aca="false">IF(M542="","",IF($H542=$I542,IF(OR(AND($G542="Higher is better",M542&gt;=$H542),AND($G542="Lower is better",M542&lt;=$H542)),A_Scoring_Model!$C$14,0),IF($G542="Higher is better",IF(M542&gt;=$H542,A_Scoring_Model!$C$14,IF(M542&lt;$I542,0,A_Scoring_Model!$C$15+(A_Scoring_Model!$C$14-A_Scoring_Model!$C$15)*(M542-$I542)/($H542-$I542))),IF(M542&lt;=$H542,A_Scoring_Model!$C$14,IF(M542&gt;$I542,0,A_Scoring_Model!$C$15+(A_Scoring_Model!$C$14-A_Scoring_Model!$C$15)*($I542-M542)/($I542-$H542))))))</f>
        <v/>
      </c>
    </row>
    <row r="543" customFormat="false" ht="15" hidden="false" customHeight="false" outlineLevel="0" collapsed="false">
      <c r="A543" s="51" t="str">
        <f aca="false">C_KPI_Benchmark!A543</f>
        <v>10.c-D6-14</v>
      </c>
      <c r="B543" s="52" t="str">
        <f aca="false">C_KPI_Benchmark!D543</f>
        <v>10.c</v>
      </c>
      <c r="C543" s="51" t="str">
        <f aca="false">C_KPI_Benchmark!E543</f>
        <v>Hotfix Triage &amp; MLOps Pipeline</v>
      </c>
      <c r="D543" s="52" t="str">
        <f aca="false">C_KPI_Benchmark!F543</f>
        <v>D6</v>
      </c>
      <c r="E543" s="51" t="str">
        <f aca="false">C_KPI_Benchmark!J543</f>
        <v>Review Shield critical findings</v>
      </c>
      <c r="F543" s="52" t="str">
        <f aca="false">C_KPI_Benchmark!K543</f>
        <v>count</v>
      </c>
      <c r="G543" s="51" t="str">
        <f aca="false">C_KPI_Benchmark!L543</f>
        <v>Lower is better</v>
      </c>
      <c r="H543" s="62" t="n">
        <f aca="false">C_KPI_Benchmark!N543</f>
        <v>0</v>
      </c>
      <c r="I543" s="63" t="n">
        <f aca="false">IF(C_KPI_Benchmark!O543&lt;&gt;"",C_KPI_Benchmark!O543,IF(G543="Higher is better",H543*(1-A_Scoring_Model!$C$16),H543*(1+A_Scoring_Model!$C$16)))</f>
        <v>0</v>
      </c>
      <c r="J543" s="64"/>
      <c r="K543" s="64"/>
      <c r="L543" s="64"/>
      <c r="M543" s="64"/>
      <c r="N543" s="56" t="str">
        <f aca="false">IF(J543="","",IF($H543=$I543,IF(OR(AND($G543="Higher is better",J543&gt;=$H543),AND($G543="Lower is better",J543&lt;=$H543)),A_Scoring_Model!$C$14,0),IF($G543="Higher is better",IF(J543&gt;=$H543,A_Scoring_Model!$C$14,IF(J543&lt;$I543,0,A_Scoring_Model!$C$15+(A_Scoring_Model!$C$14-A_Scoring_Model!$C$15)*(J543-$I543)/($H543-$I543))),IF(J543&lt;=$H543,A_Scoring_Model!$C$14,IF(J543&gt;$I543,0,A_Scoring_Model!$C$15+(A_Scoring_Model!$C$14-A_Scoring_Model!$C$15)*($I543-J543)/($I543-$H543))))))</f>
        <v/>
      </c>
      <c r="O543" s="56" t="str">
        <f aca="false">IF(K543="","",IF($H543=$I543,IF(OR(AND($G543="Higher is better",K543&gt;=$H543),AND($G543="Lower is better",K543&lt;=$H543)),A_Scoring_Model!$C$14,0),IF($G543="Higher is better",IF(K543&gt;=$H543,A_Scoring_Model!$C$14,IF(K543&lt;$I543,0,A_Scoring_Model!$C$15+(A_Scoring_Model!$C$14-A_Scoring_Model!$C$15)*(K543-$I543)/($H543-$I543))),IF(K543&lt;=$H543,A_Scoring_Model!$C$14,IF(K543&gt;$I543,0,A_Scoring_Model!$C$15+(A_Scoring_Model!$C$14-A_Scoring_Model!$C$15)*($I543-K543)/($I543-$H543))))))</f>
        <v/>
      </c>
      <c r="P543" s="56" t="str">
        <f aca="false">IF(L543="","",IF($H543=$I543,IF(OR(AND($G543="Higher is better",L543&gt;=$H543),AND($G543="Lower is better",L543&lt;=$H543)),A_Scoring_Model!$C$14,0),IF($G543="Higher is better",IF(L543&gt;=$H543,A_Scoring_Model!$C$14,IF(L543&lt;$I543,0,A_Scoring_Model!$C$15+(A_Scoring_Model!$C$14-A_Scoring_Model!$C$15)*(L543-$I543)/($H543-$I543))),IF(L543&lt;=$H543,A_Scoring_Model!$C$14,IF(L543&gt;$I543,0,A_Scoring_Model!$C$15+(A_Scoring_Model!$C$14-A_Scoring_Model!$C$15)*($I543-L543)/($I543-$H543))))))</f>
        <v/>
      </c>
      <c r="Q543" s="56" t="str">
        <f aca="false">IF(M543="","",IF($H543=$I543,IF(OR(AND($G543="Higher is better",M543&gt;=$H543),AND($G543="Lower is better",M543&lt;=$H543)),A_Scoring_Model!$C$14,0),IF($G543="Higher is better",IF(M543&gt;=$H543,A_Scoring_Model!$C$14,IF(M543&lt;$I543,0,A_Scoring_Model!$C$15+(A_Scoring_Model!$C$14-A_Scoring_Model!$C$15)*(M543-$I543)/($H543-$I543))),IF(M543&lt;=$H543,A_Scoring_Model!$C$14,IF(M543&gt;$I543,0,A_Scoring_Model!$C$15+(A_Scoring_Model!$C$14-A_Scoring_Model!$C$15)*($I543-M543)/($I543-$H543))))))</f>
        <v/>
      </c>
    </row>
    <row r="544" customFormat="false" ht="15" hidden="false" customHeight="false" outlineLevel="0" collapsed="false">
      <c r="A544" s="51" t="str">
        <f aca="false">C_KPI_Benchmark!A544</f>
        <v>10.c-D6-15</v>
      </c>
      <c r="B544" s="52" t="str">
        <f aca="false">C_KPI_Benchmark!D544</f>
        <v>10.c</v>
      </c>
      <c r="C544" s="51" t="str">
        <f aca="false">C_KPI_Benchmark!E544</f>
        <v>Hotfix Triage &amp; MLOps Pipeline</v>
      </c>
      <c r="D544" s="52" t="str">
        <f aca="false">C_KPI_Benchmark!F544</f>
        <v>D6</v>
      </c>
      <c r="E544" s="51" t="str">
        <f aca="false">C_KPI_Benchmark!J544</f>
        <v>SAST high findings and exposed secrets</v>
      </c>
      <c r="F544" s="52" t="str">
        <f aca="false">C_KPI_Benchmark!K544</f>
        <v>count</v>
      </c>
      <c r="G544" s="51" t="str">
        <f aca="false">C_KPI_Benchmark!L544</f>
        <v>Lower is better</v>
      </c>
      <c r="H544" s="62" t="n">
        <f aca="false">C_KPI_Benchmark!N544</f>
        <v>0</v>
      </c>
      <c r="I544" s="63" t="n">
        <f aca="false">IF(C_KPI_Benchmark!O544&lt;&gt;"",C_KPI_Benchmark!O544,IF(G544="Higher is better",H544*(1-A_Scoring_Model!$C$16),H544*(1+A_Scoring_Model!$C$16)))</f>
        <v>0</v>
      </c>
      <c r="J544" s="64"/>
      <c r="K544" s="64"/>
      <c r="L544" s="64"/>
      <c r="M544" s="64"/>
      <c r="N544" s="56" t="str">
        <f aca="false">IF(J544="","",IF($H544=$I544,IF(OR(AND($G544="Higher is better",J544&gt;=$H544),AND($G544="Lower is better",J544&lt;=$H544)),A_Scoring_Model!$C$14,0),IF($G544="Higher is better",IF(J544&gt;=$H544,A_Scoring_Model!$C$14,IF(J544&lt;$I544,0,A_Scoring_Model!$C$15+(A_Scoring_Model!$C$14-A_Scoring_Model!$C$15)*(J544-$I544)/($H544-$I544))),IF(J544&lt;=$H544,A_Scoring_Model!$C$14,IF(J544&gt;$I544,0,A_Scoring_Model!$C$15+(A_Scoring_Model!$C$14-A_Scoring_Model!$C$15)*($I544-J544)/($I544-$H544))))))</f>
        <v/>
      </c>
      <c r="O544" s="56" t="str">
        <f aca="false">IF(K544="","",IF($H544=$I544,IF(OR(AND($G544="Higher is better",K544&gt;=$H544),AND($G544="Lower is better",K544&lt;=$H544)),A_Scoring_Model!$C$14,0),IF($G544="Higher is better",IF(K544&gt;=$H544,A_Scoring_Model!$C$14,IF(K544&lt;$I544,0,A_Scoring_Model!$C$15+(A_Scoring_Model!$C$14-A_Scoring_Model!$C$15)*(K544-$I544)/($H544-$I544))),IF(K544&lt;=$H544,A_Scoring_Model!$C$14,IF(K544&gt;$I544,0,A_Scoring_Model!$C$15+(A_Scoring_Model!$C$14-A_Scoring_Model!$C$15)*($I544-K544)/($I544-$H544))))))</f>
        <v/>
      </c>
      <c r="P544" s="56" t="str">
        <f aca="false">IF(L544="","",IF($H544=$I544,IF(OR(AND($G544="Higher is better",L544&gt;=$H544),AND($G544="Lower is better",L544&lt;=$H544)),A_Scoring_Model!$C$14,0),IF($G544="Higher is better",IF(L544&gt;=$H544,A_Scoring_Model!$C$14,IF(L544&lt;$I544,0,A_Scoring_Model!$C$15+(A_Scoring_Model!$C$14-A_Scoring_Model!$C$15)*(L544-$I544)/($H544-$I544))),IF(L544&lt;=$H544,A_Scoring_Model!$C$14,IF(L544&gt;$I544,0,A_Scoring_Model!$C$15+(A_Scoring_Model!$C$14-A_Scoring_Model!$C$15)*($I544-L544)/($I544-$H544))))))</f>
        <v/>
      </c>
      <c r="Q544" s="56" t="str">
        <f aca="false">IF(M544="","",IF($H544=$I544,IF(OR(AND($G544="Higher is better",M544&gt;=$H544),AND($G544="Lower is better",M544&lt;=$H544)),A_Scoring_Model!$C$14,0),IF($G544="Higher is better",IF(M544&gt;=$H544,A_Scoring_Model!$C$14,IF(M544&lt;$I544,0,A_Scoring_Model!$C$15+(A_Scoring_Model!$C$14-A_Scoring_Model!$C$15)*(M544-$I544)/($H544-$I544))),IF(M544&lt;=$H544,A_Scoring_Model!$C$14,IF(M544&gt;$I544,0,A_Scoring_Model!$C$15+(A_Scoring_Model!$C$14-A_Scoring_Model!$C$15)*($I544-M544)/($I544-$H544))))))</f>
        <v/>
      </c>
    </row>
    <row r="545" customFormat="false" ht="23.85" hidden="false" customHeight="false" outlineLevel="0" collapsed="false">
      <c r="A545" s="51" t="str">
        <f aca="false">C_KPI_Benchmark!A545</f>
        <v>10.c-D6-16</v>
      </c>
      <c r="B545" s="52" t="str">
        <f aca="false">C_KPI_Benchmark!D545</f>
        <v>10.c</v>
      </c>
      <c r="C545" s="51" t="str">
        <f aca="false">C_KPI_Benchmark!E545</f>
        <v>Hotfix Triage &amp; MLOps Pipeline</v>
      </c>
      <c r="D545" s="52" t="str">
        <f aca="false">C_KPI_Benchmark!F545</f>
        <v>D6</v>
      </c>
      <c r="E545" s="51" t="str">
        <f aca="false">C_KPI_Benchmark!J545</f>
        <v>Documentation pack complete (README, I/O contract, model card, runbook)</v>
      </c>
      <c r="F545" s="52" t="str">
        <f aca="false">C_KPI_Benchmark!K545</f>
        <v>Yes/No</v>
      </c>
      <c r="G545" s="51" t="str">
        <f aca="false">C_KPI_Benchmark!L545</f>
        <v>Higher is better</v>
      </c>
      <c r="H545" s="60" t="n">
        <f aca="false">C_KPI_Benchmark!N545</f>
        <v>1</v>
      </c>
      <c r="I545" s="56" t="n">
        <f aca="false">IF(C_KPI_Benchmark!O545&lt;&gt;"",C_KPI_Benchmark!O545,IF(G545="Higher is better",H545*(1-A_Scoring_Model!$C$16),H545*(1+A_Scoring_Model!$C$16)))</f>
        <v>0.8</v>
      </c>
      <c r="J545" s="61"/>
      <c r="K545" s="61"/>
      <c r="L545" s="61"/>
      <c r="M545" s="61"/>
      <c r="N545" s="56" t="str">
        <f aca="false">IF(J545="","",IF($H545=$I545,IF(OR(AND($G545="Higher is better",J545&gt;=$H545),AND($G545="Lower is better",J545&lt;=$H545)),A_Scoring_Model!$C$14,0),IF($G545="Higher is better",IF(J545&gt;=$H545,A_Scoring_Model!$C$14,IF(J545&lt;$I545,0,A_Scoring_Model!$C$15+(A_Scoring_Model!$C$14-A_Scoring_Model!$C$15)*(J545-$I545)/($H545-$I545))),IF(J545&lt;=$H545,A_Scoring_Model!$C$14,IF(J545&gt;$I545,0,A_Scoring_Model!$C$15+(A_Scoring_Model!$C$14-A_Scoring_Model!$C$15)*($I545-J545)/($I545-$H545))))))</f>
        <v/>
      </c>
      <c r="O545" s="56" t="str">
        <f aca="false">IF(K545="","",IF($H545=$I545,IF(OR(AND($G545="Higher is better",K545&gt;=$H545),AND($G545="Lower is better",K545&lt;=$H545)),A_Scoring_Model!$C$14,0),IF($G545="Higher is better",IF(K545&gt;=$H545,A_Scoring_Model!$C$14,IF(K545&lt;$I545,0,A_Scoring_Model!$C$15+(A_Scoring_Model!$C$14-A_Scoring_Model!$C$15)*(K545-$I545)/($H545-$I545))),IF(K545&lt;=$H545,A_Scoring_Model!$C$14,IF(K545&gt;$I545,0,A_Scoring_Model!$C$15+(A_Scoring_Model!$C$14-A_Scoring_Model!$C$15)*($I545-K545)/($I545-$H545))))))</f>
        <v/>
      </c>
      <c r="P545" s="56" t="str">
        <f aca="false">IF(L545="","",IF($H545=$I545,IF(OR(AND($G545="Higher is better",L545&gt;=$H545),AND($G545="Lower is better",L545&lt;=$H545)),A_Scoring_Model!$C$14,0),IF($G545="Higher is better",IF(L545&gt;=$H545,A_Scoring_Model!$C$14,IF(L545&lt;$I545,0,A_Scoring_Model!$C$15+(A_Scoring_Model!$C$14-A_Scoring_Model!$C$15)*(L545-$I545)/($H545-$I545))),IF(L545&lt;=$H545,A_Scoring_Model!$C$14,IF(L545&gt;$I545,0,A_Scoring_Model!$C$15+(A_Scoring_Model!$C$14-A_Scoring_Model!$C$15)*($I545-L545)/($I545-$H545))))))</f>
        <v/>
      </c>
      <c r="Q545" s="56" t="str">
        <f aca="false">IF(M545="","",IF($H545=$I545,IF(OR(AND($G545="Higher is better",M545&gt;=$H545),AND($G545="Lower is better",M545&lt;=$H545)),A_Scoring_Model!$C$14,0),IF($G545="Higher is better",IF(M545&gt;=$H545,A_Scoring_Model!$C$14,IF(M545&lt;$I545,0,A_Scoring_Model!$C$15+(A_Scoring_Model!$C$14-A_Scoring_Model!$C$15)*(M545-$I545)/($H545-$I545))),IF(M545&lt;=$H545,A_Scoring_Model!$C$14,IF(M545&gt;$I545,0,A_Scoring_Model!$C$15+(A_Scoring_Model!$C$14-A_Scoring_Model!$C$15)*($I545-M545)/($I545-$H545))))))</f>
        <v/>
      </c>
    </row>
    <row r="546" customFormat="false" ht="15" hidden="false" customHeight="false" outlineLevel="0" collapsed="false">
      <c r="A546" s="51" t="str">
        <f aca="false">C_KPI_Benchmark!A546</f>
        <v>10.c-D6-17</v>
      </c>
      <c r="B546" s="52" t="str">
        <f aca="false">C_KPI_Benchmark!D546</f>
        <v>10.c</v>
      </c>
      <c r="C546" s="51" t="str">
        <f aca="false">C_KPI_Benchmark!E546</f>
        <v>Hotfix Triage &amp; MLOps Pipeline</v>
      </c>
      <c r="D546" s="52" t="str">
        <f aca="false">C_KPI_Benchmark!F546</f>
        <v>D6</v>
      </c>
      <c r="E546" s="51" t="str">
        <f aca="false">C_KPI_Benchmark!J546</f>
        <v>Named owner and support SLA</v>
      </c>
      <c r="F546" s="52" t="str">
        <f aca="false">C_KPI_Benchmark!K546</f>
        <v>Yes/No</v>
      </c>
      <c r="G546" s="51" t="str">
        <f aca="false">C_KPI_Benchmark!L546</f>
        <v>Higher is better</v>
      </c>
      <c r="H546" s="60" t="n">
        <f aca="false">C_KPI_Benchmark!N546</f>
        <v>1</v>
      </c>
      <c r="I546" s="56" t="n">
        <f aca="false">IF(C_KPI_Benchmark!O546&lt;&gt;"",C_KPI_Benchmark!O546,IF(G546="Higher is better",H546*(1-A_Scoring_Model!$C$16),H546*(1+A_Scoring_Model!$C$16)))</f>
        <v>0.8</v>
      </c>
      <c r="J546" s="61"/>
      <c r="K546" s="61"/>
      <c r="L546" s="61"/>
      <c r="M546" s="61"/>
      <c r="N546" s="56" t="str">
        <f aca="false">IF(J546="","",IF($H546=$I546,IF(OR(AND($G546="Higher is better",J546&gt;=$H546),AND($G546="Lower is better",J546&lt;=$H546)),A_Scoring_Model!$C$14,0),IF($G546="Higher is better",IF(J546&gt;=$H546,A_Scoring_Model!$C$14,IF(J546&lt;$I546,0,A_Scoring_Model!$C$15+(A_Scoring_Model!$C$14-A_Scoring_Model!$C$15)*(J546-$I546)/($H546-$I546))),IF(J546&lt;=$H546,A_Scoring_Model!$C$14,IF(J546&gt;$I546,0,A_Scoring_Model!$C$15+(A_Scoring_Model!$C$14-A_Scoring_Model!$C$15)*($I546-J546)/($I546-$H546))))))</f>
        <v/>
      </c>
      <c r="O546" s="56" t="str">
        <f aca="false">IF(K546="","",IF($H546=$I546,IF(OR(AND($G546="Higher is better",K546&gt;=$H546),AND($G546="Lower is better",K546&lt;=$H546)),A_Scoring_Model!$C$14,0),IF($G546="Higher is better",IF(K546&gt;=$H546,A_Scoring_Model!$C$14,IF(K546&lt;$I546,0,A_Scoring_Model!$C$15+(A_Scoring_Model!$C$14-A_Scoring_Model!$C$15)*(K546-$I546)/($H546-$I546))),IF(K546&lt;=$H546,A_Scoring_Model!$C$14,IF(K546&gt;$I546,0,A_Scoring_Model!$C$15+(A_Scoring_Model!$C$14-A_Scoring_Model!$C$15)*($I546-K546)/($I546-$H546))))))</f>
        <v/>
      </c>
      <c r="P546" s="56" t="str">
        <f aca="false">IF(L546="","",IF($H546=$I546,IF(OR(AND($G546="Higher is better",L546&gt;=$H546),AND($G546="Lower is better",L546&lt;=$H546)),A_Scoring_Model!$C$14,0),IF($G546="Higher is better",IF(L546&gt;=$H546,A_Scoring_Model!$C$14,IF(L546&lt;$I546,0,A_Scoring_Model!$C$15+(A_Scoring_Model!$C$14-A_Scoring_Model!$C$15)*(L546-$I546)/($H546-$I546))),IF(L546&lt;=$H546,A_Scoring_Model!$C$14,IF(L546&gt;$I546,0,A_Scoring_Model!$C$15+(A_Scoring_Model!$C$14-A_Scoring_Model!$C$15)*($I546-L546)/($I546-$H546))))))</f>
        <v/>
      </c>
      <c r="Q546" s="56" t="str">
        <f aca="false">IF(M546="","",IF($H546=$I546,IF(OR(AND($G546="Higher is better",M546&gt;=$H546),AND($G546="Lower is better",M546&lt;=$H546)),A_Scoring_Model!$C$14,0),IF($G546="Higher is better",IF(M546&gt;=$H546,A_Scoring_Model!$C$14,IF(M546&lt;$I546,0,A_Scoring_Model!$C$15+(A_Scoring_Model!$C$14-A_Scoring_Model!$C$15)*(M546-$I546)/($H546-$I546))),IF(M546&lt;=$H546,A_Scoring_Model!$C$14,IF(M546&gt;$I546,0,A_Scoring_Model!$C$15+(A_Scoring_Model!$C$14-A_Scoring_Model!$C$15)*($I546-M546)/($I546-$H546))))))</f>
        <v/>
      </c>
    </row>
  </sheetData>
  <autoFilter ref="A4:Q546"/>
  <conditionalFormatting sqref="N5:N546">
    <cfRule type="cellIs" priority="2" operator="equal" aboveAverage="0" equalAverage="0" bottom="0" percent="0" rank="0" text="" dxfId="20">
      <formula>0</formula>
    </cfRule>
    <cfRule type="cellIs" priority="3" operator="equal" aboveAverage="0" equalAverage="0" bottom="0" percent="0" rank="0" text="" dxfId="21">
      <formula>100</formula>
    </cfRule>
  </conditionalFormatting>
  <conditionalFormatting sqref="O5:O546">
    <cfRule type="cellIs" priority="4" operator="equal" aboveAverage="0" equalAverage="0" bottom="0" percent="0" rank="0" text="" dxfId="20">
      <formula>0</formula>
    </cfRule>
    <cfRule type="cellIs" priority="5" operator="equal" aboveAverage="0" equalAverage="0" bottom="0" percent="0" rank="0" text="" dxfId="21">
      <formula>100</formula>
    </cfRule>
  </conditionalFormatting>
  <conditionalFormatting sqref="P5:P546">
    <cfRule type="cellIs" priority="6" operator="equal" aboveAverage="0" equalAverage="0" bottom="0" percent="0" rank="0" text="" dxfId="20">
      <formula>0</formula>
    </cfRule>
    <cfRule type="cellIs" priority="7" operator="equal" aboveAverage="0" equalAverage="0" bottom="0" percent="0" rank="0" text="" dxfId="21">
      <formula>100</formula>
    </cfRule>
  </conditionalFormatting>
  <conditionalFormatting sqref="Q5:Q546">
    <cfRule type="cellIs" priority="8" operator="equal" aboveAverage="0" equalAverage="0" bottom="0" percent="0" rank="0" text="" dxfId="20">
      <formula>0</formula>
    </cfRule>
    <cfRule type="cellIs" priority="9" operator="equal" aboveAverage="0" equalAverage="0" bottom="0" percent="0" rank="0" text="" dxfId="21">
      <formula>100</formula>
    </cfRule>
  </conditionalFormatting>
  <dataValidations count="1">
    <dataValidation allowBlank="true" error="Enter 1 for Yes or 0 for No" errorStyle="stop" errorTitle="Yes/No KPI" operator="between" showDropDown="false" showErrorMessage="true" showInputMessage="false" sqref="J8:M8 J10:M10 J22:M23 J28:M28 J30:M30 J40:M41 J48:M48 J59:M60 J64:M64 J66:M66 J76:M77 J81:M81 J83:M83 J94:M95 J99:M99 J101:M101 J111:M112 J117:M117 J119:M119 J130:M131 J136:M136 J138:M138 J147:M148 J152:M152 J154:M154 J165:M166 J176:M176 J179:M179 J188:M188 J194:M195 J199:M200 J204:M204 J206:M206 J217:M218 J222:M222 J224:M224 J233:M234 J238:M238 J240:M240 J249:M250 J256:M256 J260:M260 J266:M267 J271:M271 J273:M273 J282:M283 J288:M288 J290:M290 J299:M300 J305:M305 J307:M307 J318:M319 J323:M323 J325:M325 J334:M335 J339:M339 J341:M341 J350:M351 J355:M355 J357:M357 J366:M367 J371:M371 J373:M373 J382:M383 J389:M389 J398:M399 J402:M402 J404:M404 J413:M414 J419:M419 J421:M421 J430:M431 J435:M435 J437:M437 J446:M447 J451:M451 J453:M453 J462:M463 J466:M466 J468:M468 J478:M479 J483:M483 J485:M485 J494:M495 J500:M500 J502:M502 J512:M513 J519:M519 J528:M529 J535:M535 J545:M546" type="list">
      <formula1>"1,0"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V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11" min="6" style="0" width="7"/>
    <col collapsed="false" customWidth="true" hidden="false" outlineLevel="0" max="12" min="12" style="0" width="11"/>
    <col collapsed="false" customWidth="true" hidden="false" outlineLevel="0" max="16" min="13" style="0" width="6"/>
    <col collapsed="false" customWidth="true" hidden="false" outlineLevel="0" max="17" min="17" style="0" width="9"/>
    <col collapsed="false" customWidth="true" hidden="false" outlineLevel="0" max="18" min="18" style="0" width="6"/>
    <col collapsed="false" customWidth="true" hidden="false" outlineLevel="0" max="19" min="19" style="0" width="9"/>
    <col collapsed="false" customWidth="true" hidden="false" outlineLevel="0" max="20" min="20" style="0" width="20"/>
    <col collapsed="false" customWidth="true" hidden="false" outlineLevel="0" max="21" min="21" style="0" width="7"/>
    <col collapsed="false" customWidth="true" hidden="false" outlineLevel="0" max="22" min="22" style="0" width="10"/>
  </cols>
  <sheetData>
    <row r="1" customFormat="false" ht="19.7" hidden="false" customHeight="false" outlineLevel="0" collapsed="false">
      <c r="A1" s="1" t="s">
        <v>1339</v>
      </c>
    </row>
    <row r="2" customFormat="false" ht="15" hidden="false" customHeight="false" outlineLevel="0" collapsed="false">
      <c r="A2" s="2" t="s">
        <v>1340</v>
      </c>
    </row>
    <row r="4" customFormat="false" ht="35.05" hidden="false" customHeight="false" outlineLevel="0" collapsed="false">
      <c r="A4" s="12" t="s">
        <v>179</v>
      </c>
      <c r="B4" s="12" t="s">
        <v>180</v>
      </c>
      <c r="C4" s="12" t="s">
        <v>1341</v>
      </c>
      <c r="D4" s="12" t="s">
        <v>1342</v>
      </c>
      <c r="E4" s="12" t="s">
        <v>187</v>
      </c>
      <c r="F4" s="12" t="s">
        <v>50</v>
      </c>
      <c r="G4" s="12" t="s">
        <v>53</v>
      </c>
      <c r="H4" s="12" t="s">
        <v>56</v>
      </c>
      <c r="I4" s="12" t="s">
        <v>59</v>
      </c>
      <c r="J4" s="12" t="s">
        <v>62</v>
      </c>
      <c r="K4" s="12" t="s">
        <v>65</v>
      </c>
      <c r="L4" s="12" t="s">
        <v>1343</v>
      </c>
      <c r="M4" s="12" t="s">
        <v>82</v>
      </c>
      <c r="N4" s="12" t="s">
        <v>86</v>
      </c>
      <c r="O4" s="12" t="s">
        <v>89</v>
      </c>
      <c r="P4" s="12" t="s">
        <v>92</v>
      </c>
      <c r="Q4" s="12" t="s">
        <v>1344</v>
      </c>
      <c r="R4" s="12" t="s">
        <v>99</v>
      </c>
      <c r="S4" s="12" t="s">
        <v>1345</v>
      </c>
      <c r="T4" s="12" t="s">
        <v>103</v>
      </c>
      <c r="U4" s="12" t="s">
        <v>1346</v>
      </c>
      <c r="V4" s="12" t="s">
        <v>1347</v>
      </c>
    </row>
    <row r="5" customFormat="false" ht="15" hidden="false" customHeight="false" outlineLevel="0" collapsed="false">
      <c r="A5" s="68" t="s">
        <v>191</v>
      </c>
      <c r="B5" s="39" t="s">
        <v>192</v>
      </c>
      <c r="C5" s="68" t="s">
        <v>1348</v>
      </c>
      <c r="D5" s="21" t="n">
        <f aca="false">COUNTIFS(E_Measurements!$B$5:$B$546,A5,E_Measurements!$J$5:$J$546,"&lt;&gt;")</f>
        <v>19</v>
      </c>
      <c r="E5" s="21" t="n">
        <f aca="false">COUNTIF(E_Measurements!$B$5:$B$546,A5)</f>
        <v>19</v>
      </c>
      <c r="F5" s="56" t="n">
        <f aca="false">IFERROR(AVERAGEIFS(E_Measurements!$N$5:$N$546,E_Measurements!$B$5:$B$546,$A5,E_Measurements!$D$5:$D$546,"D1"),"")</f>
        <v>80.952380952381</v>
      </c>
      <c r="G5" s="56" t="n">
        <f aca="false">IFERROR(AVERAGEIFS(E_Measurements!$N$5:$N$546,E_Measurements!$B$5:$B$546,$A5,E_Measurements!$D$5:$D$546,"D2"),"")</f>
        <v>86.6666666666667</v>
      </c>
      <c r="H5" s="56" t="n">
        <f aca="false">IFERROR(AVERAGEIFS(E_Measurements!$N$5:$N$546,E_Measurements!$B$5:$B$546,$A5,E_Measurements!$D$5:$D$546,"D3"),"")</f>
        <v>79.6666666666667</v>
      </c>
      <c r="I5" s="56" t="n">
        <f aca="false">IFERROR(AVERAGEIFS(E_Measurements!$N$5:$N$546,E_Measurements!$B$5:$B$546,$A5,E_Measurements!$D$5:$D$546,"D4"),"")</f>
        <v>79.9587628865979</v>
      </c>
      <c r="J5" s="56" t="n">
        <f aca="false">IFERROR(AVERAGEIFS(E_Measurements!$N$5:$N$546,E_Measurements!$B$5:$B$546,$A5,E_Measurements!$D$5:$D$546,"D5"),"")</f>
        <v>80.7843137254902</v>
      </c>
      <c r="K5" s="56" t="n">
        <f aca="false">IFERROR(AVERAGEIFS(E_Measurements!$N$5:$N$546,E_Measurements!$B$5:$B$546,$A5,E_Measurements!$D$5:$D$546,"D6"),"")</f>
        <v>96</v>
      </c>
      <c r="L5" s="69" t="n">
        <f aca="false">IF(COUNT(F5:K5)&lt;6,"",F5*A_Scoring_Model!$C$5+G5*A_Scoring_Model!$C$6+H5*A_Scoring_Model!$C$7+I5*A_Scoring_Model!$C$8+J5*A_Scoring_Model!$C$9+K5*A_Scoring_Model!$C$10)</f>
        <v>83.282570966531</v>
      </c>
      <c r="M5" s="70" t="s">
        <v>1349</v>
      </c>
      <c r="N5" s="70" t="s">
        <v>1349</v>
      </c>
      <c r="O5" s="70" t="s">
        <v>1349</v>
      </c>
      <c r="P5" s="70" t="s">
        <v>1349</v>
      </c>
      <c r="Q5" s="21" t="str">
        <f aca="false">IF(F5="","",IF(COUNTIFS(E_Measurements!$B$5:$B$546,A5,E_Measurements!$D$5:$D$546,"D1",E_Measurements!$N$5:$N$546,0)&gt;0,"N","Y"))</f>
        <v>Y</v>
      </c>
      <c r="R5" s="70" t="s">
        <v>1349</v>
      </c>
      <c r="S5" s="13" t="str">
        <f aca="false">IF(COUNTIF(M5:R5,"Y")=6,"Y","N")</f>
        <v>Y</v>
      </c>
      <c r="T5" s="13" t="str">
        <f aca="false">IF(L5="","",IF(OR(S5&lt;&gt;"Y",L5&lt;A_Scoring_Model!$C$33),"Not eligible",IF(L5&gt;=A_Scoring_Model!$C$30,"Tier 1 · Certified",IF(L5&gt;=A_Scoring_Model!$C$31,"Tier 2 · Conditional",IF(L5&gt;=A_Scoring_Model!$C$32,"Tier 3 · Group-local","Tier 4 · Rework")))))</f>
        <v>Tier 2 · Conditional</v>
      </c>
      <c r="U5" s="13" t="n">
        <f aca="false">IF(OR(L5="",S5&lt;&gt;"Y"),"",COUNTIFS($A$5:$A$95,A5,$S$5:$S$95,"Y",$L$5:$L$95,"&gt;"&amp;L5)+1)</f>
        <v>2</v>
      </c>
      <c r="V5" s="21" t="str">
        <f aca="false">A5&amp;"|"&amp;U5</f>
        <v>1.a|2</v>
      </c>
    </row>
    <row r="6" customFormat="false" ht="15" hidden="false" customHeight="false" outlineLevel="0" collapsed="false">
      <c r="A6" s="68" t="s">
        <v>191</v>
      </c>
      <c r="B6" s="39" t="s">
        <v>192</v>
      </c>
      <c r="C6" s="68" t="s">
        <v>1350</v>
      </c>
      <c r="D6" s="21" t="n">
        <f aca="false">COUNTIFS(E_Measurements!$B$5:$B$546,A6,E_Measurements!$K$5:$K$546,"&lt;&gt;")</f>
        <v>19</v>
      </c>
      <c r="E6" s="21" t="n">
        <f aca="false">COUNTIF(E_Measurements!$B$5:$B$546,A6)</f>
        <v>19</v>
      </c>
      <c r="F6" s="56" t="n">
        <f aca="false">IFERROR(AVERAGEIFS(E_Measurements!$O$5:$O$546,E_Measurements!$B$5:$B$546,$A6,E_Measurements!$D$5:$D$546,"D1"),"")</f>
        <v>100</v>
      </c>
      <c r="G6" s="56" t="n">
        <f aca="false">IFERROR(AVERAGEIFS(E_Measurements!$O$5:$O$546,E_Measurements!$B$5:$B$546,$A6,E_Measurements!$D$5:$D$546,"D2"),"")</f>
        <v>0</v>
      </c>
      <c r="H6" s="56" t="n">
        <f aca="false">IFERROR(AVERAGEIFS(E_Measurements!$O$5:$O$546,E_Measurements!$B$5:$B$546,$A6,E_Measurements!$D$5:$D$546,"D3"),"")</f>
        <v>100</v>
      </c>
      <c r="I6" s="56" t="n">
        <f aca="false">IFERROR(AVERAGEIFS(E_Measurements!$O$5:$O$546,E_Measurements!$B$5:$B$546,$A6,E_Measurements!$D$5:$D$546,"D4"),"")</f>
        <v>86.6666666666667</v>
      </c>
      <c r="J6" s="56" t="n">
        <f aca="false">IFERROR(AVERAGEIFS(E_Measurements!$O$5:$O$546,E_Measurements!$B$5:$B$546,$A6,E_Measurements!$D$5:$D$546,"D5"),"")</f>
        <v>100</v>
      </c>
      <c r="K6" s="56" t="n">
        <f aca="false">IFERROR(AVERAGEIFS(E_Measurements!$O$5:$O$546,E_Measurements!$B$5:$B$546,$A6,E_Measurements!$D$5:$D$546,"D6"),"")</f>
        <v>54</v>
      </c>
      <c r="L6" s="69" t="n">
        <f aca="false">IF(COUNT(F6:K6)&lt;6,"",F6*A_Scoring_Model!$C$5+G6*A_Scoring_Model!$C$6+H6*A_Scoring_Model!$C$7+I6*A_Scoring_Model!$C$8+J6*A_Scoring_Model!$C$9+K6*A_Scoring_Model!$C$10)</f>
        <v>74.0666666666667</v>
      </c>
      <c r="M6" s="70" t="s">
        <v>1349</v>
      </c>
      <c r="N6" s="70" t="s">
        <v>1349</v>
      </c>
      <c r="O6" s="70" t="s">
        <v>1349</v>
      </c>
      <c r="P6" s="70" t="s">
        <v>1349</v>
      </c>
      <c r="Q6" s="21" t="str">
        <f aca="false">IF(F6="","",IF(COUNTIFS(E_Measurements!$B$5:$B$546,A6,E_Measurements!$D$5:$D$546,"D1",E_Measurements!$O$5:$O$546,0)&gt;0,"N","Y"))</f>
        <v>Y</v>
      </c>
      <c r="R6" s="70" t="s">
        <v>1349</v>
      </c>
      <c r="S6" s="13" t="str">
        <f aca="false">IF(COUNTIF(M6:R6,"Y")=6,"Y","N")</f>
        <v>Y</v>
      </c>
      <c r="T6" s="13" t="str">
        <f aca="false">IF(L6="","",IF(OR(S6&lt;&gt;"Y",L6&lt;A_Scoring_Model!$C$33),"Not eligible",IF(L6&gt;=A_Scoring_Model!$C$30,"Tier 1 · Certified",IF(L6&gt;=A_Scoring_Model!$C$31,"Tier 2 · Conditional",IF(L6&gt;=A_Scoring_Model!$C$32,"Tier 3 · Group-local","Tier 4 · Rework")))))</f>
        <v>Tier 3 · Group-local</v>
      </c>
      <c r="U6" s="13" t="n">
        <f aca="false">IF(OR(L6="",S6&lt;&gt;"Y"),"",COUNTIFS($A$5:$A$95,A6,$S$5:$S$95,"Y",$L$5:$L$95,"&gt;"&amp;L6)+1)</f>
        <v>3</v>
      </c>
      <c r="V6" s="21" t="str">
        <f aca="false">A6&amp;"|"&amp;U6</f>
        <v>1.a|3</v>
      </c>
    </row>
    <row r="7" customFormat="false" ht="15" hidden="false" customHeight="false" outlineLevel="0" collapsed="false">
      <c r="A7" s="68" t="s">
        <v>191</v>
      </c>
      <c r="B7" s="39" t="s">
        <v>192</v>
      </c>
      <c r="C7" s="68" t="s">
        <v>1351</v>
      </c>
      <c r="D7" s="21" t="n">
        <f aca="false">COUNTIFS(E_Measurements!$B$5:$B$546,A7,E_Measurements!$L$5:$L$546,"&lt;&gt;")</f>
        <v>19</v>
      </c>
      <c r="E7" s="21" t="n">
        <f aca="false">COUNTIF(E_Measurements!$B$5:$B$546,A7)</f>
        <v>19</v>
      </c>
      <c r="F7" s="56" t="n">
        <f aca="false">IFERROR(AVERAGEIFS(E_Measurements!$P$5:$P$546,E_Measurements!$B$5:$B$546,$A7,E_Measurements!$D$5:$D$546,"D1"),"")</f>
        <v>92.8571428571429</v>
      </c>
      <c r="G7" s="56" t="n">
        <f aca="false">IFERROR(AVERAGEIFS(E_Measurements!$P$5:$P$546,E_Measurements!$B$5:$B$546,$A7,E_Measurements!$D$5:$D$546,"D2"),"")</f>
        <v>100</v>
      </c>
      <c r="H7" s="56" t="n">
        <f aca="false">IFERROR(AVERAGEIFS(E_Measurements!$P$5:$P$546,E_Measurements!$B$5:$B$546,$A7,E_Measurements!$D$5:$D$546,"D3"),"")</f>
        <v>93.9444444444444</v>
      </c>
      <c r="I7" s="56" t="n">
        <f aca="false">IFERROR(AVERAGEIFS(E_Measurements!$P$5:$P$546,E_Measurements!$B$5:$B$546,$A7,E_Measurements!$D$5:$D$546,"D4"),"")</f>
        <v>93.3333333333333</v>
      </c>
      <c r="J7" s="56" t="n">
        <f aca="false">IFERROR(AVERAGEIFS(E_Measurements!$P$5:$P$546,E_Measurements!$B$5:$B$546,$A7,E_Measurements!$D$5:$D$546,"D5"),"")</f>
        <v>93.8235294117647</v>
      </c>
      <c r="K7" s="56" t="n">
        <f aca="false">IFERROR(AVERAGEIFS(E_Measurements!$P$5:$P$546,E_Measurements!$B$5:$B$546,$A7,E_Measurements!$D$5:$D$546,"D6"),"")</f>
        <v>99.2</v>
      </c>
      <c r="L7" s="69" t="n">
        <f aca="false">IF(COUNT(F7:K7)&lt;6,"",F7*A_Scoring_Model!$C$5+G7*A_Scoring_Model!$C$6+H7*A_Scoring_Model!$C$7+I7*A_Scoring_Model!$C$8+J7*A_Scoring_Model!$C$9+K7*A_Scoring_Model!$C$10)</f>
        <v>95.2756722689076</v>
      </c>
      <c r="M7" s="70" t="s">
        <v>1349</v>
      </c>
      <c r="N7" s="70" t="s">
        <v>1349</v>
      </c>
      <c r="O7" s="70" t="s">
        <v>1349</v>
      </c>
      <c r="P7" s="70" t="s">
        <v>1349</v>
      </c>
      <c r="Q7" s="21" t="str">
        <f aca="false">IF(F7="","",IF(COUNTIFS(E_Measurements!$B$5:$B$546,A7,E_Measurements!$D$5:$D$546,"D1",E_Measurements!$P$5:$P$546,0)&gt;0,"N","Y"))</f>
        <v>Y</v>
      </c>
      <c r="R7" s="70" t="s">
        <v>1349</v>
      </c>
      <c r="S7" s="13" t="str">
        <f aca="false">IF(COUNTIF(M7:R7,"Y")=6,"Y","N")</f>
        <v>Y</v>
      </c>
      <c r="T7" s="13" t="str">
        <f aca="false">IF(L7="","",IF(OR(S7&lt;&gt;"Y",L7&lt;A_Scoring_Model!$C$33),"Not eligible",IF(L7&gt;=A_Scoring_Model!$C$30,"Tier 1 · Certified",IF(L7&gt;=A_Scoring_Model!$C$31,"Tier 2 · Conditional",IF(L7&gt;=A_Scoring_Model!$C$32,"Tier 3 · Group-local","Tier 4 · Rework")))))</f>
        <v>Tier 1 · Certified</v>
      </c>
      <c r="U7" s="13" t="n">
        <f aca="false">IF(OR(L7="",S7&lt;&gt;"Y"),"",COUNTIFS($A$5:$A$95,A7,$S$5:$S$95,"Y",$L$5:$L$95,"&gt;"&amp;L7)+1)</f>
        <v>1</v>
      </c>
      <c r="V7" s="21" t="str">
        <f aca="false">A7&amp;"|"&amp;U7</f>
        <v>1.a|1</v>
      </c>
    </row>
    <row r="8" customFormat="false" ht="15" hidden="false" customHeight="false" outlineLevel="0" collapsed="false">
      <c r="A8" s="13" t="s">
        <v>199</v>
      </c>
      <c r="B8" s="16" t="s">
        <v>200</v>
      </c>
      <c r="C8" s="13" t="s">
        <v>1348</v>
      </c>
      <c r="D8" s="21" t="n">
        <f aca="false">COUNTIFS(E_Measurements!$B$5:$B$546,A8,E_Measurements!$J$5:$J$546,"&lt;&gt;")</f>
        <v>0</v>
      </c>
      <c r="E8" s="21" t="n">
        <f aca="false">COUNTIF(E_Measurements!$B$5:$B$546,A8)</f>
        <v>18</v>
      </c>
      <c r="F8" s="56" t="str">
        <f aca="false">IFERROR(AVERAGEIFS(E_Measurements!$N$5:$N$546,E_Measurements!$B$5:$B$546,$A8,E_Measurements!$D$5:$D$546,"D1"),"")</f>
        <v/>
      </c>
      <c r="G8" s="56" t="str">
        <f aca="false">IFERROR(AVERAGEIFS(E_Measurements!$N$5:$N$546,E_Measurements!$B$5:$B$546,$A8,E_Measurements!$D$5:$D$546,"D2"),"")</f>
        <v/>
      </c>
      <c r="H8" s="56" t="str">
        <f aca="false">IFERROR(AVERAGEIFS(E_Measurements!$N$5:$N$546,E_Measurements!$B$5:$B$546,$A8,E_Measurements!$D$5:$D$546,"D3"),"")</f>
        <v/>
      </c>
      <c r="I8" s="56" t="str">
        <f aca="false">IFERROR(AVERAGEIFS(E_Measurements!$N$5:$N$546,E_Measurements!$B$5:$B$546,$A8,E_Measurements!$D$5:$D$546,"D4"),"")</f>
        <v/>
      </c>
      <c r="J8" s="56" t="str">
        <f aca="false">IFERROR(AVERAGEIFS(E_Measurements!$N$5:$N$546,E_Measurements!$B$5:$B$546,$A8,E_Measurements!$D$5:$D$546,"D5"),"")</f>
        <v/>
      </c>
      <c r="K8" s="56" t="str">
        <f aca="false">IFERROR(AVERAGEIFS(E_Measurements!$N$5:$N$546,E_Measurements!$B$5:$B$546,$A8,E_Measurements!$D$5:$D$546,"D6"),"")</f>
        <v/>
      </c>
      <c r="L8" s="69" t="str">
        <f aca="false">IF(COUNT(F8:K8)&lt;6,"",F8*A_Scoring_Model!$C$5+G8*A_Scoring_Model!$C$6+H8*A_Scoring_Model!$C$7+I8*A_Scoring_Model!$C$8+J8*A_Scoring_Model!$C$9+K8*A_Scoring_Model!$C$10)</f>
        <v/>
      </c>
      <c r="M8" s="70"/>
      <c r="N8" s="70"/>
      <c r="O8" s="70"/>
      <c r="P8" s="70"/>
      <c r="Q8" s="21" t="str">
        <f aca="false">IF(F8="","",IF(COUNTIFS(E_Measurements!$B$5:$B$546,A8,E_Measurements!$D$5:$D$546,"D1",E_Measurements!$N$5:$N$546,0)&gt;0,"N","Y"))</f>
        <v/>
      </c>
      <c r="R8" s="70"/>
      <c r="S8" s="13" t="str">
        <f aca="false">IF(COUNTIF(M8:R8,"Y")=6,"Y","N")</f>
        <v>N</v>
      </c>
      <c r="T8" s="13" t="str">
        <f aca="false">IF(L8="","",IF(OR(S8&lt;&gt;"Y",L8&lt;A_Scoring_Model!$C$33),"Not eligible",IF(L8&gt;=A_Scoring_Model!$C$30,"Tier 1 · Certified",IF(L8&gt;=A_Scoring_Model!$C$31,"Tier 2 · Conditional",IF(L8&gt;=A_Scoring_Model!$C$32,"Tier 3 · Group-local","Tier 4 · Rework")))))</f>
        <v/>
      </c>
      <c r="U8" s="13" t="str">
        <f aca="false">IF(OR(L8="",S8&lt;&gt;"Y"),"",COUNTIFS($A$5:$A$95,A8,$S$5:$S$95,"Y",$L$5:$L$95,"&gt;"&amp;L8)+1)</f>
        <v/>
      </c>
      <c r="V8" s="21" t="str">
        <f aca="false">A8&amp;"|"&amp;U8</f>
        <v>1.b|</v>
      </c>
    </row>
    <row r="9" customFormat="false" ht="15" hidden="false" customHeight="false" outlineLevel="0" collapsed="false">
      <c r="A9" s="13" t="s">
        <v>199</v>
      </c>
      <c r="B9" s="16" t="s">
        <v>200</v>
      </c>
      <c r="C9" s="13" t="s">
        <v>1350</v>
      </c>
      <c r="D9" s="21" t="n">
        <f aca="false">COUNTIFS(E_Measurements!$B$5:$B$546,A9,E_Measurements!$K$5:$K$546,"&lt;&gt;")</f>
        <v>0</v>
      </c>
      <c r="E9" s="21" t="n">
        <f aca="false">COUNTIF(E_Measurements!$B$5:$B$546,A9)</f>
        <v>18</v>
      </c>
      <c r="F9" s="56" t="str">
        <f aca="false">IFERROR(AVERAGEIFS(E_Measurements!$O$5:$O$546,E_Measurements!$B$5:$B$546,$A9,E_Measurements!$D$5:$D$546,"D1"),"")</f>
        <v/>
      </c>
      <c r="G9" s="56" t="str">
        <f aca="false">IFERROR(AVERAGEIFS(E_Measurements!$O$5:$O$546,E_Measurements!$B$5:$B$546,$A9,E_Measurements!$D$5:$D$546,"D2"),"")</f>
        <v/>
      </c>
      <c r="H9" s="56" t="str">
        <f aca="false">IFERROR(AVERAGEIFS(E_Measurements!$O$5:$O$546,E_Measurements!$B$5:$B$546,$A9,E_Measurements!$D$5:$D$546,"D3"),"")</f>
        <v/>
      </c>
      <c r="I9" s="56" t="str">
        <f aca="false">IFERROR(AVERAGEIFS(E_Measurements!$O$5:$O$546,E_Measurements!$B$5:$B$546,$A9,E_Measurements!$D$5:$D$546,"D4"),"")</f>
        <v/>
      </c>
      <c r="J9" s="56" t="str">
        <f aca="false">IFERROR(AVERAGEIFS(E_Measurements!$O$5:$O$546,E_Measurements!$B$5:$B$546,$A9,E_Measurements!$D$5:$D$546,"D5"),"")</f>
        <v/>
      </c>
      <c r="K9" s="56" t="str">
        <f aca="false">IFERROR(AVERAGEIFS(E_Measurements!$O$5:$O$546,E_Measurements!$B$5:$B$546,$A9,E_Measurements!$D$5:$D$546,"D6"),"")</f>
        <v/>
      </c>
      <c r="L9" s="69" t="str">
        <f aca="false">IF(COUNT(F9:K9)&lt;6,"",F9*A_Scoring_Model!$C$5+G9*A_Scoring_Model!$C$6+H9*A_Scoring_Model!$C$7+I9*A_Scoring_Model!$C$8+J9*A_Scoring_Model!$C$9+K9*A_Scoring_Model!$C$10)</f>
        <v/>
      </c>
      <c r="M9" s="70"/>
      <c r="N9" s="70"/>
      <c r="O9" s="70"/>
      <c r="P9" s="70"/>
      <c r="Q9" s="21" t="str">
        <f aca="false">IF(F9="","",IF(COUNTIFS(E_Measurements!$B$5:$B$546,A9,E_Measurements!$D$5:$D$546,"D1",E_Measurements!$O$5:$O$546,0)&gt;0,"N","Y"))</f>
        <v/>
      </c>
      <c r="R9" s="70"/>
      <c r="S9" s="13" t="str">
        <f aca="false">IF(COUNTIF(M9:R9,"Y")=6,"Y","N")</f>
        <v>N</v>
      </c>
      <c r="T9" s="13" t="str">
        <f aca="false">IF(L9="","",IF(OR(S9&lt;&gt;"Y",L9&lt;A_Scoring_Model!$C$33),"Not eligible",IF(L9&gt;=A_Scoring_Model!$C$30,"Tier 1 · Certified",IF(L9&gt;=A_Scoring_Model!$C$31,"Tier 2 · Conditional",IF(L9&gt;=A_Scoring_Model!$C$32,"Tier 3 · Group-local","Tier 4 · Rework")))))</f>
        <v/>
      </c>
      <c r="U9" s="13" t="str">
        <f aca="false">IF(OR(L9="",S9&lt;&gt;"Y"),"",COUNTIFS($A$5:$A$95,A9,$S$5:$S$95,"Y",$L$5:$L$95,"&gt;"&amp;L9)+1)</f>
        <v/>
      </c>
      <c r="V9" s="21" t="str">
        <f aca="false">A9&amp;"|"&amp;U9</f>
        <v>1.b|</v>
      </c>
    </row>
    <row r="10" customFormat="false" ht="15" hidden="false" customHeight="false" outlineLevel="0" collapsed="false">
      <c r="A10" s="13" t="s">
        <v>199</v>
      </c>
      <c r="B10" s="16" t="s">
        <v>200</v>
      </c>
      <c r="C10" s="13" t="s">
        <v>1351</v>
      </c>
      <c r="D10" s="21" t="n">
        <f aca="false">COUNTIFS(E_Measurements!$B$5:$B$546,A10,E_Measurements!$L$5:$L$546,"&lt;&gt;")</f>
        <v>0</v>
      </c>
      <c r="E10" s="21" t="n">
        <f aca="false">COUNTIF(E_Measurements!$B$5:$B$546,A10)</f>
        <v>18</v>
      </c>
      <c r="F10" s="56" t="str">
        <f aca="false">IFERROR(AVERAGEIFS(E_Measurements!$P$5:$P$546,E_Measurements!$B$5:$B$546,$A10,E_Measurements!$D$5:$D$546,"D1"),"")</f>
        <v/>
      </c>
      <c r="G10" s="56" t="str">
        <f aca="false">IFERROR(AVERAGEIFS(E_Measurements!$P$5:$P$546,E_Measurements!$B$5:$B$546,$A10,E_Measurements!$D$5:$D$546,"D2"),"")</f>
        <v/>
      </c>
      <c r="H10" s="56" t="str">
        <f aca="false">IFERROR(AVERAGEIFS(E_Measurements!$P$5:$P$546,E_Measurements!$B$5:$B$546,$A10,E_Measurements!$D$5:$D$546,"D3"),"")</f>
        <v/>
      </c>
      <c r="I10" s="56" t="str">
        <f aca="false">IFERROR(AVERAGEIFS(E_Measurements!$P$5:$P$546,E_Measurements!$B$5:$B$546,$A10,E_Measurements!$D$5:$D$546,"D4"),"")</f>
        <v/>
      </c>
      <c r="J10" s="56" t="str">
        <f aca="false">IFERROR(AVERAGEIFS(E_Measurements!$P$5:$P$546,E_Measurements!$B$5:$B$546,$A10,E_Measurements!$D$5:$D$546,"D5"),"")</f>
        <v/>
      </c>
      <c r="K10" s="56" t="str">
        <f aca="false">IFERROR(AVERAGEIFS(E_Measurements!$P$5:$P$546,E_Measurements!$B$5:$B$546,$A10,E_Measurements!$D$5:$D$546,"D6"),"")</f>
        <v/>
      </c>
      <c r="L10" s="69" t="str">
        <f aca="false">IF(COUNT(F10:K10)&lt;6,"",F10*A_Scoring_Model!$C$5+G10*A_Scoring_Model!$C$6+H10*A_Scoring_Model!$C$7+I10*A_Scoring_Model!$C$8+J10*A_Scoring_Model!$C$9+K10*A_Scoring_Model!$C$10)</f>
        <v/>
      </c>
      <c r="M10" s="70"/>
      <c r="N10" s="70"/>
      <c r="O10" s="70"/>
      <c r="P10" s="70"/>
      <c r="Q10" s="21" t="str">
        <f aca="false">IF(F10="","",IF(COUNTIFS(E_Measurements!$B$5:$B$546,A10,E_Measurements!$D$5:$D$546,"D1",E_Measurements!$P$5:$P$546,0)&gt;0,"N","Y"))</f>
        <v/>
      </c>
      <c r="R10" s="70"/>
      <c r="S10" s="13" t="str">
        <f aca="false">IF(COUNTIF(M10:R10,"Y")=6,"Y","N")</f>
        <v>N</v>
      </c>
      <c r="T10" s="13" t="str">
        <f aca="false">IF(L10="","",IF(OR(S10&lt;&gt;"Y",L10&lt;A_Scoring_Model!$C$33),"Not eligible",IF(L10&gt;=A_Scoring_Model!$C$30,"Tier 1 · Certified",IF(L10&gt;=A_Scoring_Model!$C$31,"Tier 2 · Conditional",IF(L10&gt;=A_Scoring_Model!$C$32,"Tier 3 · Group-local","Tier 4 · Rework")))))</f>
        <v/>
      </c>
      <c r="U10" s="13" t="str">
        <f aca="false">IF(OR(L10="",S10&lt;&gt;"Y"),"",COUNTIFS($A$5:$A$95,A10,$S$5:$S$95,"Y",$L$5:$L$95,"&gt;"&amp;L10)+1)</f>
        <v/>
      </c>
      <c r="V10" s="21" t="str">
        <f aca="false">A10&amp;"|"&amp;U10</f>
        <v>1.b|</v>
      </c>
    </row>
    <row r="11" customFormat="false" ht="15" hidden="false" customHeight="false" outlineLevel="0" collapsed="false">
      <c r="A11" s="68" t="s">
        <v>206</v>
      </c>
      <c r="B11" s="39" t="s">
        <v>207</v>
      </c>
      <c r="C11" s="68" t="s">
        <v>1348</v>
      </c>
      <c r="D11" s="21" t="n">
        <f aca="false">COUNTIFS(E_Measurements!$B$5:$B$546,A11,E_Measurements!$J$5:$J$546,"&lt;&gt;")</f>
        <v>0</v>
      </c>
      <c r="E11" s="21" t="n">
        <f aca="false">COUNTIF(E_Measurements!$B$5:$B$546,A11)</f>
        <v>19</v>
      </c>
      <c r="F11" s="56" t="str">
        <f aca="false">IFERROR(AVERAGEIFS(E_Measurements!$N$5:$N$546,E_Measurements!$B$5:$B$546,$A11,E_Measurements!$D$5:$D$546,"D1"),"")</f>
        <v/>
      </c>
      <c r="G11" s="56" t="str">
        <f aca="false">IFERROR(AVERAGEIFS(E_Measurements!$N$5:$N$546,E_Measurements!$B$5:$B$546,$A11,E_Measurements!$D$5:$D$546,"D2"),"")</f>
        <v/>
      </c>
      <c r="H11" s="56" t="str">
        <f aca="false">IFERROR(AVERAGEIFS(E_Measurements!$N$5:$N$546,E_Measurements!$B$5:$B$546,$A11,E_Measurements!$D$5:$D$546,"D3"),"")</f>
        <v/>
      </c>
      <c r="I11" s="56" t="str">
        <f aca="false">IFERROR(AVERAGEIFS(E_Measurements!$N$5:$N$546,E_Measurements!$B$5:$B$546,$A11,E_Measurements!$D$5:$D$546,"D4"),"")</f>
        <v/>
      </c>
      <c r="J11" s="56" t="str">
        <f aca="false">IFERROR(AVERAGEIFS(E_Measurements!$N$5:$N$546,E_Measurements!$B$5:$B$546,$A11,E_Measurements!$D$5:$D$546,"D5"),"")</f>
        <v/>
      </c>
      <c r="K11" s="56" t="str">
        <f aca="false">IFERROR(AVERAGEIFS(E_Measurements!$N$5:$N$546,E_Measurements!$B$5:$B$546,$A11,E_Measurements!$D$5:$D$546,"D6"),"")</f>
        <v/>
      </c>
      <c r="L11" s="69" t="str">
        <f aca="false">IF(COUNT(F11:K11)&lt;6,"",F11*A_Scoring_Model!$C$5+G11*A_Scoring_Model!$C$6+H11*A_Scoring_Model!$C$7+I11*A_Scoring_Model!$C$8+J11*A_Scoring_Model!$C$9+K11*A_Scoring_Model!$C$10)</f>
        <v/>
      </c>
      <c r="M11" s="70"/>
      <c r="N11" s="70"/>
      <c r="O11" s="70"/>
      <c r="P11" s="70"/>
      <c r="Q11" s="21" t="str">
        <f aca="false">IF(F11="","",IF(COUNTIFS(E_Measurements!$B$5:$B$546,A11,E_Measurements!$D$5:$D$546,"D1",E_Measurements!$N$5:$N$546,0)&gt;0,"N","Y"))</f>
        <v/>
      </c>
      <c r="R11" s="70"/>
      <c r="S11" s="13" t="str">
        <f aca="false">IF(COUNTIF(M11:R11,"Y")=6,"Y","N")</f>
        <v>N</v>
      </c>
      <c r="T11" s="13" t="str">
        <f aca="false">IF(L11="","",IF(OR(S11&lt;&gt;"Y",L11&lt;A_Scoring_Model!$C$33),"Not eligible",IF(L11&gt;=A_Scoring_Model!$C$30,"Tier 1 · Certified",IF(L11&gt;=A_Scoring_Model!$C$31,"Tier 2 · Conditional",IF(L11&gt;=A_Scoring_Model!$C$32,"Tier 3 · Group-local","Tier 4 · Rework")))))</f>
        <v/>
      </c>
      <c r="U11" s="13" t="str">
        <f aca="false">IF(OR(L11="",S11&lt;&gt;"Y"),"",COUNTIFS($A$5:$A$95,A11,$S$5:$S$95,"Y",$L$5:$L$95,"&gt;"&amp;L11)+1)</f>
        <v/>
      </c>
      <c r="V11" s="21" t="str">
        <f aca="false">A11&amp;"|"&amp;U11</f>
        <v>1.c|</v>
      </c>
    </row>
    <row r="12" customFormat="false" ht="15" hidden="false" customHeight="false" outlineLevel="0" collapsed="false">
      <c r="A12" s="68" t="s">
        <v>206</v>
      </c>
      <c r="B12" s="39" t="s">
        <v>207</v>
      </c>
      <c r="C12" s="68" t="s">
        <v>1350</v>
      </c>
      <c r="D12" s="21" t="n">
        <f aca="false">COUNTIFS(E_Measurements!$B$5:$B$546,A12,E_Measurements!$K$5:$K$546,"&lt;&gt;")</f>
        <v>0</v>
      </c>
      <c r="E12" s="21" t="n">
        <f aca="false">COUNTIF(E_Measurements!$B$5:$B$546,A12)</f>
        <v>19</v>
      </c>
      <c r="F12" s="56" t="str">
        <f aca="false">IFERROR(AVERAGEIFS(E_Measurements!$O$5:$O$546,E_Measurements!$B$5:$B$546,$A12,E_Measurements!$D$5:$D$546,"D1"),"")</f>
        <v/>
      </c>
      <c r="G12" s="56" t="str">
        <f aca="false">IFERROR(AVERAGEIFS(E_Measurements!$O$5:$O$546,E_Measurements!$B$5:$B$546,$A12,E_Measurements!$D$5:$D$546,"D2"),"")</f>
        <v/>
      </c>
      <c r="H12" s="56" t="str">
        <f aca="false">IFERROR(AVERAGEIFS(E_Measurements!$O$5:$O$546,E_Measurements!$B$5:$B$546,$A12,E_Measurements!$D$5:$D$546,"D3"),"")</f>
        <v/>
      </c>
      <c r="I12" s="56" t="str">
        <f aca="false">IFERROR(AVERAGEIFS(E_Measurements!$O$5:$O$546,E_Measurements!$B$5:$B$546,$A12,E_Measurements!$D$5:$D$546,"D4"),"")</f>
        <v/>
      </c>
      <c r="J12" s="56" t="str">
        <f aca="false">IFERROR(AVERAGEIFS(E_Measurements!$O$5:$O$546,E_Measurements!$B$5:$B$546,$A12,E_Measurements!$D$5:$D$546,"D5"),"")</f>
        <v/>
      </c>
      <c r="K12" s="56" t="str">
        <f aca="false">IFERROR(AVERAGEIFS(E_Measurements!$O$5:$O$546,E_Measurements!$B$5:$B$546,$A12,E_Measurements!$D$5:$D$546,"D6"),"")</f>
        <v/>
      </c>
      <c r="L12" s="69" t="str">
        <f aca="false">IF(COUNT(F12:K12)&lt;6,"",F12*A_Scoring_Model!$C$5+G12*A_Scoring_Model!$C$6+H12*A_Scoring_Model!$C$7+I12*A_Scoring_Model!$C$8+J12*A_Scoring_Model!$C$9+K12*A_Scoring_Model!$C$10)</f>
        <v/>
      </c>
      <c r="M12" s="70"/>
      <c r="N12" s="70"/>
      <c r="O12" s="70"/>
      <c r="P12" s="70"/>
      <c r="Q12" s="21" t="str">
        <f aca="false">IF(F12="","",IF(COUNTIFS(E_Measurements!$B$5:$B$546,A12,E_Measurements!$D$5:$D$546,"D1",E_Measurements!$O$5:$O$546,0)&gt;0,"N","Y"))</f>
        <v/>
      </c>
      <c r="R12" s="70"/>
      <c r="S12" s="13" t="str">
        <f aca="false">IF(COUNTIF(M12:R12,"Y")=6,"Y","N")</f>
        <v>N</v>
      </c>
      <c r="T12" s="13" t="str">
        <f aca="false">IF(L12="","",IF(OR(S12&lt;&gt;"Y",L12&lt;A_Scoring_Model!$C$33),"Not eligible",IF(L12&gt;=A_Scoring_Model!$C$30,"Tier 1 · Certified",IF(L12&gt;=A_Scoring_Model!$C$31,"Tier 2 · Conditional",IF(L12&gt;=A_Scoring_Model!$C$32,"Tier 3 · Group-local","Tier 4 · Rework")))))</f>
        <v/>
      </c>
      <c r="U12" s="13" t="str">
        <f aca="false">IF(OR(L12="",S12&lt;&gt;"Y"),"",COUNTIFS($A$5:$A$95,A12,$S$5:$S$95,"Y",$L$5:$L$95,"&gt;"&amp;L12)+1)</f>
        <v/>
      </c>
      <c r="V12" s="21" t="str">
        <f aca="false">A12&amp;"|"&amp;U12</f>
        <v>1.c|</v>
      </c>
    </row>
    <row r="13" customFormat="false" ht="15" hidden="false" customHeight="false" outlineLevel="0" collapsed="false">
      <c r="A13" s="68" t="s">
        <v>206</v>
      </c>
      <c r="B13" s="39" t="s">
        <v>207</v>
      </c>
      <c r="C13" s="68" t="s">
        <v>1351</v>
      </c>
      <c r="D13" s="21" t="n">
        <f aca="false">COUNTIFS(E_Measurements!$B$5:$B$546,A13,E_Measurements!$L$5:$L$546,"&lt;&gt;")</f>
        <v>0</v>
      </c>
      <c r="E13" s="21" t="n">
        <f aca="false">COUNTIF(E_Measurements!$B$5:$B$546,A13)</f>
        <v>19</v>
      </c>
      <c r="F13" s="56" t="str">
        <f aca="false">IFERROR(AVERAGEIFS(E_Measurements!$P$5:$P$546,E_Measurements!$B$5:$B$546,$A13,E_Measurements!$D$5:$D$546,"D1"),"")</f>
        <v/>
      </c>
      <c r="G13" s="56" t="str">
        <f aca="false">IFERROR(AVERAGEIFS(E_Measurements!$P$5:$P$546,E_Measurements!$B$5:$B$546,$A13,E_Measurements!$D$5:$D$546,"D2"),"")</f>
        <v/>
      </c>
      <c r="H13" s="56" t="str">
        <f aca="false">IFERROR(AVERAGEIFS(E_Measurements!$P$5:$P$546,E_Measurements!$B$5:$B$546,$A13,E_Measurements!$D$5:$D$546,"D3"),"")</f>
        <v/>
      </c>
      <c r="I13" s="56" t="str">
        <f aca="false">IFERROR(AVERAGEIFS(E_Measurements!$P$5:$P$546,E_Measurements!$B$5:$B$546,$A13,E_Measurements!$D$5:$D$546,"D4"),"")</f>
        <v/>
      </c>
      <c r="J13" s="56" t="str">
        <f aca="false">IFERROR(AVERAGEIFS(E_Measurements!$P$5:$P$546,E_Measurements!$B$5:$B$546,$A13,E_Measurements!$D$5:$D$546,"D5"),"")</f>
        <v/>
      </c>
      <c r="K13" s="56" t="str">
        <f aca="false">IFERROR(AVERAGEIFS(E_Measurements!$P$5:$P$546,E_Measurements!$B$5:$B$546,$A13,E_Measurements!$D$5:$D$546,"D6"),"")</f>
        <v/>
      </c>
      <c r="L13" s="69" t="str">
        <f aca="false">IF(COUNT(F13:K13)&lt;6,"",F13*A_Scoring_Model!$C$5+G13*A_Scoring_Model!$C$6+H13*A_Scoring_Model!$C$7+I13*A_Scoring_Model!$C$8+J13*A_Scoring_Model!$C$9+K13*A_Scoring_Model!$C$10)</f>
        <v/>
      </c>
      <c r="M13" s="70"/>
      <c r="N13" s="70"/>
      <c r="O13" s="70"/>
      <c r="P13" s="70"/>
      <c r="Q13" s="21" t="str">
        <f aca="false">IF(F13="","",IF(COUNTIFS(E_Measurements!$B$5:$B$546,A13,E_Measurements!$D$5:$D$546,"D1",E_Measurements!$P$5:$P$546,0)&gt;0,"N","Y"))</f>
        <v/>
      </c>
      <c r="R13" s="70"/>
      <c r="S13" s="13" t="str">
        <f aca="false">IF(COUNTIF(M13:R13,"Y")=6,"Y","N")</f>
        <v>N</v>
      </c>
      <c r="T13" s="13" t="str">
        <f aca="false">IF(L13="","",IF(OR(S13&lt;&gt;"Y",L13&lt;A_Scoring_Model!$C$33),"Not eligible",IF(L13&gt;=A_Scoring_Model!$C$30,"Tier 1 · Certified",IF(L13&gt;=A_Scoring_Model!$C$31,"Tier 2 · Conditional",IF(L13&gt;=A_Scoring_Model!$C$32,"Tier 3 · Group-local","Tier 4 · Rework")))))</f>
        <v/>
      </c>
      <c r="U13" s="13" t="str">
        <f aca="false">IF(OR(L13="",S13&lt;&gt;"Y"),"",COUNTIFS($A$5:$A$95,A13,$S$5:$S$95,"Y",$L$5:$L$95,"&gt;"&amp;L13)+1)</f>
        <v/>
      </c>
      <c r="V13" s="21" t="str">
        <f aca="false">A13&amp;"|"&amp;U13</f>
        <v>1.c|</v>
      </c>
    </row>
    <row r="14" customFormat="false" ht="15" hidden="false" customHeight="false" outlineLevel="0" collapsed="false">
      <c r="A14" s="13" t="s">
        <v>214</v>
      </c>
      <c r="B14" s="16" t="s">
        <v>215</v>
      </c>
      <c r="C14" s="13" t="s">
        <v>1348</v>
      </c>
      <c r="D14" s="21" t="n">
        <f aca="false">COUNTIFS(E_Measurements!$B$5:$B$546,A14,E_Measurements!$J$5:$J$546,"&lt;&gt;")</f>
        <v>0</v>
      </c>
      <c r="E14" s="21" t="n">
        <f aca="false">COUNTIF(E_Measurements!$B$5:$B$546,A14)</f>
        <v>17</v>
      </c>
      <c r="F14" s="56" t="str">
        <f aca="false">IFERROR(AVERAGEIFS(E_Measurements!$N$5:$N$546,E_Measurements!$B$5:$B$546,$A14,E_Measurements!$D$5:$D$546,"D1"),"")</f>
        <v/>
      </c>
      <c r="G14" s="56" t="str">
        <f aca="false">IFERROR(AVERAGEIFS(E_Measurements!$N$5:$N$546,E_Measurements!$B$5:$B$546,$A14,E_Measurements!$D$5:$D$546,"D2"),"")</f>
        <v/>
      </c>
      <c r="H14" s="56" t="str">
        <f aca="false">IFERROR(AVERAGEIFS(E_Measurements!$N$5:$N$546,E_Measurements!$B$5:$B$546,$A14,E_Measurements!$D$5:$D$546,"D3"),"")</f>
        <v/>
      </c>
      <c r="I14" s="56" t="str">
        <f aca="false">IFERROR(AVERAGEIFS(E_Measurements!$N$5:$N$546,E_Measurements!$B$5:$B$546,$A14,E_Measurements!$D$5:$D$546,"D4"),"")</f>
        <v/>
      </c>
      <c r="J14" s="56" t="str">
        <f aca="false">IFERROR(AVERAGEIFS(E_Measurements!$N$5:$N$546,E_Measurements!$B$5:$B$546,$A14,E_Measurements!$D$5:$D$546,"D5"),"")</f>
        <v/>
      </c>
      <c r="K14" s="56" t="str">
        <f aca="false">IFERROR(AVERAGEIFS(E_Measurements!$N$5:$N$546,E_Measurements!$B$5:$B$546,$A14,E_Measurements!$D$5:$D$546,"D6"),"")</f>
        <v/>
      </c>
      <c r="L14" s="69" t="str">
        <f aca="false">IF(COUNT(F14:K14)&lt;6,"",F14*A_Scoring_Model!$C$5+G14*A_Scoring_Model!$C$6+H14*A_Scoring_Model!$C$7+I14*A_Scoring_Model!$C$8+J14*A_Scoring_Model!$C$9+K14*A_Scoring_Model!$C$10)</f>
        <v/>
      </c>
      <c r="M14" s="70"/>
      <c r="N14" s="70"/>
      <c r="O14" s="70"/>
      <c r="P14" s="70"/>
      <c r="Q14" s="21" t="str">
        <f aca="false">IF(F14="","",IF(COUNTIFS(E_Measurements!$B$5:$B$546,A14,E_Measurements!$D$5:$D$546,"D1",E_Measurements!$N$5:$N$546,0)&gt;0,"N","Y"))</f>
        <v/>
      </c>
      <c r="R14" s="70"/>
      <c r="S14" s="13" t="str">
        <f aca="false">IF(COUNTIF(M14:R14,"Y")=6,"Y","N")</f>
        <v>N</v>
      </c>
      <c r="T14" s="13" t="str">
        <f aca="false">IF(L14="","",IF(OR(S14&lt;&gt;"Y",L14&lt;A_Scoring_Model!$C$33),"Not eligible",IF(L14&gt;=A_Scoring_Model!$C$30,"Tier 1 · Certified",IF(L14&gt;=A_Scoring_Model!$C$31,"Tier 2 · Conditional",IF(L14&gt;=A_Scoring_Model!$C$32,"Tier 3 · Group-local","Tier 4 · Rework")))))</f>
        <v/>
      </c>
      <c r="U14" s="13" t="str">
        <f aca="false">IF(OR(L14="",S14&lt;&gt;"Y"),"",COUNTIFS($A$5:$A$95,A14,$S$5:$S$95,"Y",$L$5:$L$95,"&gt;"&amp;L14)+1)</f>
        <v/>
      </c>
      <c r="V14" s="21" t="str">
        <f aca="false">A14&amp;"|"&amp;U14</f>
        <v>2.a|</v>
      </c>
    </row>
    <row r="15" customFormat="false" ht="15" hidden="false" customHeight="false" outlineLevel="0" collapsed="false">
      <c r="A15" s="13" t="s">
        <v>214</v>
      </c>
      <c r="B15" s="16" t="s">
        <v>215</v>
      </c>
      <c r="C15" s="13" t="s">
        <v>1350</v>
      </c>
      <c r="D15" s="21" t="n">
        <f aca="false">COUNTIFS(E_Measurements!$B$5:$B$546,A15,E_Measurements!$K$5:$K$546,"&lt;&gt;")</f>
        <v>0</v>
      </c>
      <c r="E15" s="21" t="n">
        <f aca="false">COUNTIF(E_Measurements!$B$5:$B$546,A15)</f>
        <v>17</v>
      </c>
      <c r="F15" s="56" t="str">
        <f aca="false">IFERROR(AVERAGEIFS(E_Measurements!$O$5:$O$546,E_Measurements!$B$5:$B$546,$A15,E_Measurements!$D$5:$D$546,"D1"),"")</f>
        <v/>
      </c>
      <c r="G15" s="56" t="str">
        <f aca="false">IFERROR(AVERAGEIFS(E_Measurements!$O$5:$O$546,E_Measurements!$B$5:$B$546,$A15,E_Measurements!$D$5:$D$546,"D2"),"")</f>
        <v/>
      </c>
      <c r="H15" s="56" t="str">
        <f aca="false">IFERROR(AVERAGEIFS(E_Measurements!$O$5:$O$546,E_Measurements!$B$5:$B$546,$A15,E_Measurements!$D$5:$D$546,"D3"),"")</f>
        <v/>
      </c>
      <c r="I15" s="56" t="str">
        <f aca="false">IFERROR(AVERAGEIFS(E_Measurements!$O$5:$O$546,E_Measurements!$B$5:$B$546,$A15,E_Measurements!$D$5:$D$546,"D4"),"")</f>
        <v/>
      </c>
      <c r="J15" s="56" t="str">
        <f aca="false">IFERROR(AVERAGEIFS(E_Measurements!$O$5:$O$546,E_Measurements!$B$5:$B$546,$A15,E_Measurements!$D$5:$D$546,"D5"),"")</f>
        <v/>
      </c>
      <c r="K15" s="56" t="str">
        <f aca="false">IFERROR(AVERAGEIFS(E_Measurements!$O$5:$O$546,E_Measurements!$B$5:$B$546,$A15,E_Measurements!$D$5:$D$546,"D6"),"")</f>
        <v/>
      </c>
      <c r="L15" s="69" t="str">
        <f aca="false">IF(COUNT(F15:K15)&lt;6,"",F15*A_Scoring_Model!$C$5+G15*A_Scoring_Model!$C$6+H15*A_Scoring_Model!$C$7+I15*A_Scoring_Model!$C$8+J15*A_Scoring_Model!$C$9+K15*A_Scoring_Model!$C$10)</f>
        <v/>
      </c>
      <c r="M15" s="70"/>
      <c r="N15" s="70"/>
      <c r="O15" s="70"/>
      <c r="P15" s="70"/>
      <c r="Q15" s="21" t="str">
        <f aca="false">IF(F15="","",IF(COUNTIFS(E_Measurements!$B$5:$B$546,A15,E_Measurements!$D$5:$D$546,"D1",E_Measurements!$O$5:$O$546,0)&gt;0,"N","Y"))</f>
        <v/>
      </c>
      <c r="R15" s="70"/>
      <c r="S15" s="13" t="str">
        <f aca="false">IF(COUNTIF(M15:R15,"Y")=6,"Y","N")</f>
        <v>N</v>
      </c>
      <c r="T15" s="13" t="str">
        <f aca="false">IF(L15="","",IF(OR(S15&lt;&gt;"Y",L15&lt;A_Scoring_Model!$C$33),"Not eligible",IF(L15&gt;=A_Scoring_Model!$C$30,"Tier 1 · Certified",IF(L15&gt;=A_Scoring_Model!$C$31,"Tier 2 · Conditional",IF(L15&gt;=A_Scoring_Model!$C$32,"Tier 3 · Group-local","Tier 4 · Rework")))))</f>
        <v/>
      </c>
      <c r="U15" s="13" t="str">
        <f aca="false">IF(OR(L15="",S15&lt;&gt;"Y"),"",COUNTIFS($A$5:$A$95,A15,$S$5:$S$95,"Y",$L$5:$L$95,"&gt;"&amp;L15)+1)</f>
        <v/>
      </c>
      <c r="V15" s="21" t="str">
        <f aca="false">A15&amp;"|"&amp;U15</f>
        <v>2.a|</v>
      </c>
    </row>
    <row r="16" customFormat="false" ht="15" hidden="false" customHeight="false" outlineLevel="0" collapsed="false">
      <c r="A16" s="13" t="s">
        <v>214</v>
      </c>
      <c r="B16" s="16" t="s">
        <v>215</v>
      </c>
      <c r="C16" s="13" t="s">
        <v>1351</v>
      </c>
      <c r="D16" s="21" t="n">
        <f aca="false">COUNTIFS(E_Measurements!$B$5:$B$546,A16,E_Measurements!$L$5:$L$546,"&lt;&gt;")</f>
        <v>0</v>
      </c>
      <c r="E16" s="21" t="n">
        <f aca="false">COUNTIF(E_Measurements!$B$5:$B$546,A16)</f>
        <v>17</v>
      </c>
      <c r="F16" s="56" t="str">
        <f aca="false">IFERROR(AVERAGEIFS(E_Measurements!$P$5:$P$546,E_Measurements!$B$5:$B$546,$A16,E_Measurements!$D$5:$D$546,"D1"),"")</f>
        <v/>
      </c>
      <c r="G16" s="56" t="str">
        <f aca="false">IFERROR(AVERAGEIFS(E_Measurements!$P$5:$P$546,E_Measurements!$B$5:$B$546,$A16,E_Measurements!$D$5:$D$546,"D2"),"")</f>
        <v/>
      </c>
      <c r="H16" s="56" t="str">
        <f aca="false">IFERROR(AVERAGEIFS(E_Measurements!$P$5:$P$546,E_Measurements!$B$5:$B$546,$A16,E_Measurements!$D$5:$D$546,"D3"),"")</f>
        <v/>
      </c>
      <c r="I16" s="56" t="str">
        <f aca="false">IFERROR(AVERAGEIFS(E_Measurements!$P$5:$P$546,E_Measurements!$B$5:$B$546,$A16,E_Measurements!$D$5:$D$546,"D4"),"")</f>
        <v/>
      </c>
      <c r="J16" s="56" t="str">
        <f aca="false">IFERROR(AVERAGEIFS(E_Measurements!$P$5:$P$546,E_Measurements!$B$5:$B$546,$A16,E_Measurements!$D$5:$D$546,"D5"),"")</f>
        <v/>
      </c>
      <c r="K16" s="56" t="str">
        <f aca="false">IFERROR(AVERAGEIFS(E_Measurements!$P$5:$P$546,E_Measurements!$B$5:$B$546,$A16,E_Measurements!$D$5:$D$546,"D6"),"")</f>
        <v/>
      </c>
      <c r="L16" s="69" t="str">
        <f aca="false">IF(COUNT(F16:K16)&lt;6,"",F16*A_Scoring_Model!$C$5+G16*A_Scoring_Model!$C$6+H16*A_Scoring_Model!$C$7+I16*A_Scoring_Model!$C$8+J16*A_Scoring_Model!$C$9+K16*A_Scoring_Model!$C$10)</f>
        <v/>
      </c>
      <c r="M16" s="70"/>
      <c r="N16" s="70"/>
      <c r="O16" s="70"/>
      <c r="P16" s="70"/>
      <c r="Q16" s="21" t="str">
        <f aca="false">IF(F16="","",IF(COUNTIFS(E_Measurements!$B$5:$B$546,A16,E_Measurements!$D$5:$D$546,"D1",E_Measurements!$P$5:$P$546,0)&gt;0,"N","Y"))</f>
        <v/>
      </c>
      <c r="R16" s="70"/>
      <c r="S16" s="13" t="str">
        <f aca="false">IF(COUNTIF(M16:R16,"Y")=6,"Y","N")</f>
        <v>N</v>
      </c>
      <c r="T16" s="13" t="str">
        <f aca="false">IF(L16="","",IF(OR(S16&lt;&gt;"Y",L16&lt;A_Scoring_Model!$C$33),"Not eligible",IF(L16&gt;=A_Scoring_Model!$C$30,"Tier 1 · Certified",IF(L16&gt;=A_Scoring_Model!$C$31,"Tier 2 · Conditional",IF(L16&gt;=A_Scoring_Model!$C$32,"Tier 3 · Group-local","Tier 4 · Rework")))))</f>
        <v/>
      </c>
      <c r="U16" s="13" t="str">
        <f aca="false">IF(OR(L16="",S16&lt;&gt;"Y"),"",COUNTIFS($A$5:$A$95,A16,$S$5:$S$95,"Y",$L$5:$L$95,"&gt;"&amp;L16)+1)</f>
        <v/>
      </c>
      <c r="V16" s="21" t="str">
        <f aca="false">A16&amp;"|"&amp;U16</f>
        <v>2.a|</v>
      </c>
    </row>
    <row r="17" customFormat="false" ht="15" hidden="false" customHeight="false" outlineLevel="0" collapsed="false">
      <c r="A17" s="68" t="s">
        <v>222</v>
      </c>
      <c r="B17" s="39" t="s">
        <v>223</v>
      </c>
      <c r="C17" s="68" t="s">
        <v>1348</v>
      </c>
      <c r="D17" s="21" t="n">
        <f aca="false">COUNTIFS(E_Measurements!$B$5:$B$546,A17,E_Measurements!$J$5:$J$546,"&lt;&gt;")</f>
        <v>0</v>
      </c>
      <c r="E17" s="21" t="n">
        <f aca="false">COUNTIF(E_Measurements!$B$5:$B$546,A17)</f>
        <v>18</v>
      </c>
      <c r="F17" s="56" t="str">
        <f aca="false">IFERROR(AVERAGEIFS(E_Measurements!$N$5:$N$546,E_Measurements!$B$5:$B$546,$A17,E_Measurements!$D$5:$D$546,"D1"),"")</f>
        <v/>
      </c>
      <c r="G17" s="56" t="str">
        <f aca="false">IFERROR(AVERAGEIFS(E_Measurements!$N$5:$N$546,E_Measurements!$B$5:$B$546,$A17,E_Measurements!$D$5:$D$546,"D2"),"")</f>
        <v/>
      </c>
      <c r="H17" s="56" t="str">
        <f aca="false">IFERROR(AVERAGEIFS(E_Measurements!$N$5:$N$546,E_Measurements!$B$5:$B$546,$A17,E_Measurements!$D$5:$D$546,"D3"),"")</f>
        <v/>
      </c>
      <c r="I17" s="56" t="str">
        <f aca="false">IFERROR(AVERAGEIFS(E_Measurements!$N$5:$N$546,E_Measurements!$B$5:$B$546,$A17,E_Measurements!$D$5:$D$546,"D4"),"")</f>
        <v/>
      </c>
      <c r="J17" s="56" t="str">
        <f aca="false">IFERROR(AVERAGEIFS(E_Measurements!$N$5:$N$546,E_Measurements!$B$5:$B$546,$A17,E_Measurements!$D$5:$D$546,"D5"),"")</f>
        <v/>
      </c>
      <c r="K17" s="56" t="str">
        <f aca="false">IFERROR(AVERAGEIFS(E_Measurements!$N$5:$N$546,E_Measurements!$B$5:$B$546,$A17,E_Measurements!$D$5:$D$546,"D6"),"")</f>
        <v/>
      </c>
      <c r="L17" s="69" t="str">
        <f aca="false">IF(COUNT(F17:K17)&lt;6,"",F17*A_Scoring_Model!$C$5+G17*A_Scoring_Model!$C$6+H17*A_Scoring_Model!$C$7+I17*A_Scoring_Model!$C$8+J17*A_Scoring_Model!$C$9+K17*A_Scoring_Model!$C$10)</f>
        <v/>
      </c>
      <c r="M17" s="70"/>
      <c r="N17" s="70"/>
      <c r="O17" s="70"/>
      <c r="P17" s="70"/>
      <c r="Q17" s="21" t="str">
        <f aca="false">IF(F17="","",IF(COUNTIFS(E_Measurements!$B$5:$B$546,A17,E_Measurements!$D$5:$D$546,"D1",E_Measurements!$N$5:$N$546,0)&gt;0,"N","Y"))</f>
        <v/>
      </c>
      <c r="R17" s="70"/>
      <c r="S17" s="13" t="str">
        <f aca="false">IF(COUNTIF(M17:R17,"Y")=6,"Y","N")</f>
        <v>N</v>
      </c>
      <c r="T17" s="13" t="str">
        <f aca="false">IF(L17="","",IF(OR(S17&lt;&gt;"Y",L17&lt;A_Scoring_Model!$C$33),"Not eligible",IF(L17&gt;=A_Scoring_Model!$C$30,"Tier 1 · Certified",IF(L17&gt;=A_Scoring_Model!$C$31,"Tier 2 · Conditional",IF(L17&gt;=A_Scoring_Model!$C$32,"Tier 3 · Group-local","Tier 4 · Rework")))))</f>
        <v/>
      </c>
      <c r="U17" s="13" t="str">
        <f aca="false">IF(OR(L17="",S17&lt;&gt;"Y"),"",COUNTIFS($A$5:$A$95,A17,$S$5:$S$95,"Y",$L$5:$L$95,"&gt;"&amp;L17)+1)</f>
        <v/>
      </c>
      <c r="V17" s="21" t="str">
        <f aca="false">A17&amp;"|"&amp;U17</f>
        <v>2.b|</v>
      </c>
    </row>
    <row r="18" customFormat="false" ht="15" hidden="false" customHeight="false" outlineLevel="0" collapsed="false">
      <c r="A18" s="68" t="s">
        <v>222</v>
      </c>
      <c r="B18" s="39" t="s">
        <v>223</v>
      </c>
      <c r="C18" s="68" t="s">
        <v>1350</v>
      </c>
      <c r="D18" s="21" t="n">
        <f aca="false">COUNTIFS(E_Measurements!$B$5:$B$546,A18,E_Measurements!$K$5:$K$546,"&lt;&gt;")</f>
        <v>0</v>
      </c>
      <c r="E18" s="21" t="n">
        <f aca="false">COUNTIF(E_Measurements!$B$5:$B$546,A18)</f>
        <v>18</v>
      </c>
      <c r="F18" s="56" t="str">
        <f aca="false">IFERROR(AVERAGEIFS(E_Measurements!$O$5:$O$546,E_Measurements!$B$5:$B$546,$A18,E_Measurements!$D$5:$D$546,"D1"),"")</f>
        <v/>
      </c>
      <c r="G18" s="56" t="str">
        <f aca="false">IFERROR(AVERAGEIFS(E_Measurements!$O$5:$O$546,E_Measurements!$B$5:$B$546,$A18,E_Measurements!$D$5:$D$546,"D2"),"")</f>
        <v/>
      </c>
      <c r="H18" s="56" t="str">
        <f aca="false">IFERROR(AVERAGEIFS(E_Measurements!$O$5:$O$546,E_Measurements!$B$5:$B$546,$A18,E_Measurements!$D$5:$D$546,"D3"),"")</f>
        <v/>
      </c>
      <c r="I18" s="56" t="str">
        <f aca="false">IFERROR(AVERAGEIFS(E_Measurements!$O$5:$O$546,E_Measurements!$B$5:$B$546,$A18,E_Measurements!$D$5:$D$546,"D4"),"")</f>
        <v/>
      </c>
      <c r="J18" s="56" t="str">
        <f aca="false">IFERROR(AVERAGEIFS(E_Measurements!$O$5:$O$546,E_Measurements!$B$5:$B$546,$A18,E_Measurements!$D$5:$D$546,"D5"),"")</f>
        <v/>
      </c>
      <c r="K18" s="56" t="str">
        <f aca="false">IFERROR(AVERAGEIFS(E_Measurements!$O$5:$O$546,E_Measurements!$B$5:$B$546,$A18,E_Measurements!$D$5:$D$546,"D6"),"")</f>
        <v/>
      </c>
      <c r="L18" s="69" t="str">
        <f aca="false">IF(COUNT(F18:K18)&lt;6,"",F18*A_Scoring_Model!$C$5+G18*A_Scoring_Model!$C$6+H18*A_Scoring_Model!$C$7+I18*A_Scoring_Model!$C$8+J18*A_Scoring_Model!$C$9+K18*A_Scoring_Model!$C$10)</f>
        <v/>
      </c>
      <c r="M18" s="70"/>
      <c r="N18" s="70"/>
      <c r="O18" s="70"/>
      <c r="P18" s="70"/>
      <c r="Q18" s="21" t="str">
        <f aca="false">IF(F18="","",IF(COUNTIFS(E_Measurements!$B$5:$B$546,A18,E_Measurements!$D$5:$D$546,"D1",E_Measurements!$O$5:$O$546,0)&gt;0,"N","Y"))</f>
        <v/>
      </c>
      <c r="R18" s="70"/>
      <c r="S18" s="13" t="str">
        <f aca="false">IF(COUNTIF(M18:R18,"Y")=6,"Y","N")</f>
        <v>N</v>
      </c>
      <c r="T18" s="13" t="str">
        <f aca="false">IF(L18="","",IF(OR(S18&lt;&gt;"Y",L18&lt;A_Scoring_Model!$C$33),"Not eligible",IF(L18&gt;=A_Scoring_Model!$C$30,"Tier 1 · Certified",IF(L18&gt;=A_Scoring_Model!$C$31,"Tier 2 · Conditional",IF(L18&gt;=A_Scoring_Model!$C$32,"Tier 3 · Group-local","Tier 4 · Rework")))))</f>
        <v/>
      </c>
      <c r="U18" s="13" t="str">
        <f aca="false">IF(OR(L18="",S18&lt;&gt;"Y"),"",COUNTIFS($A$5:$A$95,A18,$S$5:$S$95,"Y",$L$5:$L$95,"&gt;"&amp;L18)+1)</f>
        <v/>
      </c>
      <c r="V18" s="21" t="str">
        <f aca="false">A18&amp;"|"&amp;U18</f>
        <v>2.b|</v>
      </c>
    </row>
    <row r="19" customFormat="false" ht="15" hidden="false" customHeight="false" outlineLevel="0" collapsed="false">
      <c r="A19" s="68" t="s">
        <v>222</v>
      </c>
      <c r="B19" s="39" t="s">
        <v>223</v>
      </c>
      <c r="C19" s="68" t="s">
        <v>1351</v>
      </c>
      <c r="D19" s="21" t="n">
        <f aca="false">COUNTIFS(E_Measurements!$B$5:$B$546,A19,E_Measurements!$L$5:$L$546,"&lt;&gt;")</f>
        <v>0</v>
      </c>
      <c r="E19" s="21" t="n">
        <f aca="false">COUNTIF(E_Measurements!$B$5:$B$546,A19)</f>
        <v>18</v>
      </c>
      <c r="F19" s="56" t="str">
        <f aca="false">IFERROR(AVERAGEIFS(E_Measurements!$P$5:$P$546,E_Measurements!$B$5:$B$546,$A19,E_Measurements!$D$5:$D$546,"D1"),"")</f>
        <v/>
      </c>
      <c r="G19" s="56" t="str">
        <f aca="false">IFERROR(AVERAGEIFS(E_Measurements!$P$5:$P$546,E_Measurements!$B$5:$B$546,$A19,E_Measurements!$D$5:$D$546,"D2"),"")</f>
        <v/>
      </c>
      <c r="H19" s="56" t="str">
        <f aca="false">IFERROR(AVERAGEIFS(E_Measurements!$P$5:$P$546,E_Measurements!$B$5:$B$546,$A19,E_Measurements!$D$5:$D$546,"D3"),"")</f>
        <v/>
      </c>
      <c r="I19" s="56" t="str">
        <f aca="false">IFERROR(AVERAGEIFS(E_Measurements!$P$5:$P$546,E_Measurements!$B$5:$B$546,$A19,E_Measurements!$D$5:$D$546,"D4"),"")</f>
        <v/>
      </c>
      <c r="J19" s="56" t="str">
        <f aca="false">IFERROR(AVERAGEIFS(E_Measurements!$P$5:$P$546,E_Measurements!$B$5:$B$546,$A19,E_Measurements!$D$5:$D$546,"D5"),"")</f>
        <v/>
      </c>
      <c r="K19" s="56" t="str">
        <f aca="false">IFERROR(AVERAGEIFS(E_Measurements!$P$5:$P$546,E_Measurements!$B$5:$B$546,$A19,E_Measurements!$D$5:$D$546,"D6"),"")</f>
        <v/>
      </c>
      <c r="L19" s="69" t="str">
        <f aca="false">IF(COUNT(F19:K19)&lt;6,"",F19*A_Scoring_Model!$C$5+G19*A_Scoring_Model!$C$6+H19*A_Scoring_Model!$C$7+I19*A_Scoring_Model!$C$8+J19*A_Scoring_Model!$C$9+K19*A_Scoring_Model!$C$10)</f>
        <v/>
      </c>
      <c r="M19" s="70"/>
      <c r="N19" s="70"/>
      <c r="O19" s="70"/>
      <c r="P19" s="70"/>
      <c r="Q19" s="21" t="str">
        <f aca="false">IF(F19="","",IF(COUNTIFS(E_Measurements!$B$5:$B$546,A19,E_Measurements!$D$5:$D$546,"D1",E_Measurements!$P$5:$P$546,0)&gt;0,"N","Y"))</f>
        <v/>
      </c>
      <c r="R19" s="70"/>
      <c r="S19" s="13" t="str">
        <f aca="false">IF(COUNTIF(M19:R19,"Y")=6,"Y","N")</f>
        <v>N</v>
      </c>
      <c r="T19" s="13" t="str">
        <f aca="false">IF(L19="","",IF(OR(S19&lt;&gt;"Y",L19&lt;A_Scoring_Model!$C$33),"Not eligible",IF(L19&gt;=A_Scoring_Model!$C$30,"Tier 1 · Certified",IF(L19&gt;=A_Scoring_Model!$C$31,"Tier 2 · Conditional",IF(L19&gt;=A_Scoring_Model!$C$32,"Tier 3 · Group-local","Tier 4 · Rework")))))</f>
        <v/>
      </c>
      <c r="U19" s="13" t="str">
        <f aca="false">IF(OR(L19="",S19&lt;&gt;"Y"),"",COUNTIFS($A$5:$A$95,A19,$S$5:$S$95,"Y",$L$5:$L$95,"&gt;"&amp;L19)+1)</f>
        <v/>
      </c>
      <c r="V19" s="21" t="str">
        <f aca="false">A19&amp;"|"&amp;U19</f>
        <v>2.b|</v>
      </c>
    </row>
    <row r="20" customFormat="false" ht="15" hidden="false" customHeight="false" outlineLevel="0" collapsed="false">
      <c r="A20" s="13" t="s">
        <v>230</v>
      </c>
      <c r="B20" s="16" t="s">
        <v>231</v>
      </c>
      <c r="C20" s="13" t="s">
        <v>1348</v>
      </c>
      <c r="D20" s="21" t="n">
        <f aca="false">COUNTIFS(E_Measurements!$B$5:$B$546,A20,E_Measurements!$J$5:$J$546,"&lt;&gt;")</f>
        <v>0</v>
      </c>
      <c r="E20" s="21" t="n">
        <f aca="false">COUNTIF(E_Measurements!$B$5:$B$546,A20)</f>
        <v>17</v>
      </c>
      <c r="F20" s="56" t="str">
        <f aca="false">IFERROR(AVERAGEIFS(E_Measurements!$N$5:$N$546,E_Measurements!$B$5:$B$546,$A20,E_Measurements!$D$5:$D$546,"D1"),"")</f>
        <v/>
      </c>
      <c r="G20" s="56" t="str">
        <f aca="false">IFERROR(AVERAGEIFS(E_Measurements!$N$5:$N$546,E_Measurements!$B$5:$B$546,$A20,E_Measurements!$D$5:$D$546,"D2"),"")</f>
        <v/>
      </c>
      <c r="H20" s="56" t="str">
        <f aca="false">IFERROR(AVERAGEIFS(E_Measurements!$N$5:$N$546,E_Measurements!$B$5:$B$546,$A20,E_Measurements!$D$5:$D$546,"D3"),"")</f>
        <v/>
      </c>
      <c r="I20" s="56" t="str">
        <f aca="false">IFERROR(AVERAGEIFS(E_Measurements!$N$5:$N$546,E_Measurements!$B$5:$B$546,$A20,E_Measurements!$D$5:$D$546,"D4"),"")</f>
        <v/>
      </c>
      <c r="J20" s="56" t="str">
        <f aca="false">IFERROR(AVERAGEIFS(E_Measurements!$N$5:$N$546,E_Measurements!$B$5:$B$546,$A20,E_Measurements!$D$5:$D$546,"D5"),"")</f>
        <v/>
      </c>
      <c r="K20" s="56" t="str">
        <f aca="false">IFERROR(AVERAGEIFS(E_Measurements!$N$5:$N$546,E_Measurements!$B$5:$B$546,$A20,E_Measurements!$D$5:$D$546,"D6"),"")</f>
        <v/>
      </c>
      <c r="L20" s="69" t="str">
        <f aca="false">IF(COUNT(F20:K20)&lt;6,"",F20*A_Scoring_Model!$C$5+G20*A_Scoring_Model!$C$6+H20*A_Scoring_Model!$C$7+I20*A_Scoring_Model!$C$8+J20*A_Scoring_Model!$C$9+K20*A_Scoring_Model!$C$10)</f>
        <v/>
      </c>
      <c r="M20" s="70"/>
      <c r="N20" s="70"/>
      <c r="O20" s="70"/>
      <c r="P20" s="70"/>
      <c r="Q20" s="21" t="str">
        <f aca="false">IF(F20="","",IF(COUNTIFS(E_Measurements!$B$5:$B$546,A20,E_Measurements!$D$5:$D$546,"D1",E_Measurements!$N$5:$N$546,0)&gt;0,"N","Y"))</f>
        <v/>
      </c>
      <c r="R20" s="70"/>
      <c r="S20" s="13" t="str">
        <f aca="false">IF(COUNTIF(M20:R20,"Y")=6,"Y","N")</f>
        <v>N</v>
      </c>
      <c r="T20" s="13" t="str">
        <f aca="false">IF(L20="","",IF(OR(S20&lt;&gt;"Y",L20&lt;A_Scoring_Model!$C$33),"Not eligible",IF(L20&gt;=A_Scoring_Model!$C$30,"Tier 1 · Certified",IF(L20&gt;=A_Scoring_Model!$C$31,"Tier 2 · Conditional",IF(L20&gt;=A_Scoring_Model!$C$32,"Tier 3 · Group-local","Tier 4 · Rework")))))</f>
        <v/>
      </c>
      <c r="U20" s="13" t="str">
        <f aca="false">IF(OR(L20="",S20&lt;&gt;"Y"),"",COUNTIFS($A$5:$A$95,A20,$S$5:$S$95,"Y",$L$5:$L$95,"&gt;"&amp;L20)+1)</f>
        <v/>
      </c>
      <c r="V20" s="21" t="str">
        <f aca="false">A20&amp;"|"&amp;U20</f>
        <v>2.c|</v>
      </c>
    </row>
    <row r="21" customFormat="false" ht="15" hidden="false" customHeight="false" outlineLevel="0" collapsed="false">
      <c r="A21" s="13" t="s">
        <v>230</v>
      </c>
      <c r="B21" s="16" t="s">
        <v>231</v>
      </c>
      <c r="C21" s="13" t="s">
        <v>1350</v>
      </c>
      <c r="D21" s="21" t="n">
        <f aca="false">COUNTIFS(E_Measurements!$B$5:$B$546,A21,E_Measurements!$K$5:$K$546,"&lt;&gt;")</f>
        <v>0</v>
      </c>
      <c r="E21" s="21" t="n">
        <f aca="false">COUNTIF(E_Measurements!$B$5:$B$546,A21)</f>
        <v>17</v>
      </c>
      <c r="F21" s="56" t="str">
        <f aca="false">IFERROR(AVERAGEIFS(E_Measurements!$O$5:$O$546,E_Measurements!$B$5:$B$546,$A21,E_Measurements!$D$5:$D$546,"D1"),"")</f>
        <v/>
      </c>
      <c r="G21" s="56" t="str">
        <f aca="false">IFERROR(AVERAGEIFS(E_Measurements!$O$5:$O$546,E_Measurements!$B$5:$B$546,$A21,E_Measurements!$D$5:$D$546,"D2"),"")</f>
        <v/>
      </c>
      <c r="H21" s="56" t="str">
        <f aca="false">IFERROR(AVERAGEIFS(E_Measurements!$O$5:$O$546,E_Measurements!$B$5:$B$546,$A21,E_Measurements!$D$5:$D$546,"D3"),"")</f>
        <v/>
      </c>
      <c r="I21" s="56" t="str">
        <f aca="false">IFERROR(AVERAGEIFS(E_Measurements!$O$5:$O$546,E_Measurements!$B$5:$B$546,$A21,E_Measurements!$D$5:$D$546,"D4"),"")</f>
        <v/>
      </c>
      <c r="J21" s="56" t="str">
        <f aca="false">IFERROR(AVERAGEIFS(E_Measurements!$O$5:$O$546,E_Measurements!$B$5:$B$546,$A21,E_Measurements!$D$5:$D$546,"D5"),"")</f>
        <v/>
      </c>
      <c r="K21" s="56" t="str">
        <f aca="false">IFERROR(AVERAGEIFS(E_Measurements!$O$5:$O$546,E_Measurements!$B$5:$B$546,$A21,E_Measurements!$D$5:$D$546,"D6"),"")</f>
        <v/>
      </c>
      <c r="L21" s="69" t="str">
        <f aca="false">IF(COUNT(F21:K21)&lt;6,"",F21*A_Scoring_Model!$C$5+G21*A_Scoring_Model!$C$6+H21*A_Scoring_Model!$C$7+I21*A_Scoring_Model!$C$8+J21*A_Scoring_Model!$C$9+K21*A_Scoring_Model!$C$10)</f>
        <v/>
      </c>
      <c r="M21" s="70"/>
      <c r="N21" s="70"/>
      <c r="O21" s="70"/>
      <c r="P21" s="70"/>
      <c r="Q21" s="21" t="str">
        <f aca="false">IF(F21="","",IF(COUNTIFS(E_Measurements!$B$5:$B$546,A21,E_Measurements!$D$5:$D$546,"D1",E_Measurements!$O$5:$O$546,0)&gt;0,"N","Y"))</f>
        <v/>
      </c>
      <c r="R21" s="70"/>
      <c r="S21" s="13" t="str">
        <f aca="false">IF(COUNTIF(M21:R21,"Y")=6,"Y","N")</f>
        <v>N</v>
      </c>
      <c r="T21" s="13" t="str">
        <f aca="false">IF(L21="","",IF(OR(S21&lt;&gt;"Y",L21&lt;A_Scoring_Model!$C$33),"Not eligible",IF(L21&gt;=A_Scoring_Model!$C$30,"Tier 1 · Certified",IF(L21&gt;=A_Scoring_Model!$C$31,"Tier 2 · Conditional",IF(L21&gt;=A_Scoring_Model!$C$32,"Tier 3 · Group-local","Tier 4 · Rework")))))</f>
        <v/>
      </c>
      <c r="U21" s="13" t="str">
        <f aca="false">IF(OR(L21="",S21&lt;&gt;"Y"),"",COUNTIFS($A$5:$A$95,A21,$S$5:$S$95,"Y",$L$5:$L$95,"&gt;"&amp;L21)+1)</f>
        <v/>
      </c>
      <c r="V21" s="21" t="str">
        <f aca="false">A21&amp;"|"&amp;U21</f>
        <v>2.c|</v>
      </c>
    </row>
    <row r="22" customFormat="false" ht="15" hidden="false" customHeight="false" outlineLevel="0" collapsed="false">
      <c r="A22" s="13" t="s">
        <v>230</v>
      </c>
      <c r="B22" s="16" t="s">
        <v>231</v>
      </c>
      <c r="C22" s="13" t="s">
        <v>1351</v>
      </c>
      <c r="D22" s="21" t="n">
        <f aca="false">COUNTIFS(E_Measurements!$B$5:$B$546,A22,E_Measurements!$L$5:$L$546,"&lt;&gt;")</f>
        <v>0</v>
      </c>
      <c r="E22" s="21" t="n">
        <f aca="false">COUNTIF(E_Measurements!$B$5:$B$546,A22)</f>
        <v>17</v>
      </c>
      <c r="F22" s="56" t="str">
        <f aca="false">IFERROR(AVERAGEIFS(E_Measurements!$P$5:$P$546,E_Measurements!$B$5:$B$546,$A22,E_Measurements!$D$5:$D$546,"D1"),"")</f>
        <v/>
      </c>
      <c r="G22" s="56" t="str">
        <f aca="false">IFERROR(AVERAGEIFS(E_Measurements!$P$5:$P$546,E_Measurements!$B$5:$B$546,$A22,E_Measurements!$D$5:$D$546,"D2"),"")</f>
        <v/>
      </c>
      <c r="H22" s="56" t="str">
        <f aca="false">IFERROR(AVERAGEIFS(E_Measurements!$P$5:$P$546,E_Measurements!$B$5:$B$546,$A22,E_Measurements!$D$5:$D$546,"D3"),"")</f>
        <v/>
      </c>
      <c r="I22" s="56" t="str">
        <f aca="false">IFERROR(AVERAGEIFS(E_Measurements!$P$5:$P$546,E_Measurements!$B$5:$B$546,$A22,E_Measurements!$D$5:$D$546,"D4"),"")</f>
        <v/>
      </c>
      <c r="J22" s="56" t="str">
        <f aca="false">IFERROR(AVERAGEIFS(E_Measurements!$P$5:$P$546,E_Measurements!$B$5:$B$546,$A22,E_Measurements!$D$5:$D$546,"D5"),"")</f>
        <v/>
      </c>
      <c r="K22" s="56" t="str">
        <f aca="false">IFERROR(AVERAGEIFS(E_Measurements!$P$5:$P$546,E_Measurements!$B$5:$B$546,$A22,E_Measurements!$D$5:$D$546,"D6"),"")</f>
        <v/>
      </c>
      <c r="L22" s="69" t="str">
        <f aca="false">IF(COUNT(F22:K22)&lt;6,"",F22*A_Scoring_Model!$C$5+G22*A_Scoring_Model!$C$6+H22*A_Scoring_Model!$C$7+I22*A_Scoring_Model!$C$8+J22*A_Scoring_Model!$C$9+K22*A_Scoring_Model!$C$10)</f>
        <v/>
      </c>
      <c r="M22" s="70"/>
      <c r="N22" s="70"/>
      <c r="O22" s="70"/>
      <c r="P22" s="70"/>
      <c r="Q22" s="21" t="str">
        <f aca="false">IF(F22="","",IF(COUNTIFS(E_Measurements!$B$5:$B$546,A22,E_Measurements!$D$5:$D$546,"D1",E_Measurements!$P$5:$P$546,0)&gt;0,"N","Y"))</f>
        <v/>
      </c>
      <c r="R22" s="70"/>
      <c r="S22" s="13" t="str">
        <f aca="false">IF(COUNTIF(M22:R22,"Y")=6,"Y","N")</f>
        <v>N</v>
      </c>
      <c r="T22" s="13" t="str">
        <f aca="false">IF(L22="","",IF(OR(S22&lt;&gt;"Y",L22&lt;A_Scoring_Model!$C$33),"Not eligible",IF(L22&gt;=A_Scoring_Model!$C$30,"Tier 1 · Certified",IF(L22&gt;=A_Scoring_Model!$C$31,"Tier 2 · Conditional",IF(L22&gt;=A_Scoring_Model!$C$32,"Tier 3 · Group-local","Tier 4 · Rework")))))</f>
        <v/>
      </c>
      <c r="U22" s="13" t="str">
        <f aca="false">IF(OR(L22="",S22&lt;&gt;"Y"),"",COUNTIFS($A$5:$A$95,A22,$S$5:$S$95,"Y",$L$5:$L$95,"&gt;"&amp;L22)+1)</f>
        <v/>
      </c>
      <c r="V22" s="21" t="str">
        <f aca="false">A22&amp;"|"&amp;U22</f>
        <v>2.c|</v>
      </c>
    </row>
    <row r="23" customFormat="false" ht="15" hidden="false" customHeight="false" outlineLevel="0" collapsed="false">
      <c r="A23" s="68" t="s">
        <v>239</v>
      </c>
      <c r="B23" s="39" t="s">
        <v>240</v>
      </c>
      <c r="C23" s="68" t="s">
        <v>1348</v>
      </c>
      <c r="D23" s="21" t="n">
        <f aca="false">COUNTIFS(E_Measurements!$B$5:$B$546,A23,E_Measurements!$J$5:$J$546,"&lt;&gt;")</f>
        <v>0</v>
      </c>
      <c r="E23" s="21" t="n">
        <f aca="false">COUNTIF(E_Measurements!$B$5:$B$546,A23)</f>
        <v>19</v>
      </c>
      <c r="F23" s="56" t="str">
        <f aca="false">IFERROR(AVERAGEIFS(E_Measurements!$N$5:$N$546,E_Measurements!$B$5:$B$546,$A23,E_Measurements!$D$5:$D$546,"D1"),"")</f>
        <v/>
      </c>
      <c r="G23" s="56" t="str">
        <f aca="false">IFERROR(AVERAGEIFS(E_Measurements!$N$5:$N$546,E_Measurements!$B$5:$B$546,$A23,E_Measurements!$D$5:$D$546,"D2"),"")</f>
        <v/>
      </c>
      <c r="H23" s="56" t="str">
        <f aca="false">IFERROR(AVERAGEIFS(E_Measurements!$N$5:$N$546,E_Measurements!$B$5:$B$546,$A23,E_Measurements!$D$5:$D$546,"D3"),"")</f>
        <v/>
      </c>
      <c r="I23" s="56" t="str">
        <f aca="false">IFERROR(AVERAGEIFS(E_Measurements!$N$5:$N$546,E_Measurements!$B$5:$B$546,$A23,E_Measurements!$D$5:$D$546,"D4"),"")</f>
        <v/>
      </c>
      <c r="J23" s="56" t="str">
        <f aca="false">IFERROR(AVERAGEIFS(E_Measurements!$N$5:$N$546,E_Measurements!$B$5:$B$546,$A23,E_Measurements!$D$5:$D$546,"D5"),"")</f>
        <v/>
      </c>
      <c r="K23" s="56" t="str">
        <f aca="false">IFERROR(AVERAGEIFS(E_Measurements!$N$5:$N$546,E_Measurements!$B$5:$B$546,$A23,E_Measurements!$D$5:$D$546,"D6"),"")</f>
        <v/>
      </c>
      <c r="L23" s="69" t="str">
        <f aca="false">IF(COUNT(F23:K23)&lt;6,"",F23*A_Scoring_Model!$C$5+G23*A_Scoring_Model!$C$6+H23*A_Scoring_Model!$C$7+I23*A_Scoring_Model!$C$8+J23*A_Scoring_Model!$C$9+K23*A_Scoring_Model!$C$10)</f>
        <v/>
      </c>
      <c r="M23" s="70"/>
      <c r="N23" s="70"/>
      <c r="O23" s="70"/>
      <c r="P23" s="70"/>
      <c r="Q23" s="21" t="str">
        <f aca="false">IF(F23="","",IF(COUNTIFS(E_Measurements!$B$5:$B$546,A23,E_Measurements!$D$5:$D$546,"D1",E_Measurements!$N$5:$N$546,0)&gt;0,"N","Y"))</f>
        <v/>
      </c>
      <c r="R23" s="70"/>
      <c r="S23" s="13" t="str">
        <f aca="false">IF(COUNTIF(M23:R23,"Y")=6,"Y","N")</f>
        <v>N</v>
      </c>
      <c r="T23" s="13" t="str">
        <f aca="false">IF(L23="","",IF(OR(S23&lt;&gt;"Y",L23&lt;A_Scoring_Model!$C$33),"Not eligible",IF(L23&gt;=A_Scoring_Model!$C$30,"Tier 1 · Certified",IF(L23&gt;=A_Scoring_Model!$C$31,"Tier 2 · Conditional",IF(L23&gt;=A_Scoring_Model!$C$32,"Tier 3 · Group-local","Tier 4 · Rework")))))</f>
        <v/>
      </c>
      <c r="U23" s="13" t="str">
        <f aca="false">IF(OR(L23="",S23&lt;&gt;"Y"),"",COUNTIFS($A$5:$A$95,A23,$S$5:$S$95,"Y",$L$5:$L$95,"&gt;"&amp;L23)+1)</f>
        <v/>
      </c>
      <c r="V23" s="21" t="str">
        <f aca="false">A23&amp;"|"&amp;U23</f>
        <v>3.a|</v>
      </c>
    </row>
    <row r="24" customFormat="false" ht="15" hidden="false" customHeight="false" outlineLevel="0" collapsed="false">
      <c r="A24" s="68" t="s">
        <v>239</v>
      </c>
      <c r="B24" s="39" t="s">
        <v>240</v>
      </c>
      <c r="C24" s="68" t="s">
        <v>1350</v>
      </c>
      <c r="D24" s="21" t="n">
        <f aca="false">COUNTIFS(E_Measurements!$B$5:$B$546,A24,E_Measurements!$K$5:$K$546,"&lt;&gt;")</f>
        <v>0</v>
      </c>
      <c r="E24" s="21" t="n">
        <f aca="false">COUNTIF(E_Measurements!$B$5:$B$546,A24)</f>
        <v>19</v>
      </c>
      <c r="F24" s="56" t="str">
        <f aca="false">IFERROR(AVERAGEIFS(E_Measurements!$O$5:$O$546,E_Measurements!$B$5:$B$546,$A24,E_Measurements!$D$5:$D$546,"D1"),"")</f>
        <v/>
      </c>
      <c r="G24" s="56" t="str">
        <f aca="false">IFERROR(AVERAGEIFS(E_Measurements!$O$5:$O$546,E_Measurements!$B$5:$B$546,$A24,E_Measurements!$D$5:$D$546,"D2"),"")</f>
        <v/>
      </c>
      <c r="H24" s="56" t="str">
        <f aca="false">IFERROR(AVERAGEIFS(E_Measurements!$O$5:$O$546,E_Measurements!$B$5:$B$546,$A24,E_Measurements!$D$5:$D$546,"D3"),"")</f>
        <v/>
      </c>
      <c r="I24" s="56" t="str">
        <f aca="false">IFERROR(AVERAGEIFS(E_Measurements!$O$5:$O$546,E_Measurements!$B$5:$B$546,$A24,E_Measurements!$D$5:$D$546,"D4"),"")</f>
        <v/>
      </c>
      <c r="J24" s="56" t="str">
        <f aca="false">IFERROR(AVERAGEIFS(E_Measurements!$O$5:$O$546,E_Measurements!$B$5:$B$546,$A24,E_Measurements!$D$5:$D$546,"D5"),"")</f>
        <v/>
      </c>
      <c r="K24" s="56" t="str">
        <f aca="false">IFERROR(AVERAGEIFS(E_Measurements!$O$5:$O$546,E_Measurements!$B$5:$B$546,$A24,E_Measurements!$D$5:$D$546,"D6"),"")</f>
        <v/>
      </c>
      <c r="L24" s="69" t="str">
        <f aca="false">IF(COUNT(F24:K24)&lt;6,"",F24*A_Scoring_Model!$C$5+G24*A_Scoring_Model!$C$6+H24*A_Scoring_Model!$C$7+I24*A_Scoring_Model!$C$8+J24*A_Scoring_Model!$C$9+K24*A_Scoring_Model!$C$10)</f>
        <v/>
      </c>
      <c r="M24" s="70"/>
      <c r="N24" s="70"/>
      <c r="O24" s="70"/>
      <c r="P24" s="70"/>
      <c r="Q24" s="21" t="str">
        <f aca="false">IF(F24="","",IF(COUNTIFS(E_Measurements!$B$5:$B$546,A24,E_Measurements!$D$5:$D$546,"D1",E_Measurements!$O$5:$O$546,0)&gt;0,"N","Y"))</f>
        <v/>
      </c>
      <c r="R24" s="70"/>
      <c r="S24" s="13" t="str">
        <f aca="false">IF(COUNTIF(M24:R24,"Y")=6,"Y","N")</f>
        <v>N</v>
      </c>
      <c r="T24" s="13" t="str">
        <f aca="false">IF(L24="","",IF(OR(S24&lt;&gt;"Y",L24&lt;A_Scoring_Model!$C$33),"Not eligible",IF(L24&gt;=A_Scoring_Model!$C$30,"Tier 1 · Certified",IF(L24&gt;=A_Scoring_Model!$C$31,"Tier 2 · Conditional",IF(L24&gt;=A_Scoring_Model!$C$32,"Tier 3 · Group-local","Tier 4 · Rework")))))</f>
        <v/>
      </c>
      <c r="U24" s="13" t="str">
        <f aca="false">IF(OR(L24="",S24&lt;&gt;"Y"),"",COUNTIFS($A$5:$A$95,A24,$S$5:$S$95,"Y",$L$5:$L$95,"&gt;"&amp;L24)+1)</f>
        <v/>
      </c>
      <c r="V24" s="21" t="str">
        <f aca="false">A24&amp;"|"&amp;U24</f>
        <v>3.a|</v>
      </c>
    </row>
    <row r="25" customFormat="false" ht="15" hidden="false" customHeight="false" outlineLevel="0" collapsed="false">
      <c r="A25" s="68" t="s">
        <v>239</v>
      </c>
      <c r="B25" s="39" t="s">
        <v>240</v>
      </c>
      <c r="C25" s="68" t="s">
        <v>1351</v>
      </c>
      <c r="D25" s="21" t="n">
        <f aca="false">COUNTIFS(E_Measurements!$B$5:$B$546,A25,E_Measurements!$L$5:$L$546,"&lt;&gt;")</f>
        <v>0</v>
      </c>
      <c r="E25" s="21" t="n">
        <f aca="false">COUNTIF(E_Measurements!$B$5:$B$546,A25)</f>
        <v>19</v>
      </c>
      <c r="F25" s="56" t="str">
        <f aca="false">IFERROR(AVERAGEIFS(E_Measurements!$P$5:$P$546,E_Measurements!$B$5:$B$546,$A25,E_Measurements!$D$5:$D$546,"D1"),"")</f>
        <v/>
      </c>
      <c r="G25" s="56" t="str">
        <f aca="false">IFERROR(AVERAGEIFS(E_Measurements!$P$5:$P$546,E_Measurements!$B$5:$B$546,$A25,E_Measurements!$D$5:$D$546,"D2"),"")</f>
        <v/>
      </c>
      <c r="H25" s="56" t="str">
        <f aca="false">IFERROR(AVERAGEIFS(E_Measurements!$P$5:$P$546,E_Measurements!$B$5:$B$546,$A25,E_Measurements!$D$5:$D$546,"D3"),"")</f>
        <v/>
      </c>
      <c r="I25" s="56" t="str">
        <f aca="false">IFERROR(AVERAGEIFS(E_Measurements!$P$5:$P$546,E_Measurements!$B$5:$B$546,$A25,E_Measurements!$D$5:$D$546,"D4"),"")</f>
        <v/>
      </c>
      <c r="J25" s="56" t="str">
        <f aca="false">IFERROR(AVERAGEIFS(E_Measurements!$P$5:$P$546,E_Measurements!$B$5:$B$546,$A25,E_Measurements!$D$5:$D$546,"D5"),"")</f>
        <v/>
      </c>
      <c r="K25" s="56" t="str">
        <f aca="false">IFERROR(AVERAGEIFS(E_Measurements!$P$5:$P$546,E_Measurements!$B$5:$B$546,$A25,E_Measurements!$D$5:$D$546,"D6"),"")</f>
        <v/>
      </c>
      <c r="L25" s="69" t="str">
        <f aca="false">IF(COUNT(F25:K25)&lt;6,"",F25*A_Scoring_Model!$C$5+G25*A_Scoring_Model!$C$6+H25*A_Scoring_Model!$C$7+I25*A_Scoring_Model!$C$8+J25*A_Scoring_Model!$C$9+K25*A_Scoring_Model!$C$10)</f>
        <v/>
      </c>
      <c r="M25" s="70"/>
      <c r="N25" s="70"/>
      <c r="O25" s="70"/>
      <c r="P25" s="70"/>
      <c r="Q25" s="21" t="str">
        <f aca="false">IF(F25="","",IF(COUNTIFS(E_Measurements!$B$5:$B$546,A25,E_Measurements!$D$5:$D$546,"D1",E_Measurements!$P$5:$P$546,0)&gt;0,"N","Y"))</f>
        <v/>
      </c>
      <c r="R25" s="70"/>
      <c r="S25" s="13" t="str">
        <f aca="false">IF(COUNTIF(M25:R25,"Y")=6,"Y","N")</f>
        <v>N</v>
      </c>
      <c r="T25" s="13" t="str">
        <f aca="false">IF(L25="","",IF(OR(S25&lt;&gt;"Y",L25&lt;A_Scoring_Model!$C$33),"Not eligible",IF(L25&gt;=A_Scoring_Model!$C$30,"Tier 1 · Certified",IF(L25&gt;=A_Scoring_Model!$C$31,"Tier 2 · Conditional",IF(L25&gt;=A_Scoring_Model!$C$32,"Tier 3 · Group-local","Tier 4 · Rework")))))</f>
        <v/>
      </c>
      <c r="U25" s="13" t="str">
        <f aca="false">IF(OR(L25="",S25&lt;&gt;"Y"),"",COUNTIFS($A$5:$A$95,A25,$S$5:$S$95,"Y",$L$5:$L$95,"&gt;"&amp;L25)+1)</f>
        <v/>
      </c>
      <c r="V25" s="21" t="str">
        <f aca="false">A25&amp;"|"&amp;U25</f>
        <v>3.a|</v>
      </c>
    </row>
    <row r="26" customFormat="false" ht="15" hidden="false" customHeight="false" outlineLevel="0" collapsed="false">
      <c r="A26" s="13" t="s">
        <v>246</v>
      </c>
      <c r="B26" s="16" t="s">
        <v>247</v>
      </c>
      <c r="C26" s="13" t="s">
        <v>1348</v>
      </c>
      <c r="D26" s="21" t="n">
        <f aca="false">COUNTIFS(E_Measurements!$B$5:$B$546,A26,E_Measurements!$J$5:$J$546,"&lt;&gt;")</f>
        <v>0</v>
      </c>
      <c r="E26" s="21" t="n">
        <f aca="false">COUNTIF(E_Measurements!$B$5:$B$546,A26)</f>
        <v>17</v>
      </c>
      <c r="F26" s="56" t="str">
        <f aca="false">IFERROR(AVERAGEIFS(E_Measurements!$N$5:$N$546,E_Measurements!$B$5:$B$546,$A26,E_Measurements!$D$5:$D$546,"D1"),"")</f>
        <v/>
      </c>
      <c r="G26" s="56" t="str">
        <f aca="false">IFERROR(AVERAGEIFS(E_Measurements!$N$5:$N$546,E_Measurements!$B$5:$B$546,$A26,E_Measurements!$D$5:$D$546,"D2"),"")</f>
        <v/>
      </c>
      <c r="H26" s="56" t="str">
        <f aca="false">IFERROR(AVERAGEIFS(E_Measurements!$N$5:$N$546,E_Measurements!$B$5:$B$546,$A26,E_Measurements!$D$5:$D$546,"D3"),"")</f>
        <v/>
      </c>
      <c r="I26" s="56" t="str">
        <f aca="false">IFERROR(AVERAGEIFS(E_Measurements!$N$5:$N$546,E_Measurements!$B$5:$B$546,$A26,E_Measurements!$D$5:$D$546,"D4"),"")</f>
        <v/>
      </c>
      <c r="J26" s="56" t="str">
        <f aca="false">IFERROR(AVERAGEIFS(E_Measurements!$N$5:$N$546,E_Measurements!$B$5:$B$546,$A26,E_Measurements!$D$5:$D$546,"D5"),"")</f>
        <v/>
      </c>
      <c r="K26" s="56" t="str">
        <f aca="false">IFERROR(AVERAGEIFS(E_Measurements!$N$5:$N$546,E_Measurements!$B$5:$B$546,$A26,E_Measurements!$D$5:$D$546,"D6"),"")</f>
        <v/>
      </c>
      <c r="L26" s="69" t="str">
        <f aca="false">IF(COUNT(F26:K26)&lt;6,"",F26*A_Scoring_Model!$C$5+G26*A_Scoring_Model!$C$6+H26*A_Scoring_Model!$C$7+I26*A_Scoring_Model!$C$8+J26*A_Scoring_Model!$C$9+K26*A_Scoring_Model!$C$10)</f>
        <v/>
      </c>
      <c r="M26" s="70"/>
      <c r="N26" s="70"/>
      <c r="O26" s="70"/>
      <c r="P26" s="70"/>
      <c r="Q26" s="21" t="str">
        <f aca="false">IF(F26="","",IF(COUNTIFS(E_Measurements!$B$5:$B$546,A26,E_Measurements!$D$5:$D$546,"D1",E_Measurements!$N$5:$N$546,0)&gt;0,"N","Y"))</f>
        <v/>
      </c>
      <c r="R26" s="70"/>
      <c r="S26" s="13" t="str">
        <f aca="false">IF(COUNTIF(M26:R26,"Y")=6,"Y","N")</f>
        <v>N</v>
      </c>
      <c r="T26" s="13" t="str">
        <f aca="false">IF(L26="","",IF(OR(S26&lt;&gt;"Y",L26&lt;A_Scoring_Model!$C$33),"Not eligible",IF(L26&gt;=A_Scoring_Model!$C$30,"Tier 1 · Certified",IF(L26&gt;=A_Scoring_Model!$C$31,"Tier 2 · Conditional",IF(L26&gt;=A_Scoring_Model!$C$32,"Tier 3 · Group-local","Tier 4 · Rework")))))</f>
        <v/>
      </c>
      <c r="U26" s="13" t="str">
        <f aca="false">IF(OR(L26="",S26&lt;&gt;"Y"),"",COUNTIFS($A$5:$A$95,A26,$S$5:$S$95,"Y",$L$5:$L$95,"&gt;"&amp;L26)+1)</f>
        <v/>
      </c>
      <c r="V26" s="21" t="str">
        <f aca="false">A26&amp;"|"&amp;U26</f>
        <v>3.b|</v>
      </c>
    </row>
    <row r="27" customFormat="false" ht="15" hidden="false" customHeight="false" outlineLevel="0" collapsed="false">
      <c r="A27" s="13" t="s">
        <v>246</v>
      </c>
      <c r="B27" s="16" t="s">
        <v>247</v>
      </c>
      <c r="C27" s="13" t="s">
        <v>1350</v>
      </c>
      <c r="D27" s="21" t="n">
        <f aca="false">COUNTIFS(E_Measurements!$B$5:$B$546,A27,E_Measurements!$K$5:$K$546,"&lt;&gt;")</f>
        <v>0</v>
      </c>
      <c r="E27" s="21" t="n">
        <f aca="false">COUNTIF(E_Measurements!$B$5:$B$546,A27)</f>
        <v>17</v>
      </c>
      <c r="F27" s="56" t="str">
        <f aca="false">IFERROR(AVERAGEIFS(E_Measurements!$O$5:$O$546,E_Measurements!$B$5:$B$546,$A27,E_Measurements!$D$5:$D$546,"D1"),"")</f>
        <v/>
      </c>
      <c r="G27" s="56" t="str">
        <f aca="false">IFERROR(AVERAGEIFS(E_Measurements!$O$5:$O$546,E_Measurements!$B$5:$B$546,$A27,E_Measurements!$D$5:$D$546,"D2"),"")</f>
        <v/>
      </c>
      <c r="H27" s="56" t="str">
        <f aca="false">IFERROR(AVERAGEIFS(E_Measurements!$O$5:$O$546,E_Measurements!$B$5:$B$546,$A27,E_Measurements!$D$5:$D$546,"D3"),"")</f>
        <v/>
      </c>
      <c r="I27" s="56" t="str">
        <f aca="false">IFERROR(AVERAGEIFS(E_Measurements!$O$5:$O$546,E_Measurements!$B$5:$B$546,$A27,E_Measurements!$D$5:$D$546,"D4"),"")</f>
        <v/>
      </c>
      <c r="J27" s="56" t="str">
        <f aca="false">IFERROR(AVERAGEIFS(E_Measurements!$O$5:$O$546,E_Measurements!$B$5:$B$546,$A27,E_Measurements!$D$5:$D$546,"D5"),"")</f>
        <v/>
      </c>
      <c r="K27" s="56" t="str">
        <f aca="false">IFERROR(AVERAGEIFS(E_Measurements!$O$5:$O$546,E_Measurements!$B$5:$B$546,$A27,E_Measurements!$D$5:$D$546,"D6"),"")</f>
        <v/>
      </c>
      <c r="L27" s="69" t="str">
        <f aca="false">IF(COUNT(F27:K27)&lt;6,"",F27*A_Scoring_Model!$C$5+G27*A_Scoring_Model!$C$6+H27*A_Scoring_Model!$C$7+I27*A_Scoring_Model!$C$8+J27*A_Scoring_Model!$C$9+K27*A_Scoring_Model!$C$10)</f>
        <v/>
      </c>
      <c r="M27" s="70"/>
      <c r="N27" s="70"/>
      <c r="O27" s="70"/>
      <c r="P27" s="70"/>
      <c r="Q27" s="21" t="str">
        <f aca="false">IF(F27="","",IF(COUNTIFS(E_Measurements!$B$5:$B$546,A27,E_Measurements!$D$5:$D$546,"D1",E_Measurements!$O$5:$O$546,0)&gt;0,"N","Y"))</f>
        <v/>
      </c>
      <c r="R27" s="70"/>
      <c r="S27" s="13" t="str">
        <f aca="false">IF(COUNTIF(M27:R27,"Y")=6,"Y","N")</f>
        <v>N</v>
      </c>
      <c r="T27" s="13" t="str">
        <f aca="false">IF(L27="","",IF(OR(S27&lt;&gt;"Y",L27&lt;A_Scoring_Model!$C$33),"Not eligible",IF(L27&gt;=A_Scoring_Model!$C$30,"Tier 1 · Certified",IF(L27&gt;=A_Scoring_Model!$C$31,"Tier 2 · Conditional",IF(L27&gt;=A_Scoring_Model!$C$32,"Tier 3 · Group-local","Tier 4 · Rework")))))</f>
        <v/>
      </c>
      <c r="U27" s="13" t="str">
        <f aca="false">IF(OR(L27="",S27&lt;&gt;"Y"),"",COUNTIFS($A$5:$A$95,A27,$S$5:$S$95,"Y",$L$5:$L$95,"&gt;"&amp;L27)+1)</f>
        <v/>
      </c>
      <c r="V27" s="21" t="str">
        <f aca="false">A27&amp;"|"&amp;U27</f>
        <v>3.b|</v>
      </c>
    </row>
    <row r="28" customFormat="false" ht="15" hidden="false" customHeight="false" outlineLevel="0" collapsed="false">
      <c r="A28" s="13" t="s">
        <v>246</v>
      </c>
      <c r="B28" s="16" t="s">
        <v>247</v>
      </c>
      <c r="C28" s="13" t="s">
        <v>1351</v>
      </c>
      <c r="D28" s="21" t="n">
        <f aca="false">COUNTIFS(E_Measurements!$B$5:$B$546,A28,E_Measurements!$L$5:$L$546,"&lt;&gt;")</f>
        <v>0</v>
      </c>
      <c r="E28" s="21" t="n">
        <f aca="false">COUNTIF(E_Measurements!$B$5:$B$546,A28)</f>
        <v>17</v>
      </c>
      <c r="F28" s="56" t="str">
        <f aca="false">IFERROR(AVERAGEIFS(E_Measurements!$P$5:$P$546,E_Measurements!$B$5:$B$546,$A28,E_Measurements!$D$5:$D$546,"D1"),"")</f>
        <v/>
      </c>
      <c r="G28" s="56" t="str">
        <f aca="false">IFERROR(AVERAGEIFS(E_Measurements!$P$5:$P$546,E_Measurements!$B$5:$B$546,$A28,E_Measurements!$D$5:$D$546,"D2"),"")</f>
        <v/>
      </c>
      <c r="H28" s="56" t="str">
        <f aca="false">IFERROR(AVERAGEIFS(E_Measurements!$P$5:$P$546,E_Measurements!$B$5:$B$546,$A28,E_Measurements!$D$5:$D$546,"D3"),"")</f>
        <v/>
      </c>
      <c r="I28" s="56" t="str">
        <f aca="false">IFERROR(AVERAGEIFS(E_Measurements!$P$5:$P$546,E_Measurements!$B$5:$B$546,$A28,E_Measurements!$D$5:$D$546,"D4"),"")</f>
        <v/>
      </c>
      <c r="J28" s="56" t="str">
        <f aca="false">IFERROR(AVERAGEIFS(E_Measurements!$P$5:$P$546,E_Measurements!$B$5:$B$546,$A28,E_Measurements!$D$5:$D$546,"D5"),"")</f>
        <v/>
      </c>
      <c r="K28" s="56" t="str">
        <f aca="false">IFERROR(AVERAGEIFS(E_Measurements!$P$5:$P$546,E_Measurements!$B$5:$B$546,$A28,E_Measurements!$D$5:$D$546,"D6"),"")</f>
        <v/>
      </c>
      <c r="L28" s="69" t="str">
        <f aca="false">IF(COUNT(F28:K28)&lt;6,"",F28*A_Scoring_Model!$C$5+G28*A_Scoring_Model!$C$6+H28*A_Scoring_Model!$C$7+I28*A_Scoring_Model!$C$8+J28*A_Scoring_Model!$C$9+K28*A_Scoring_Model!$C$10)</f>
        <v/>
      </c>
      <c r="M28" s="70"/>
      <c r="N28" s="70"/>
      <c r="O28" s="70"/>
      <c r="P28" s="70"/>
      <c r="Q28" s="21" t="str">
        <f aca="false">IF(F28="","",IF(COUNTIFS(E_Measurements!$B$5:$B$546,A28,E_Measurements!$D$5:$D$546,"D1",E_Measurements!$P$5:$P$546,0)&gt;0,"N","Y"))</f>
        <v/>
      </c>
      <c r="R28" s="70"/>
      <c r="S28" s="13" t="str">
        <f aca="false">IF(COUNTIF(M28:R28,"Y")=6,"Y","N")</f>
        <v>N</v>
      </c>
      <c r="T28" s="13" t="str">
        <f aca="false">IF(L28="","",IF(OR(S28&lt;&gt;"Y",L28&lt;A_Scoring_Model!$C$33),"Not eligible",IF(L28&gt;=A_Scoring_Model!$C$30,"Tier 1 · Certified",IF(L28&gt;=A_Scoring_Model!$C$31,"Tier 2 · Conditional",IF(L28&gt;=A_Scoring_Model!$C$32,"Tier 3 · Group-local","Tier 4 · Rework")))))</f>
        <v/>
      </c>
      <c r="U28" s="13" t="str">
        <f aca="false">IF(OR(L28="",S28&lt;&gt;"Y"),"",COUNTIFS($A$5:$A$95,A28,$S$5:$S$95,"Y",$L$5:$L$95,"&gt;"&amp;L28)+1)</f>
        <v/>
      </c>
      <c r="V28" s="21" t="str">
        <f aca="false">A28&amp;"|"&amp;U28</f>
        <v>3.b|</v>
      </c>
    </row>
    <row r="29" customFormat="false" ht="15" hidden="false" customHeight="false" outlineLevel="0" collapsed="false">
      <c r="A29" s="68" t="s">
        <v>253</v>
      </c>
      <c r="B29" s="39" t="s">
        <v>254</v>
      </c>
      <c r="C29" s="68" t="s">
        <v>1348</v>
      </c>
      <c r="D29" s="21" t="n">
        <f aca="false">COUNTIFS(E_Measurements!$B$5:$B$546,A29,E_Measurements!$J$5:$J$546,"&lt;&gt;")</f>
        <v>0</v>
      </c>
      <c r="E29" s="21" t="n">
        <f aca="false">COUNTIF(E_Measurements!$B$5:$B$546,A29)</f>
        <v>18</v>
      </c>
      <c r="F29" s="56" t="str">
        <f aca="false">IFERROR(AVERAGEIFS(E_Measurements!$N$5:$N$546,E_Measurements!$B$5:$B$546,$A29,E_Measurements!$D$5:$D$546,"D1"),"")</f>
        <v/>
      </c>
      <c r="G29" s="56" t="str">
        <f aca="false">IFERROR(AVERAGEIFS(E_Measurements!$N$5:$N$546,E_Measurements!$B$5:$B$546,$A29,E_Measurements!$D$5:$D$546,"D2"),"")</f>
        <v/>
      </c>
      <c r="H29" s="56" t="str">
        <f aca="false">IFERROR(AVERAGEIFS(E_Measurements!$N$5:$N$546,E_Measurements!$B$5:$B$546,$A29,E_Measurements!$D$5:$D$546,"D3"),"")</f>
        <v/>
      </c>
      <c r="I29" s="56" t="str">
        <f aca="false">IFERROR(AVERAGEIFS(E_Measurements!$N$5:$N$546,E_Measurements!$B$5:$B$546,$A29,E_Measurements!$D$5:$D$546,"D4"),"")</f>
        <v/>
      </c>
      <c r="J29" s="56" t="str">
        <f aca="false">IFERROR(AVERAGEIFS(E_Measurements!$N$5:$N$546,E_Measurements!$B$5:$B$546,$A29,E_Measurements!$D$5:$D$546,"D5"),"")</f>
        <v/>
      </c>
      <c r="K29" s="56" t="str">
        <f aca="false">IFERROR(AVERAGEIFS(E_Measurements!$N$5:$N$546,E_Measurements!$B$5:$B$546,$A29,E_Measurements!$D$5:$D$546,"D6"),"")</f>
        <v/>
      </c>
      <c r="L29" s="69" t="str">
        <f aca="false">IF(COUNT(F29:K29)&lt;6,"",F29*A_Scoring_Model!$C$5+G29*A_Scoring_Model!$C$6+H29*A_Scoring_Model!$C$7+I29*A_Scoring_Model!$C$8+J29*A_Scoring_Model!$C$9+K29*A_Scoring_Model!$C$10)</f>
        <v/>
      </c>
      <c r="M29" s="70"/>
      <c r="N29" s="70"/>
      <c r="O29" s="70"/>
      <c r="P29" s="70"/>
      <c r="Q29" s="21" t="str">
        <f aca="false">IF(F29="","",IF(COUNTIFS(E_Measurements!$B$5:$B$546,A29,E_Measurements!$D$5:$D$546,"D1",E_Measurements!$N$5:$N$546,0)&gt;0,"N","Y"))</f>
        <v/>
      </c>
      <c r="R29" s="70"/>
      <c r="S29" s="13" t="str">
        <f aca="false">IF(COUNTIF(M29:R29,"Y")=6,"Y","N")</f>
        <v>N</v>
      </c>
      <c r="T29" s="13" t="str">
        <f aca="false">IF(L29="","",IF(OR(S29&lt;&gt;"Y",L29&lt;A_Scoring_Model!$C$33),"Not eligible",IF(L29&gt;=A_Scoring_Model!$C$30,"Tier 1 · Certified",IF(L29&gt;=A_Scoring_Model!$C$31,"Tier 2 · Conditional",IF(L29&gt;=A_Scoring_Model!$C$32,"Tier 3 · Group-local","Tier 4 · Rework")))))</f>
        <v/>
      </c>
      <c r="U29" s="13" t="str">
        <f aca="false">IF(OR(L29="",S29&lt;&gt;"Y"),"",COUNTIFS($A$5:$A$95,A29,$S$5:$S$95,"Y",$L$5:$L$95,"&gt;"&amp;L29)+1)</f>
        <v/>
      </c>
      <c r="V29" s="21" t="str">
        <f aca="false">A29&amp;"|"&amp;U29</f>
        <v>3.c|</v>
      </c>
    </row>
    <row r="30" customFormat="false" ht="15" hidden="false" customHeight="false" outlineLevel="0" collapsed="false">
      <c r="A30" s="68" t="s">
        <v>253</v>
      </c>
      <c r="B30" s="39" t="s">
        <v>254</v>
      </c>
      <c r="C30" s="68" t="s">
        <v>1350</v>
      </c>
      <c r="D30" s="21" t="n">
        <f aca="false">COUNTIFS(E_Measurements!$B$5:$B$546,A30,E_Measurements!$K$5:$K$546,"&lt;&gt;")</f>
        <v>0</v>
      </c>
      <c r="E30" s="21" t="n">
        <f aca="false">COUNTIF(E_Measurements!$B$5:$B$546,A30)</f>
        <v>18</v>
      </c>
      <c r="F30" s="56" t="str">
        <f aca="false">IFERROR(AVERAGEIFS(E_Measurements!$O$5:$O$546,E_Measurements!$B$5:$B$546,$A30,E_Measurements!$D$5:$D$546,"D1"),"")</f>
        <v/>
      </c>
      <c r="G30" s="56" t="str">
        <f aca="false">IFERROR(AVERAGEIFS(E_Measurements!$O$5:$O$546,E_Measurements!$B$5:$B$546,$A30,E_Measurements!$D$5:$D$546,"D2"),"")</f>
        <v/>
      </c>
      <c r="H30" s="56" t="str">
        <f aca="false">IFERROR(AVERAGEIFS(E_Measurements!$O$5:$O$546,E_Measurements!$B$5:$B$546,$A30,E_Measurements!$D$5:$D$546,"D3"),"")</f>
        <v/>
      </c>
      <c r="I30" s="56" t="str">
        <f aca="false">IFERROR(AVERAGEIFS(E_Measurements!$O$5:$O$546,E_Measurements!$B$5:$B$546,$A30,E_Measurements!$D$5:$D$546,"D4"),"")</f>
        <v/>
      </c>
      <c r="J30" s="56" t="str">
        <f aca="false">IFERROR(AVERAGEIFS(E_Measurements!$O$5:$O$546,E_Measurements!$B$5:$B$546,$A30,E_Measurements!$D$5:$D$546,"D5"),"")</f>
        <v/>
      </c>
      <c r="K30" s="56" t="str">
        <f aca="false">IFERROR(AVERAGEIFS(E_Measurements!$O$5:$O$546,E_Measurements!$B$5:$B$546,$A30,E_Measurements!$D$5:$D$546,"D6"),"")</f>
        <v/>
      </c>
      <c r="L30" s="69" t="str">
        <f aca="false">IF(COUNT(F30:K30)&lt;6,"",F30*A_Scoring_Model!$C$5+G30*A_Scoring_Model!$C$6+H30*A_Scoring_Model!$C$7+I30*A_Scoring_Model!$C$8+J30*A_Scoring_Model!$C$9+K30*A_Scoring_Model!$C$10)</f>
        <v/>
      </c>
      <c r="M30" s="70"/>
      <c r="N30" s="70"/>
      <c r="O30" s="70"/>
      <c r="P30" s="70"/>
      <c r="Q30" s="21" t="str">
        <f aca="false">IF(F30="","",IF(COUNTIFS(E_Measurements!$B$5:$B$546,A30,E_Measurements!$D$5:$D$546,"D1",E_Measurements!$O$5:$O$546,0)&gt;0,"N","Y"))</f>
        <v/>
      </c>
      <c r="R30" s="70"/>
      <c r="S30" s="13" t="str">
        <f aca="false">IF(COUNTIF(M30:R30,"Y")=6,"Y","N")</f>
        <v>N</v>
      </c>
      <c r="T30" s="13" t="str">
        <f aca="false">IF(L30="","",IF(OR(S30&lt;&gt;"Y",L30&lt;A_Scoring_Model!$C$33),"Not eligible",IF(L30&gt;=A_Scoring_Model!$C$30,"Tier 1 · Certified",IF(L30&gt;=A_Scoring_Model!$C$31,"Tier 2 · Conditional",IF(L30&gt;=A_Scoring_Model!$C$32,"Tier 3 · Group-local","Tier 4 · Rework")))))</f>
        <v/>
      </c>
      <c r="U30" s="13" t="str">
        <f aca="false">IF(OR(L30="",S30&lt;&gt;"Y"),"",COUNTIFS($A$5:$A$95,A30,$S$5:$S$95,"Y",$L$5:$L$95,"&gt;"&amp;L30)+1)</f>
        <v/>
      </c>
      <c r="V30" s="21" t="str">
        <f aca="false">A30&amp;"|"&amp;U30</f>
        <v>3.c|</v>
      </c>
    </row>
    <row r="31" customFormat="false" ht="15" hidden="false" customHeight="false" outlineLevel="0" collapsed="false">
      <c r="A31" s="68" t="s">
        <v>253</v>
      </c>
      <c r="B31" s="39" t="s">
        <v>254</v>
      </c>
      <c r="C31" s="68" t="s">
        <v>1351</v>
      </c>
      <c r="D31" s="21" t="n">
        <f aca="false">COUNTIFS(E_Measurements!$B$5:$B$546,A31,E_Measurements!$L$5:$L$546,"&lt;&gt;")</f>
        <v>0</v>
      </c>
      <c r="E31" s="21" t="n">
        <f aca="false">COUNTIF(E_Measurements!$B$5:$B$546,A31)</f>
        <v>18</v>
      </c>
      <c r="F31" s="56" t="str">
        <f aca="false">IFERROR(AVERAGEIFS(E_Measurements!$P$5:$P$546,E_Measurements!$B$5:$B$546,$A31,E_Measurements!$D$5:$D$546,"D1"),"")</f>
        <v/>
      </c>
      <c r="G31" s="56" t="str">
        <f aca="false">IFERROR(AVERAGEIFS(E_Measurements!$P$5:$P$546,E_Measurements!$B$5:$B$546,$A31,E_Measurements!$D$5:$D$546,"D2"),"")</f>
        <v/>
      </c>
      <c r="H31" s="56" t="str">
        <f aca="false">IFERROR(AVERAGEIFS(E_Measurements!$P$5:$P$546,E_Measurements!$B$5:$B$546,$A31,E_Measurements!$D$5:$D$546,"D3"),"")</f>
        <v/>
      </c>
      <c r="I31" s="56" t="str">
        <f aca="false">IFERROR(AVERAGEIFS(E_Measurements!$P$5:$P$546,E_Measurements!$B$5:$B$546,$A31,E_Measurements!$D$5:$D$546,"D4"),"")</f>
        <v/>
      </c>
      <c r="J31" s="56" t="str">
        <f aca="false">IFERROR(AVERAGEIFS(E_Measurements!$P$5:$P$546,E_Measurements!$B$5:$B$546,$A31,E_Measurements!$D$5:$D$546,"D5"),"")</f>
        <v/>
      </c>
      <c r="K31" s="56" t="str">
        <f aca="false">IFERROR(AVERAGEIFS(E_Measurements!$P$5:$P$546,E_Measurements!$B$5:$B$546,$A31,E_Measurements!$D$5:$D$546,"D6"),"")</f>
        <v/>
      </c>
      <c r="L31" s="69" t="str">
        <f aca="false">IF(COUNT(F31:K31)&lt;6,"",F31*A_Scoring_Model!$C$5+G31*A_Scoring_Model!$C$6+H31*A_Scoring_Model!$C$7+I31*A_Scoring_Model!$C$8+J31*A_Scoring_Model!$C$9+K31*A_Scoring_Model!$C$10)</f>
        <v/>
      </c>
      <c r="M31" s="70"/>
      <c r="N31" s="70"/>
      <c r="O31" s="70"/>
      <c r="P31" s="70"/>
      <c r="Q31" s="21" t="str">
        <f aca="false">IF(F31="","",IF(COUNTIFS(E_Measurements!$B$5:$B$546,A31,E_Measurements!$D$5:$D$546,"D1",E_Measurements!$P$5:$P$546,0)&gt;0,"N","Y"))</f>
        <v/>
      </c>
      <c r="R31" s="70"/>
      <c r="S31" s="13" t="str">
        <f aca="false">IF(COUNTIF(M31:R31,"Y")=6,"Y","N")</f>
        <v>N</v>
      </c>
      <c r="T31" s="13" t="str">
        <f aca="false">IF(L31="","",IF(OR(S31&lt;&gt;"Y",L31&lt;A_Scoring_Model!$C$33),"Not eligible",IF(L31&gt;=A_Scoring_Model!$C$30,"Tier 1 · Certified",IF(L31&gt;=A_Scoring_Model!$C$31,"Tier 2 · Conditional",IF(L31&gt;=A_Scoring_Model!$C$32,"Tier 3 · Group-local","Tier 4 · Rework")))))</f>
        <v/>
      </c>
      <c r="U31" s="13" t="str">
        <f aca="false">IF(OR(L31="",S31&lt;&gt;"Y"),"",COUNTIFS($A$5:$A$95,A31,$S$5:$S$95,"Y",$L$5:$L$95,"&gt;"&amp;L31)+1)</f>
        <v/>
      </c>
      <c r="V31" s="21" t="str">
        <f aca="false">A31&amp;"|"&amp;U31</f>
        <v>3.c|</v>
      </c>
    </row>
    <row r="32" customFormat="false" ht="23.85" hidden="false" customHeight="false" outlineLevel="0" collapsed="false">
      <c r="A32" s="13" t="s">
        <v>260</v>
      </c>
      <c r="B32" s="16" t="s">
        <v>261</v>
      </c>
      <c r="C32" s="13" t="s">
        <v>1352</v>
      </c>
      <c r="D32" s="21" t="n">
        <f aca="false">COUNTIFS(E_Measurements!$B$5:$B$546,A32,E_Measurements!$M$5:$M$546,"&lt;&gt;")</f>
        <v>34</v>
      </c>
      <c r="E32" s="21" t="n">
        <f aca="false">COUNTIF(E_Measurements!$B$5:$B$546,A32)</f>
        <v>34</v>
      </c>
      <c r="F32" s="56" t="n">
        <f aca="false">IFERROR(AVERAGEIFS(E_Measurements!$Q$5:$Q$546,E_Measurements!$B$5:$B$546,$A32,E_Measurements!$D$5:$D$546,"D1"),"")</f>
        <v>31.8095238095238</v>
      </c>
      <c r="G32" s="56" t="n">
        <f aca="false">IFERROR(AVERAGEIFS(E_Measurements!$Q$5:$Q$546,E_Measurements!$B$5:$B$546,$A32,E_Measurements!$D$5:$D$546,"D2"),"")</f>
        <v>66.6666666666667</v>
      </c>
      <c r="H32" s="56" t="n">
        <f aca="false">IFERROR(AVERAGEIFS(E_Measurements!$Q$5:$Q$546,E_Measurements!$B$5:$B$546,$A32,E_Measurements!$D$5:$D$546,"D3"),"")</f>
        <v>52.116</v>
      </c>
      <c r="I32" s="56" t="n">
        <f aca="false">IFERROR(AVERAGEIFS(E_Measurements!$Q$5:$Q$546,E_Measurements!$B$5:$B$546,$A32,E_Measurements!$D$5:$D$546,"D4"),"")</f>
        <v>44</v>
      </c>
      <c r="J32" s="56" t="n">
        <f aca="false">IFERROR(AVERAGEIFS(E_Measurements!$Q$5:$Q$546,E_Measurements!$B$5:$B$546,$A32,E_Measurements!$D$5:$D$546,"D5"),"")</f>
        <v>50</v>
      </c>
      <c r="K32" s="56" t="n">
        <f aca="false">IFERROR(AVERAGEIFS(E_Measurements!$Q$5:$Q$546,E_Measurements!$B$5:$B$546,$A32,E_Measurements!$D$5:$D$546,"D6"),"")</f>
        <v>65.7142857142857</v>
      </c>
      <c r="L32" s="69" t="n">
        <f aca="false">IF(COUNT(F32:K32)&lt;6,"",F32*A_Scoring_Model!$C$5+G32*A_Scoring_Model!$C$6+H32*A_Scoring_Model!$C$7+I32*A_Scoring_Model!$C$8+J32*A_Scoring_Model!$C$9+K32*A_Scoring_Model!$C$10)</f>
        <v>49.1650190476191</v>
      </c>
      <c r="M32" s="70" t="s">
        <v>1353</v>
      </c>
      <c r="N32" s="70" t="s">
        <v>1353</v>
      </c>
      <c r="O32" s="70" t="s">
        <v>1349</v>
      </c>
      <c r="P32" s="70" t="s">
        <v>1349</v>
      </c>
      <c r="Q32" s="21" t="str">
        <f aca="false">IF(F32="","",IF(COUNTIFS(E_Measurements!$B$5:$B$546,A32,E_Measurements!$D$5:$D$546,"D1",E_Measurements!$Q$5:$Q$546,0)&gt;0,"N","Y"))</f>
        <v>N</v>
      </c>
      <c r="R32" s="70" t="s">
        <v>1353</v>
      </c>
      <c r="S32" s="13" t="str">
        <f aca="false">IF(COUNTIF(M32:R32,"Y")=6,"Y","N")</f>
        <v>N</v>
      </c>
      <c r="T32" s="13" t="str">
        <f aca="false">IF(L32="","",IF(OR(S32&lt;&gt;"Y",L32&lt;A_Scoring_Model!$C$33),"Not eligible",IF(L32&gt;=A_Scoring_Model!$C$30,"Tier 1 · Certified",IF(L32&gt;=A_Scoring_Model!$C$31,"Tier 2 · Conditional",IF(L32&gt;=A_Scoring_Model!$C$32,"Tier 3 · Group-local","Tier 4 · Rework")))))</f>
        <v>Not eligible</v>
      </c>
      <c r="U32" s="13" t="str">
        <f aca="false">IF(OR(L32="",S32&lt;&gt;"Y"),"",COUNTIFS($A$5:$A$95,A32,$S$5:$S$95,"Y",$L$5:$L$95,"&gt;"&amp;L32)+1)</f>
        <v/>
      </c>
      <c r="V32" s="21" t="str">
        <f aca="false">A32&amp;"|"&amp;U32</f>
        <v>3.d|</v>
      </c>
    </row>
    <row r="33" customFormat="false" ht="15" hidden="false" customHeight="false" outlineLevel="0" collapsed="false">
      <c r="A33" s="68" t="s">
        <v>268</v>
      </c>
      <c r="B33" s="39" t="s">
        <v>269</v>
      </c>
      <c r="C33" s="68" t="s">
        <v>1348</v>
      </c>
      <c r="D33" s="21" t="n">
        <f aca="false">COUNTIFS(E_Measurements!$B$5:$B$546,A33,E_Measurements!$J$5:$J$546,"&lt;&gt;")</f>
        <v>0</v>
      </c>
      <c r="E33" s="21" t="n">
        <f aca="false">COUNTIF(E_Measurements!$B$5:$B$546,A33)</f>
        <v>18</v>
      </c>
      <c r="F33" s="56" t="str">
        <f aca="false">IFERROR(AVERAGEIFS(E_Measurements!$N$5:$N$546,E_Measurements!$B$5:$B$546,$A33,E_Measurements!$D$5:$D$546,"D1"),"")</f>
        <v/>
      </c>
      <c r="G33" s="56" t="str">
        <f aca="false">IFERROR(AVERAGEIFS(E_Measurements!$N$5:$N$546,E_Measurements!$B$5:$B$546,$A33,E_Measurements!$D$5:$D$546,"D2"),"")</f>
        <v/>
      </c>
      <c r="H33" s="56" t="str">
        <f aca="false">IFERROR(AVERAGEIFS(E_Measurements!$N$5:$N$546,E_Measurements!$B$5:$B$546,$A33,E_Measurements!$D$5:$D$546,"D3"),"")</f>
        <v/>
      </c>
      <c r="I33" s="56" t="str">
        <f aca="false">IFERROR(AVERAGEIFS(E_Measurements!$N$5:$N$546,E_Measurements!$B$5:$B$546,$A33,E_Measurements!$D$5:$D$546,"D4"),"")</f>
        <v/>
      </c>
      <c r="J33" s="56" t="str">
        <f aca="false">IFERROR(AVERAGEIFS(E_Measurements!$N$5:$N$546,E_Measurements!$B$5:$B$546,$A33,E_Measurements!$D$5:$D$546,"D5"),"")</f>
        <v/>
      </c>
      <c r="K33" s="56" t="str">
        <f aca="false">IFERROR(AVERAGEIFS(E_Measurements!$N$5:$N$546,E_Measurements!$B$5:$B$546,$A33,E_Measurements!$D$5:$D$546,"D6"),"")</f>
        <v/>
      </c>
      <c r="L33" s="69" t="str">
        <f aca="false">IF(COUNT(F33:K33)&lt;6,"",F33*A_Scoring_Model!$C$5+G33*A_Scoring_Model!$C$6+H33*A_Scoring_Model!$C$7+I33*A_Scoring_Model!$C$8+J33*A_Scoring_Model!$C$9+K33*A_Scoring_Model!$C$10)</f>
        <v/>
      </c>
      <c r="M33" s="70"/>
      <c r="N33" s="70"/>
      <c r="O33" s="70"/>
      <c r="P33" s="70"/>
      <c r="Q33" s="21" t="str">
        <f aca="false">IF(F33="","",IF(COUNTIFS(E_Measurements!$B$5:$B$546,A33,E_Measurements!$D$5:$D$546,"D1",E_Measurements!$N$5:$N$546,0)&gt;0,"N","Y"))</f>
        <v/>
      </c>
      <c r="R33" s="70"/>
      <c r="S33" s="13" t="str">
        <f aca="false">IF(COUNTIF(M33:R33,"Y")=6,"Y","N")</f>
        <v>N</v>
      </c>
      <c r="T33" s="13" t="str">
        <f aca="false">IF(L33="","",IF(OR(S33&lt;&gt;"Y",L33&lt;A_Scoring_Model!$C$33),"Not eligible",IF(L33&gt;=A_Scoring_Model!$C$30,"Tier 1 · Certified",IF(L33&gt;=A_Scoring_Model!$C$31,"Tier 2 · Conditional",IF(L33&gt;=A_Scoring_Model!$C$32,"Tier 3 · Group-local","Tier 4 · Rework")))))</f>
        <v/>
      </c>
      <c r="U33" s="13" t="str">
        <f aca="false">IF(OR(L33="",S33&lt;&gt;"Y"),"",COUNTIFS($A$5:$A$95,A33,$S$5:$S$95,"Y",$L$5:$L$95,"&gt;"&amp;L33)+1)</f>
        <v/>
      </c>
      <c r="V33" s="21" t="str">
        <f aca="false">A33&amp;"|"&amp;U33</f>
        <v>4.a|</v>
      </c>
    </row>
    <row r="34" customFormat="false" ht="15" hidden="false" customHeight="false" outlineLevel="0" collapsed="false">
      <c r="A34" s="68" t="s">
        <v>268</v>
      </c>
      <c r="B34" s="39" t="s">
        <v>269</v>
      </c>
      <c r="C34" s="68" t="s">
        <v>1350</v>
      </c>
      <c r="D34" s="21" t="n">
        <f aca="false">COUNTIFS(E_Measurements!$B$5:$B$546,A34,E_Measurements!$K$5:$K$546,"&lt;&gt;")</f>
        <v>0</v>
      </c>
      <c r="E34" s="21" t="n">
        <f aca="false">COUNTIF(E_Measurements!$B$5:$B$546,A34)</f>
        <v>18</v>
      </c>
      <c r="F34" s="56" t="str">
        <f aca="false">IFERROR(AVERAGEIFS(E_Measurements!$O$5:$O$546,E_Measurements!$B$5:$B$546,$A34,E_Measurements!$D$5:$D$546,"D1"),"")</f>
        <v/>
      </c>
      <c r="G34" s="56" t="str">
        <f aca="false">IFERROR(AVERAGEIFS(E_Measurements!$O$5:$O$546,E_Measurements!$B$5:$B$546,$A34,E_Measurements!$D$5:$D$546,"D2"),"")</f>
        <v/>
      </c>
      <c r="H34" s="56" t="str">
        <f aca="false">IFERROR(AVERAGEIFS(E_Measurements!$O$5:$O$546,E_Measurements!$B$5:$B$546,$A34,E_Measurements!$D$5:$D$546,"D3"),"")</f>
        <v/>
      </c>
      <c r="I34" s="56" t="str">
        <f aca="false">IFERROR(AVERAGEIFS(E_Measurements!$O$5:$O$546,E_Measurements!$B$5:$B$546,$A34,E_Measurements!$D$5:$D$546,"D4"),"")</f>
        <v/>
      </c>
      <c r="J34" s="56" t="str">
        <f aca="false">IFERROR(AVERAGEIFS(E_Measurements!$O$5:$O$546,E_Measurements!$B$5:$B$546,$A34,E_Measurements!$D$5:$D$546,"D5"),"")</f>
        <v/>
      </c>
      <c r="K34" s="56" t="str">
        <f aca="false">IFERROR(AVERAGEIFS(E_Measurements!$O$5:$O$546,E_Measurements!$B$5:$B$546,$A34,E_Measurements!$D$5:$D$546,"D6"),"")</f>
        <v/>
      </c>
      <c r="L34" s="69" t="str">
        <f aca="false">IF(COUNT(F34:K34)&lt;6,"",F34*A_Scoring_Model!$C$5+G34*A_Scoring_Model!$C$6+H34*A_Scoring_Model!$C$7+I34*A_Scoring_Model!$C$8+J34*A_Scoring_Model!$C$9+K34*A_Scoring_Model!$C$10)</f>
        <v/>
      </c>
      <c r="M34" s="70"/>
      <c r="N34" s="70"/>
      <c r="O34" s="70"/>
      <c r="P34" s="70"/>
      <c r="Q34" s="21" t="str">
        <f aca="false">IF(F34="","",IF(COUNTIFS(E_Measurements!$B$5:$B$546,A34,E_Measurements!$D$5:$D$546,"D1",E_Measurements!$O$5:$O$546,0)&gt;0,"N","Y"))</f>
        <v/>
      </c>
      <c r="R34" s="70"/>
      <c r="S34" s="13" t="str">
        <f aca="false">IF(COUNTIF(M34:R34,"Y")=6,"Y","N")</f>
        <v>N</v>
      </c>
      <c r="T34" s="13" t="str">
        <f aca="false">IF(L34="","",IF(OR(S34&lt;&gt;"Y",L34&lt;A_Scoring_Model!$C$33),"Not eligible",IF(L34&gt;=A_Scoring_Model!$C$30,"Tier 1 · Certified",IF(L34&gt;=A_Scoring_Model!$C$31,"Tier 2 · Conditional",IF(L34&gt;=A_Scoring_Model!$C$32,"Tier 3 · Group-local","Tier 4 · Rework")))))</f>
        <v/>
      </c>
      <c r="U34" s="13" t="str">
        <f aca="false">IF(OR(L34="",S34&lt;&gt;"Y"),"",COUNTIFS($A$5:$A$95,A34,$S$5:$S$95,"Y",$L$5:$L$95,"&gt;"&amp;L34)+1)</f>
        <v/>
      </c>
      <c r="V34" s="21" t="str">
        <f aca="false">A34&amp;"|"&amp;U34</f>
        <v>4.a|</v>
      </c>
    </row>
    <row r="35" customFormat="false" ht="15" hidden="false" customHeight="false" outlineLevel="0" collapsed="false">
      <c r="A35" s="68" t="s">
        <v>268</v>
      </c>
      <c r="B35" s="39" t="s">
        <v>269</v>
      </c>
      <c r="C35" s="68" t="s">
        <v>1351</v>
      </c>
      <c r="D35" s="21" t="n">
        <f aca="false">COUNTIFS(E_Measurements!$B$5:$B$546,A35,E_Measurements!$L$5:$L$546,"&lt;&gt;")</f>
        <v>0</v>
      </c>
      <c r="E35" s="21" t="n">
        <f aca="false">COUNTIF(E_Measurements!$B$5:$B$546,A35)</f>
        <v>18</v>
      </c>
      <c r="F35" s="56" t="str">
        <f aca="false">IFERROR(AVERAGEIFS(E_Measurements!$P$5:$P$546,E_Measurements!$B$5:$B$546,$A35,E_Measurements!$D$5:$D$546,"D1"),"")</f>
        <v/>
      </c>
      <c r="G35" s="56" t="str">
        <f aca="false">IFERROR(AVERAGEIFS(E_Measurements!$P$5:$P$546,E_Measurements!$B$5:$B$546,$A35,E_Measurements!$D$5:$D$546,"D2"),"")</f>
        <v/>
      </c>
      <c r="H35" s="56" t="str">
        <f aca="false">IFERROR(AVERAGEIFS(E_Measurements!$P$5:$P$546,E_Measurements!$B$5:$B$546,$A35,E_Measurements!$D$5:$D$546,"D3"),"")</f>
        <v/>
      </c>
      <c r="I35" s="56" t="str">
        <f aca="false">IFERROR(AVERAGEIFS(E_Measurements!$P$5:$P$546,E_Measurements!$B$5:$B$546,$A35,E_Measurements!$D$5:$D$546,"D4"),"")</f>
        <v/>
      </c>
      <c r="J35" s="56" t="str">
        <f aca="false">IFERROR(AVERAGEIFS(E_Measurements!$P$5:$P$546,E_Measurements!$B$5:$B$546,$A35,E_Measurements!$D$5:$D$546,"D5"),"")</f>
        <v/>
      </c>
      <c r="K35" s="56" t="str">
        <f aca="false">IFERROR(AVERAGEIFS(E_Measurements!$P$5:$P$546,E_Measurements!$B$5:$B$546,$A35,E_Measurements!$D$5:$D$546,"D6"),"")</f>
        <v/>
      </c>
      <c r="L35" s="69" t="str">
        <f aca="false">IF(COUNT(F35:K35)&lt;6,"",F35*A_Scoring_Model!$C$5+G35*A_Scoring_Model!$C$6+H35*A_Scoring_Model!$C$7+I35*A_Scoring_Model!$C$8+J35*A_Scoring_Model!$C$9+K35*A_Scoring_Model!$C$10)</f>
        <v/>
      </c>
      <c r="M35" s="70"/>
      <c r="N35" s="70"/>
      <c r="O35" s="70"/>
      <c r="P35" s="70"/>
      <c r="Q35" s="21" t="str">
        <f aca="false">IF(F35="","",IF(COUNTIFS(E_Measurements!$B$5:$B$546,A35,E_Measurements!$D$5:$D$546,"D1",E_Measurements!$P$5:$P$546,0)&gt;0,"N","Y"))</f>
        <v/>
      </c>
      <c r="R35" s="70"/>
      <c r="S35" s="13" t="str">
        <f aca="false">IF(COUNTIF(M35:R35,"Y")=6,"Y","N")</f>
        <v>N</v>
      </c>
      <c r="T35" s="13" t="str">
        <f aca="false">IF(L35="","",IF(OR(S35&lt;&gt;"Y",L35&lt;A_Scoring_Model!$C$33),"Not eligible",IF(L35&gt;=A_Scoring_Model!$C$30,"Tier 1 · Certified",IF(L35&gt;=A_Scoring_Model!$C$31,"Tier 2 · Conditional",IF(L35&gt;=A_Scoring_Model!$C$32,"Tier 3 · Group-local","Tier 4 · Rework")))))</f>
        <v/>
      </c>
      <c r="U35" s="13" t="str">
        <f aca="false">IF(OR(L35="",S35&lt;&gt;"Y"),"",COUNTIFS($A$5:$A$95,A35,$S$5:$S$95,"Y",$L$5:$L$95,"&gt;"&amp;L35)+1)</f>
        <v/>
      </c>
      <c r="V35" s="21" t="str">
        <f aca="false">A35&amp;"|"&amp;U35</f>
        <v>4.a|</v>
      </c>
    </row>
    <row r="36" customFormat="false" ht="15" hidden="false" customHeight="false" outlineLevel="0" collapsed="false">
      <c r="A36" s="13" t="s">
        <v>276</v>
      </c>
      <c r="B36" s="16" t="s">
        <v>277</v>
      </c>
      <c r="C36" s="13" t="s">
        <v>1348</v>
      </c>
      <c r="D36" s="21" t="n">
        <f aca="false">COUNTIFS(E_Measurements!$B$5:$B$546,A36,E_Measurements!$J$5:$J$546,"&lt;&gt;")</f>
        <v>0</v>
      </c>
      <c r="E36" s="21" t="n">
        <f aca="false">COUNTIF(E_Measurements!$B$5:$B$546,A36)</f>
        <v>16</v>
      </c>
      <c r="F36" s="56" t="str">
        <f aca="false">IFERROR(AVERAGEIFS(E_Measurements!$N$5:$N$546,E_Measurements!$B$5:$B$546,$A36,E_Measurements!$D$5:$D$546,"D1"),"")</f>
        <v/>
      </c>
      <c r="G36" s="56" t="str">
        <f aca="false">IFERROR(AVERAGEIFS(E_Measurements!$N$5:$N$546,E_Measurements!$B$5:$B$546,$A36,E_Measurements!$D$5:$D$546,"D2"),"")</f>
        <v/>
      </c>
      <c r="H36" s="56" t="str">
        <f aca="false">IFERROR(AVERAGEIFS(E_Measurements!$N$5:$N$546,E_Measurements!$B$5:$B$546,$A36,E_Measurements!$D$5:$D$546,"D3"),"")</f>
        <v/>
      </c>
      <c r="I36" s="56" t="str">
        <f aca="false">IFERROR(AVERAGEIFS(E_Measurements!$N$5:$N$546,E_Measurements!$B$5:$B$546,$A36,E_Measurements!$D$5:$D$546,"D4"),"")</f>
        <v/>
      </c>
      <c r="J36" s="56" t="str">
        <f aca="false">IFERROR(AVERAGEIFS(E_Measurements!$N$5:$N$546,E_Measurements!$B$5:$B$546,$A36,E_Measurements!$D$5:$D$546,"D5"),"")</f>
        <v/>
      </c>
      <c r="K36" s="56" t="str">
        <f aca="false">IFERROR(AVERAGEIFS(E_Measurements!$N$5:$N$546,E_Measurements!$B$5:$B$546,$A36,E_Measurements!$D$5:$D$546,"D6"),"")</f>
        <v/>
      </c>
      <c r="L36" s="69" t="str">
        <f aca="false">IF(COUNT(F36:K36)&lt;6,"",F36*A_Scoring_Model!$C$5+G36*A_Scoring_Model!$C$6+H36*A_Scoring_Model!$C$7+I36*A_Scoring_Model!$C$8+J36*A_Scoring_Model!$C$9+K36*A_Scoring_Model!$C$10)</f>
        <v/>
      </c>
      <c r="M36" s="70"/>
      <c r="N36" s="70"/>
      <c r="O36" s="70"/>
      <c r="P36" s="70"/>
      <c r="Q36" s="21" t="str">
        <f aca="false">IF(F36="","",IF(COUNTIFS(E_Measurements!$B$5:$B$546,A36,E_Measurements!$D$5:$D$546,"D1",E_Measurements!$N$5:$N$546,0)&gt;0,"N","Y"))</f>
        <v/>
      </c>
      <c r="R36" s="70"/>
      <c r="S36" s="13" t="str">
        <f aca="false">IF(COUNTIF(M36:R36,"Y")=6,"Y","N")</f>
        <v>N</v>
      </c>
      <c r="T36" s="13" t="str">
        <f aca="false">IF(L36="","",IF(OR(S36&lt;&gt;"Y",L36&lt;A_Scoring_Model!$C$33),"Not eligible",IF(L36&gt;=A_Scoring_Model!$C$30,"Tier 1 · Certified",IF(L36&gt;=A_Scoring_Model!$C$31,"Tier 2 · Conditional",IF(L36&gt;=A_Scoring_Model!$C$32,"Tier 3 · Group-local","Tier 4 · Rework")))))</f>
        <v/>
      </c>
      <c r="U36" s="13" t="str">
        <f aca="false">IF(OR(L36="",S36&lt;&gt;"Y"),"",COUNTIFS($A$5:$A$95,A36,$S$5:$S$95,"Y",$L$5:$L$95,"&gt;"&amp;L36)+1)</f>
        <v/>
      </c>
      <c r="V36" s="21" t="str">
        <f aca="false">A36&amp;"|"&amp;U36</f>
        <v>4.b|</v>
      </c>
    </row>
    <row r="37" customFormat="false" ht="15" hidden="false" customHeight="false" outlineLevel="0" collapsed="false">
      <c r="A37" s="13" t="s">
        <v>276</v>
      </c>
      <c r="B37" s="16" t="s">
        <v>277</v>
      </c>
      <c r="C37" s="13" t="s">
        <v>1350</v>
      </c>
      <c r="D37" s="21" t="n">
        <f aca="false">COUNTIFS(E_Measurements!$B$5:$B$546,A37,E_Measurements!$K$5:$K$546,"&lt;&gt;")</f>
        <v>0</v>
      </c>
      <c r="E37" s="21" t="n">
        <f aca="false">COUNTIF(E_Measurements!$B$5:$B$546,A37)</f>
        <v>16</v>
      </c>
      <c r="F37" s="56" t="str">
        <f aca="false">IFERROR(AVERAGEIFS(E_Measurements!$O$5:$O$546,E_Measurements!$B$5:$B$546,$A37,E_Measurements!$D$5:$D$546,"D1"),"")</f>
        <v/>
      </c>
      <c r="G37" s="56" t="str">
        <f aca="false">IFERROR(AVERAGEIFS(E_Measurements!$O$5:$O$546,E_Measurements!$B$5:$B$546,$A37,E_Measurements!$D$5:$D$546,"D2"),"")</f>
        <v/>
      </c>
      <c r="H37" s="56" t="str">
        <f aca="false">IFERROR(AVERAGEIFS(E_Measurements!$O$5:$O$546,E_Measurements!$B$5:$B$546,$A37,E_Measurements!$D$5:$D$546,"D3"),"")</f>
        <v/>
      </c>
      <c r="I37" s="56" t="str">
        <f aca="false">IFERROR(AVERAGEIFS(E_Measurements!$O$5:$O$546,E_Measurements!$B$5:$B$546,$A37,E_Measurements!$D$5:$D$546,"D4"),"")</f>
        <v/>
      </c>
      <c r="J37" s="56" t="str">
        <f aca="false">IFERROR(AVERAGEIFS(E_Measurements!$O$5:$O$546,E_Measurements!$B$5:$B$546,$A37,E_Measurements!$D$5:$D$546,"D5"),"")</f>
        <v/>
      </c>
      <c r="K37" s="56" t="str">
        <f aca="false">IFERROR(AVERAGEIFS(E_Measurements!$O$5:$O$546,E_Measurements!$B$5:$B$546,$A37,E_Measurements!$D$5:$D$546,"D6"),"")</f>
        <v/>
      </c>
      <c r="L37" s="69" t="str">
        <f aca="false">IF(COUNT(F37:K37)&lt;6,"",F37*A_Scoring_Model!$C$5+G37*A_Scoring_Model!$C$6+H37*A_Scoring_Model!$C$7+I37*A_Scoring_Model!$C$8+J37*A_Scoring_Model!$C$9+K37*A_Scoring_Model!$C$10)</f>
        <v/>
      </c>
      <c r="M37" s="70"/>
      <c r="N37" s="70"/>
      <c r="O37" s="70"/>
      <c r="P37" s="70"/>
      <c r="Q37" s="21" t="str">
        <f aca="false">IF(F37="","",IF(COUNTIFS(E_Measurements!$B$5:$B$546,A37,E_Measurements!$D$5:$D$546,"D1",E_Measurements!$O$5:$O$546,0)&gt;0,"N","Y"))</f>
        <v/>
      </c>
      <c r="R37" s="70"/>
      <c r="S37" s="13" t="str">
        <f aca="false">IF(COUNTIF(M37:R37,"Y")=6,"Y","N")</f>
        <v>N</v>
      </c>
      <c r="T37" s="13" t="str">
        <f aca="false">IF(L37="","",IF(OR(S37&lt;&gt;"Y",L37&lt;A_Scoring_Model!$C$33),"Not eligible",IF(L37&gt;=A_Scoring_Model!$C$30,"Tier 1 · Certified",IF(L37&gt;=A_Scoring_Model!$C$31,"Tier 2 · Conditional",IF(L37&gt;=A_Scoring_Model!$C$32,"Tier 3 · Group-local","Tier 4 · Rework")))))</f>
        <v/>
      </c>
      <c r="U37" s="13" t="str">
        <f aca="false">IF(OR(L37="",S37&lt;&gt;"Y"),"",COUNTIFS($A$5:$A$95,A37,$S$5:$S$95,"Y",$L$5:$L$95,"&gt;"&amp;L37)+1)</f>
        <v/>
      </c>
      <c r="V37" s="21" t="str">
        <f aca="false">A37&amp;"|"&amp;U37</f>
        <v>4.b|</v>
      </c>
    </row>
    <row r="38" customFormat="false" ht="15" hidden="false" customHeight="false" outlineLevel="0" collapsed="false">
      <c r="A38" s="13" t="s">
        <v>276</v>
      </c>
      <c r="B38" s="16" t="s">
        <v>277</v>
      </c>
      <c r="C38" s="13" t="s">
        <v>1351</v>
      </c>
      <c r="D38" s="21" t="n">
        <f aca="false">COUNTIFS(E_Measurements!$B$5:$B$546,A38,E_Measurements!$L$5:$L$546,"&lt;&gt;")</f>
        <v>0</v>
      </c>
      <c r="E38" s="21" t="n">
        <f aca="false">COUNTIF(E_Measurements!$B$5:$B$546,A38)</f>
        <v>16</v>
      </c>
      <c r="F38" s="56" t="str">
        <f aca="false">IFERROR(AVERAGEIFS(E_Measurements!$P$5:$P$546,E_Measurements!$B$5:$B$546,$A38,E_Measurements!$D$5:$D$546,"D1"),"")</f>
        <v/>
      </c>
      <c r="G38" s="56" t="str">
        <f aca="false">IFERROR(AVERAGEIFS(E_Measurements!$P$5:$P$546,E_Measurements!$B$5:$B$546,$A38,E_Measurements!$D$5:$D$546,"D2"),"")</f>
        <v/>
      </c>
      <c r="H38" s="56" t="str">
        <f aca="false">IFERROR(AVERAGEIFS(E_Measurements!$P$5:$P$546,E_Measurements!$B$5:$B$546,$A38,E_Measurements!$D$5:$D$546,"D3"),"")</f>
        <v/>
      </c>
      <c r="I38" s="56" t="str">
        <f aca="false">IFERROR(AVERAGEIFS(E_Measurements!$P$5:$P$546,E_Measurements!$B$5:$B$546,$A38,E_Measurements!$D$5:$D$546,"D4"),"")</f>
        <v/>
      </c>
      <c r="J38" s="56" t="str">
        <f aca="false">IFERROR(AVERAGEIFS(E_Measurements!$P$5:$P$546,E_Measurements!$B$5:$B$546,$A38,E_Measurements!$D$5:$D$546,"D5"),"")</f>
        <v/>
      </c>
      <c r="K38" s="56" t="str">
        <f aca="false">IFERROR(AVERAGEIFS(E_Measurements!$P$5:$P$546,E_Measurements!$B$5:$B$546,$A38,E_Measurements!$D$5:$D$546,"D6"),"")</f>
        <v/>
      </c>
      <c r="L38" s="69" t="str">
        <f aca="false">IF(COUNT(F38:K38)&lt;6,"",F38*A_Scoring_Model!$C$5+G38*A_Scoring_Model!$C$6+H38*A_Scoring_Model!$C$7+I38*A_Scoring_Model!$C$8+J38*A_Scoring_Model!$C$9+K38*A_Scoring_Model!$C$10)</f>
        <v/>
      </c>
      <c r="M38" s="70"/>
      <c r="N38" s="70"/>
      <c r="O38" s="70"/>
      <c r="P38" s="70"/>
      <c r="Q38" s="21" t="str">
        <f aca="false">IF(F38="","",IF(COUNTIFS(E_Measurements!$B$5:$B$546,A38,E_Measurements!$D$5:$D$546,"D1",E_Measurements!$P$5:$P$546,0)&gt;0,"N","Y"))</f>
        <v/>
      </c>
      <c r="R38" s="70"/>
      <c r="S38" s="13" t="str">
        <f aca="false">IF(COUNTIF(M38:R38,"Y")=6,"Y","N")</f>
        <v>N</v>
      </c>
      <c r="T38" s="13" t="str">
        <f aca="false">IF(L38="","",IF(OR(S38&lt;&gt;"Y",L38&lt;A_Scoring_Model!$C$33),"Not eligible",IF(L38&gt;=A_Scoring_Model!$C$30,"Tier 1 · Certified",IF(L38&gt;=A_Scoring_Model!$C$31,"Tier 2 · Conditional",IF(L38&gt;=A_Scoring_Model!$C$32,"Tier 3 · Group-local","Tier 4 · Rework")))))</f>
        <v/>
      </c>
      <c r="U38" s="13" t="str">
        <f aca="false">IF(OR(L38="",S38&lt;&gt;"Y"),"",COUNTIFS($A$5:$A$95,A38,$S$5:$S$95,"Y",$L$5:$L$95,"&gt;"&amp;L38)+1)</f>
        <v/>
      </c>
      <c r="V38" s="21" t="str">
        <f aca="false">A38&amp;"|"&amp;U38</f>
        <v>4.b|</v>
      </c>
    </row>
    <row r="39" customFormat="false" ht="15" hidden="false" customHeight="false" outlineLevel="0" collapsed="false">
      <c r="A39" s="68" t="s">
        <v>284</v>
      </c>
      <c r="B39" s="39" t="s">
        <v>285</v>
      </c>
      <c r="C39" s="68" t="s">
        <v>1348</v>
      </c>
      <c r="D39" s="21" t="n">
        <f aca="false">COUNTIFS(E_Measurements!$B$5:$B$546,A39,E_Measurements!$J$5:$J$546,"&lt;&gt;")</f>
        <v>0</v>
      </c>
      <c r="E39" s="21" t="n">
        <f aca="false">COUNTIF(E_Measurements!$B$5:$B$546,A39)</f>
        <v>16</v>
      </c>
      <c r="F39" s="56" t="str">
        <f aca="false">IFERROR(AVERAGEIFS(E_Measurements!$N$5:$N$546,E_Measurements!$B$5:$B$546,$A39,E_Measurements!$D$5:$D$546,"D1"),"")</f>
        <v/>
      </c>
      <c r="G39" s="56" t="str">
        <f aca="false">IFERROR(AVERAGEIFS(E_Measurements!$N$5:$N$546,E_Measurements!$B$5:$B$546,$A39,E_Measurements!$D$5:$D$546,"D2"),"")</f>
        <v/>
      </c>
      <c r="H39" s="56" t="str">
        <f aca="false">IFERROR(AVERAGEIFS(E_Measurements!$N$5:$N$546,E_Measurements!$B$5:$B$546,$A39,E_Measurements!$D$5:$D$546,"D3"),"")</f>
        <v/>
      </c>
      <c r="I39" s="56" t="str">
        <f aca="false">IFERROR(AVERAGEIFS(E_Measurements!$N$5:$N$546,E_Measurements!$B$5:$B$546,$A39,E_Measurements!$D$5:$D$546,"D4"),"")</f>
        <v/>
      </c>
      <c r="J39" s="56" t="str">
        <f aca="false">IFERROR(AVERAGEIFS(E_Measurements!$N$5:$N$546,E_Measurements!$B$5:$B$546,$A39,E_Measurements!$D$5:$D$546,"D5"),"")</f>
        <v/>
      </c>
      <c r="K39" s="56" t="str">
        <f aca="false">IFERROR(AVERAGEIFS(E_Measurements!$N$5:$N$546,E_Measurements!$B$5:$B$546,$A39,E_Measurements!$D$5:$D$546,"D6"),"")</f>
        <v/>
      </c>
      <c r="L39" s="69" t="str">
        <f aca="false">IF(COUNT(F39:K39)&lt;6,"",F39*A_Scoring_Model!$C$5+G39*A_Scoring_Model!$C$6+H39*A_Scoring_Model!$C$7+I39*A_Scoring_Model!$C$8+J39*A_Scoring_Model!$C$9+K39*A_Scoring_Model!$C$10)</f>
        <v/>
      </c>
      <c r="M39" s="70"/>
      <c r="N39" s="70"/>
      <c r="O39" s="70"/>
      <c r="P39" s="70"/>
      <c r="Q39" s="21" t="str">
        <f aca="false">IF(F39="","",IF(COUNTIFS(E_Measurements!$B$5:$B$546,A39,E_Measurements!$D$5:$D$546,"D1",E_Measurements!$N$5:$N$546,0)&gt;0,"N","Y"))</f>
        <v/>
      </c>
      <c r="R39" s="70"/>
      <c r="S39" s="13" t="str">
        <f aca="false">IF(COUNTIF(M39:R39,"Y")=6,"Y","N")</f>
        <v>N</v>
      </c>
      <c r="T39" s="13" t="str">
        <f aca="false">IF(L39="","",IF(OR(S39&lt;&gt;"Y",L39&lt;A_Scoring_Model!$C$33),"Not eligible",IF(L39&gt;=A_Scoring_Model!$C$30,"Tier 1 · Certified",IF(L39&gt;=A_Scoring_Model!$C$31,"Tier 2 · Conditional",IF(L39&gt;=A_Scoring_Model!$C$32,"Tier 3 · Group-local","Tier 4 · Rework")))))</f>
        <v/>
      </c>
      <c r="U39" s="13" t="str">
        <f aca="false">IF(OR(L39="",S39&lt;&gt;"Y"),"",COUNTIFS($A$5:$A$95,A39,$S$5:$S$95,"Y",$L$5:$L$95,"&gt;"&amp;L39)+1)</f>
        <v/>
      </c>
      <c r="V39" s="21" t="str">
        <f aca="false">A39&amp;"|"&amp;U39</f>
        <v>4.c|</v>
      </c>
    </row>
    <row r="40" customFormat="false" ht="15" hidden="false" customHeight="false" outlineLevel="0" collapsed="false">
      <c r="A40" s="68" t="s">
        <v>284</v>
      </c>
      <c r="B40" s="39" t="s">
        <v>285</v>
      </c>
      <c r="C40" s="68" t="s">
        <v>1350</v>
      </c>
      <c r="D40" s="21" t="n">
        <f aca="false">COUNTIFS(E_Measurements!$B$5:$B$546,A40,E_Measurements!$K$5:$K$546,"&lt;&gt;")</f>
        <v>0</v>
      </c>
      <c r="E40" s="21" t="n">
        <f aca="false">COUNTIF(E_Measurements!$B$5:$B$546,A40)</f>
        <v>16</v>
      </c>
      <c r="F40" s="56" t="str">
        <f aca="false">IFERROR(AVERAGEIFS(E_Measurements!$O$5:$O$546,E_Measurements!$B$5:$B$546,$A40,E_Measurements!$D$5:$D$546,"D1"),"")</f>
        <v/>
      </c>
      <c r="G40" s="56" t="str">
        <f aca="false">IFERROR(AVERAGEIFS(E_Measurements!$O$5:$O$546,E_Measurements!$B$5:$B$546,$A40,E_Measurements!$D$5:$D$546,"D2"),"")</f>
        <v/>
      </c>
      <c r="H40" s="56" t="str">
        <f aca="false">IFERROR(AVERAGEIFS(E_Measurements!$O$5:$O$546,E_Measurements!$B$5:$B$546,$A40,E_Measurements!$D$5:$D$546,"D3"),"")</f>
        <v/>
      </c>
      <c r="I40" s="56" t="str">
        <f aca="false">IFERROR(AVERAGEIFS(E_Measurements!$O$5:$O$546,E_Measurements!$B$5:$B$546,$A40,E_Measurements!$D$5:$D$546,"D4"),"")</f>
        <v/>
      </c>
      <c r="J40" s="56" t="str">
        <f aca="false">IFERROR(AVERAGEIFS(E_Measurements!$O$5:$O$546,E_Measurements!$B$5:$B$546,$A40,E_Measurements!$D$5:$D$546,"D5"),"")</f>
        <v/>
      </c>
      <c r="K40" s="56" t="str">
        <f aca="false">IFERROR(AVERAGEIFS(E_Measurements!$O$5:$O$546,E_Measurements!$B$5:$B$546,$A40,E_Measurements!$D$5:$D$546,"D6"),"")</f>
        <v/>
      </c>
      <c r="L40" s="69" t="str">
        <f aca="false">IF(COUNT(F40:K40)&lt;6,"",F40*A_Scoring_Model!$C$5+G40*A_Scoring_Model!$C$6+H40*A_Scoring_Model!$C$7+I40*A_Scoring_Model!$C$8+J40*A_Scoring_Model!$C$9+K40*A_Scoring_Model!$C$10)</f>
        <v/>
      </c>
      <c r="M40" s="70"/>
      <c r="N40" s="70"/>
      <c r="O40" s="70"/>
      <c r="P40" s="70"/>
      <c r="Q40" s="21" t="str">
        <f aca="false">IF(F40="","",IF(COUNTIFS(E_Measurements!$B$5:$B$546,A40,E_Measurements!$D$5:$D$546,"D1",E_Measurements!$O$5:$O$546,0)&gt;0,"N","Y"))</f>
        <v/>
      </c>
      <c r="R40" s="70"/>
      <c r="S40" s="13" t="str">
        <f aca="false">IF(COUNTIF(M40:R40,"Y")=6,"Y","N")</f>
        <v>N</v>
      </c>
      <c r="T40" s="13" t="str">
        <f aca="false">IF(L40="","",IF(OR(S40&lt;&gt;"Y",L40&lt;A_Scoring_Model!$C$33),"Not eligible",IF(L40&gt;=A_Scoring_Model!$C$30,"Tier 1 · Certified",IF(L40&gt;=A_Scoring_Model!$C$31,"Tier 2 · Conditional",IF(L40&gt;=A_Scoring_Model!$C$32,"Tier 3 · Group-local","Tier 4 · Rework")))))</f>
        <v/>
      </c>
      <c r="U40" s="13" t="str">
        <f aca="false">IF(OR(L40="",S40&lt;&gt;"Y"),"",COUNTIFS($A$5:$A$95,A40,$S$5:$S$95,"Y",$L$5:$L$95,"&gt;"&amp;L40)+1)</f>
        <v/>
      </c>
      <c r="V40" s="21" t="str">
        <f aca="false">A40&amp;"|"&amp;U40</f>
        <v>4.c|</v>
      </c>
    </row>
    <row r="41" customFormat="false" ht="15" hidden="false" customHeight="false" outlineLevel="0" collapsed="false">
      <c r="A41" s="68" t="s">
        <v>284</v>
      </c>
      <c r="B41" s="39" t="s">
        <v>285</v>
      </c>
      <c r="C41" s="68" t="s">
        <v>1351</v>
      </c>
      <c r="D41" s="21" t="n">
        <f aca="false">COUNTIFS(E_Measurements!$B$5:$B$546,A41,E_Measurements!$L$5:$L$546,"&lt;&gt;")</f>
        <v>0</v>
      </c>
      <c r="E41" s="21" t="n">
        <f aca="false">COUNTIF(E_Measurements!$B$5:$B$546,A41)</f>
        <v>16</v>
      </c>
      <c r="F41" s="56" t="str">
        <f aca="false">IFERROR(AVERAGEIFS(E_Measurements!$P$5:$P$546,E_Measurements!$B$5:$B$546,$A41,E_Measurements!$D$5:$D$546,"D1"),"")</f>
        <v/>
      </c>
      <c r="G41" s="56" t="str">
        <f aca="false">IFERROR(AVERAGEIFS(E_Measurements!$P$5:$P$546,E_Measurements!$B$5:$B$546,$A41,E_Measurements!$D$5:$D$546,"D2"),"")</f>
        <v/>
      </c>
      <c r="H41" s="56" t="str">
        <f aca="false">IFERROR(AVERAGEIFS(E_Measurements!$P$5:$P$546,E_Measurements!$B$5:$B$546,$A41,E_Measurements!$D$5:$D$546,"D3"),"")</f>
        <v/>
      </c>
      <c r="I41" s="56" t="str">
        <f aca="false">IFERROR(AVERAGEIFS(E_Measurements!$P$5:$P$546,E_Measurements!$B$5:$B$546,$A41,E_Measurements!$D$5:$D$546,"D4"),"")</f>
        <v/>
      </c>
      <c r="J41" s="56" t="str">
        <f aca="false">IFERROR(AVERAGEIFS(E_Measurements!$P$5:$P$546,E_Measurements!$B$5:$B$546,$A41,E_Measurements!$D$5:$D$546,"D5"),"")</f>
        <v/>
      </c>
      <c r="K41" s="56" t="str">
        <f aca="false">IFERROR(AVERAGEIFS(E_Measurements!$P$5:$P$546,E_Measurements!$B$5:$B$546,$A41,E_Measurements!$D$5:$D$546,"D6"),"")</f>
        <v/>
      </c>
      <c r="L41" s="69" t="str">
        <f aca="false">IF(COUNT(F41:K41)&lt;6,"",F41*A_Scoring_Model!$C$5+G41*A_Scoring_Model!$C$6+H41*A_Scoring_Model!$C$7+I41*A_Scoring_Model!$C$8+J41*A_Scoring_Model!$C$9+K41*A_Scoring_Model!$C$10)</f>
        <v/>
      </c>
      <c r="M41" s="70"/>
      <c r="N41" s="70"/>
      <c r="O41" s="70"/>
      <c r="P41" s="70"/>
      <c r="Q41" s="21" t="str">
        <f aca="false">IF(F41="","",IF(COUNTIFS(E_Measurements!$B$5:$B$546,A41,E_Measurements!$D$5:$D$546,"D1",E_Measurements!$P$5:$P$546,0)&gt;0,"N","Y"))</f>
        <v/>
      </c>
      <c r="R41" s="70"/>
      <c r="S41" s="13" t="str">
        <f aca="false">IF(COUNTIF(M41:R41,"Y")=6,"Y","N")</f>
        <v>N</v>
      </c>
      <c r="T41" s="13" t="str">
        <f aca="false">IF(L41="","",IF(OR(S41&lt;&gt;"Y",L41&lt;A_Scoring_Model!$C$33),"Not eligible",IF(L41&gt;=A_Scoring_Model!$C$30,"Tier 1 · Certified",IF(L41&gt;=A_Scoring_Model!$C$31,"Tier 2 · Conditional",IF(L41&gt;=A_Scoring_Model!$C$32,"Tier 3 · Group-local","Tier 4 · Rework")))))</f>
        <v/>
      </c>
      <c r="U41" s="13" t="str">
        <f aca="false">IF(OR(L41="",S41&lt;&gt;"Y"),"",COUNTIFS($A$5:$A$95,A41,$S$5:$S$95,"Y",$L$5:$L$95,"&gt;"&amp;L41)+1)</f>
        <v/>
      </c>
      <c r="V41" s="21" t="str">
        <f aca="false">A41&amp;"|"&amp;U41</f>
        <v>4.c|</v>
      </c>
    </row>
    <row r="42" customFormat="false" ht="15" hidden="false" customHeight="false" outlineLevel="0" collapsed="false">
      <c r="A42" s="13" t="s">
        <v>292</v>
      </c>
      <c r="B42" s="16" t="s">
        <v>293</v>
      </c>
      <c r="C42" s="13" t="s">
        <v>1348</v>
      </c>
      <c r="D42" s="21" t="n">
        <f aca="false">COUNTIFS(E_Measurements!$B$5:$B$546,A42,E_Measurements!$J$5:$J$546,"&lt;&gt;")</f>
        <v>0</v>
      </c>
      <c r="E42" s="21" t="n">
        <f aca="false">COUNTIF(E_Measurements!$B$5:$B$546,A42)</f>
        <v>17</v>
      </c>
      <c r="F42" s="56" t="str">
        <f aca="false">IFERROR(AVERAGEIFS(E_Measurements!$N$5:$N$546,E_Measurements!$B$5:$B$546,$A42,E_Measurements!$D$5:$D$546,"D1"),"")</f>
        <v/>
      </c>
      <c r="G42" s="56" t="str">
        <f aca="false">IFERROR(AVERAGEIFS(E_Measurements!$N$5:$N$546,E_Measurements!$B$5:$B$546,$A42,E_Measurements!$D$5:$D$546,"D2"),"")</f>
        <v/>
      </c>
      <c r="H42" s="56" t="str">
        <f aca="false">IFERROR(AVERAGEIFS(E_Measurements!$N$5:$N$546,E_Measurements!$B$5:$B$546,$A42,E_Measurements!$D$5:$D$546,"D3"),"")</f>
        <v/>
      </c>
      <c r="I42" s="56" t="str">
        <f aca="false">IFERROR(AVERAGEIFS(E_Measurements!$N$5:$N$546,E_Measurements!$B$5:$B$546,$A42,E_Measurements!$D$5:$D$546,"D4"),"")</f>
        <v/>
      </c>
      <c r="J42" s="56" t="str">
        <f aca="false">IFERROR(AVERAGEIFS(E_Measurements!$N$5:$N$546,E_Measurements!$B$5:$B$546,$A42,E_Measurements!$D$5:$D$546,"D5"),"")</f>
        <v/>
      </c>
      <c r="K42" s="56" t="str">
        <f aca="false">IFERROR(AVERAGEIFS(E_Measurements!$N$5:$N$546,E_Measurements!$B$5:$B$546,$A42,E_Measurements!$D$5:$D$546,"D6"),"")</f>
        <v/>
      </c>
      <c r="L42" s="69" t="str">
        <f aca="false">IF(COUNT(F42:K42)&lt;6,"",F42*A_Scoring_Model!$C$5+G42*A_Scoring_Model!$C$6+H42*A_Scoring_Model!$C$7+I42*A_Scoring_Model!$C$8+J42*A_Scoring_Model!$C$9+K42*A_Scoring_Model!$C$10)</f>
        <v/>
      </c>
      <c r="M42" s="70"/>
      <c r="N42" s="70"/>
      <c r="O42" s="70"/>
      <c r="P42" s="70"/>
      <c r="Q42" s="21" t="str">
        <f aca="false">IF(F42="","",IF(COUNTIFS(E_Measurements!$B$5:$B$546,A42,E_Measurements!$D$5:$D$546,"D1",E_Measurements!$N$5:$N$546,0)&gt;0,"N","Y"))</f>
        <v/>
      </c>
      <c r="R42" s="70"/>
      <c r="S42" s="13" t="str">
        <f aca="false">IF(COUNTIF(M42:R42,"Y")=6,"Y","N")</f>
        <v>N</v>
      </c>
      <c r="T42" s="13" t="str">
        <f aca="false">IF(L42="","",IF(OR(S42&lt;&gt;"Y",L42&lt;A_Scoring_Model!$C$33),"Not eligible",IF(L42&gt;=A_Scoring_Model!$C$30,"Tier 1 · Certified",IF(L42&gt;=A_Scoring_Model!$C$31,"Tier 2 · Conditional",IF(L42&gt;=A_Scoring_Model!$C$32,"Tier 3 · Group-local","Tier 4 · Rework")))))</f>
        <v/>
      </c>
      <c r="U42" s="13" t="str">
        <f aca="false">IF(OR(L42="",S42&lt;&gt;"Y"),"",COUNTIFS($A$5:$A$95,A42,$S$5:$S$95,"Y",$L$5:$L$95,"&gt;"&amp;L42)+1)</f>
        <v/>
      </c>
      <c r="V42" s="21" t="str">
        <f aca="false">A42&amp;"|"&amp;U42</f>
        <v>5.a|</v>
      </c>
    </row>
    <row r="43" customFormat="false" ht="15" hidden="false" customHeight="false" outlineLevel="0" collapsed="false">
      <c r="A43" s="13" t="s">
        <v>292</v>
      </c>
      <c r="B43" s="16" t="s">
        <v>293</v>
      </c>
      <c r="C43" s="13" t="s">
        <v>1350</v>
      </c>
      <c r="D43" s="21" t="n">
        <f aca="false">COUNTIFS(E_Measurements!$B$5:$B$546,A43,E_Measurements!$K$5:$K$546,"&lt;&gt;")</f>
        <v>0</v>
      </c>
      <c r="E43" s="21" t="n">
        <f aca="false">COUNTIF(E_Measurements!$B$5:$B$546,A43)</f>
        <v>17</v>
      </c>
      <c r="F43" s="56" t="str">
        <f aca="false">IFERROR(AVERAGEIFS(E_Measurements!$O$5:$O$546,E_Measurements!$B$5:$B$546,$A43,E_Measurements!$D$5:$D$546,"D1"),"")</f>
        <v/>
      </c>
      <c r="G43" s="56" t="str">
        <f aca="false">IFERROR(AVERAGEIFS(E_Measurements!$O$5:$O$546,E_Measurements!$B$5:$B$546,$A43,E_Measurements!$D$5:$D$546,"D2"),"")</f>
        <v/>
      </c>
      <c r="H43" s="56" t="str">
        <f aca="false">IFERROR(AVERAGEIFS(E_Measurements!$O$5:$O$546,E_Measurements!$B$5:$B$546,$A43,E_Measurements!$D$5:$D$546,"D3"),"")</f>
        <v/>
      </c>
      <c r="I43" s="56" t="str">
        <f aca="false">IFERROR(AVERAGEIFS(E_Measurements!$O$5:$O$546,E_Measurements!$B$5:$B$546,$A43,E_Measurements!$D$5:$D$546,"D4"),"")</f>
        <v/>
      </c>
      <c r="J43" s="56" t="str">
        <f aca="false">IFERROR(AVERAGEIFS(E_Measurements!$O$5:$O$546,E_Measurements!$B$5:$B$546,$A43,E_Measurements!$D$5:$D$546,"D5"),"")</f>
        <v/>
      </c>
      <c r="K43" s="56" t="str">
        <f aca="false">IFERROR(AVERAGEIFS(E_Measurements!$O$5:$O$546,E_Measurements!$B$5:$B$546,$A43,E_Measurements!$D$5:$D$546,"D6"),"")</f>
        <v/>
      </c>
      <c r="L43" s="69" t="str">
        <f aca="false">IF(COUNT(F43:K43)&lt;6,"",F43*A_Scoring_Model!$C$5+G43*A_Scoring_Model!$C$6+H43*A_Scoring_Model!$C$7+I43*A_Scoring_Model!$C$8+J43*A_Scoring_Model!$C$9+K43*A_Scoring_Model!$C$10)</f>
        <v/>
      </c>
      <c r="M43" s="70"/>
      <c r="N43" s="70"/>
      <c r="O43" s="70"/>
      <c r="P43" s="70"/>
      <c r="Q43" s="21" t="str">
        <f aca="false">IF(F43="","",IF(COUNTIFS(E_Measurements!$B$5:$B$546,A43,E_Measurements!$D$5:$D$546,"D1",E_Measurements!$O$5:$O$546,0)&gt;0,"N","Y"))</f>
        <v/>
      </c>
      <c r="R43" s="70"/>
      <c r="S43" s="13" t="str">
        <f aca="false">IF(COUNTIF(M43:R43,"Y")=6,"Y","N")</f>
        <v>N</v>
      </c>
      <c r="T43" s="13" t="str">
        <f aca="false">IF(L43="","",IF(OR(S43&lt;&gt;"Y",L43&lt;A_Scoring_Model!$C$33),"Not eligible",IF(L43&gt;=A_Scoring_Model!$C$30,"Tier 1 · Certified",IF(L43&gt;=A_Scoring_Model!$C$31,"Tier 2 · Conditional",IF(L43&gt;=A_Scoring_Model!$C$32,"Tier 3 · Group-local","Tier 4 · Rework")))))</f>
        <v/>
      </c>
      <c r="U43" s="13" t="str">
        <f aca="false">IF(OR(L43="",S43&lt;&gt;"Y"),"",COUNTIFS($A$5:$A$95,A43,$S$5:$S$95,"Y",$L$5:$L$95,"&gt;"&amp;L43)+1)</f>
        <v/>
      </c>
      <c r="V43" s="21" t="str">
        <f aca="false">A43&amp;"|"&amp;U43</f>
        <v>5.a|</v>
      </c>
    </row>
    <row r="44" customFormat="false" ht="15" hidden="false" customHeight="false" outlineLevel="0" collapsed="false">
      <c r="A44" s="13" t="s">
        <v>292</v>
      </c>
      <c r="B44" s="16" t="s">
        <v>293</v>
      </c>
      <c r="C44" s="13" t="s">
        <v>1351</v>
      </c>
      <c r="D44" s="21" t="n">
        <f aca="false">COUNTIFS(E_Measurements!$B$5:$B$546,A44,E_Measurements!$L$5:$L$546,"&lt;&gt;")</f>
        <v>0</v>
      </c>
      <c r="E44" s="21" t="n">
        <f aca="false">COUNTIF(E_Measurements!$B$5:$B$546,A44)</f>
        <v>17</v>
      </c>
      <c r="F44" s="56" t="str">
        <f aca="false">IFERROR(AVERAGEIFS(E_Measurements!$P$5:$P$546,E_Measurements!$B$5:$B$546,$A44,E_Measurements!$D$5:$D$546,"D1"),"")</f>
        <v/>
      </c>
      <c r="G44" s="56" t="str">
        <f aca="false">IFERROR(AVERAGEIFS(E_Measurements!$P$5:$P$546,E_Measurements!$B$5:$B$546,$A44,E_Measurements!$D$5:$D$546,"D2"),"")</f>
        <v/>
      </c>
      <c r="H44" s="56" t="str">
        <f aca="false">IFERROR(AVERAGEIFS(E_Measurements!$P$5:$P$546,E_Measurements!$B$5:$B$546,$A44,E_Measurements!$D$5:$D$546,"D3"),"")</f>
        <v/>
      </c>
      <c r="I44" s="56" t="str">
        <f aca="false">IFERROR(AVERAGEIFS(E_Measurements!$P$5:$P$546,E_Measurements!$B$5:$B$546,$A44,E_Measurements!$D$5:$D$546,"D4"),"")</f>
        <v/>
      </c>
      <c r="J44" s="56" t="str">
        <f aca="false">IFERROR(AVERAGEIFS(E_Measurements!$P$5:$P$546,E_Measurements!$B$5:$B$546,$A44,E_Measurements!$D$5:$D$546,"D5"),"")</f>
        <v/>
      </c>
      <c r="K44" s="56" t="str">
        <f aca="false">IFERROR(AVERAGEIFS(E_Measurements!$P$5:$P$546,E_Measurements!$B$5:$B$546,$A44,E_Measurements!$D$5:$D$546,"D6"),"")</f>
        <v/>
      </c>
      <c r="L44" s="69" t="str">
        <f aca="false">IF(COUNT(F44:K44)&lt;6,"",F44*A_Scoring_Model!$C$5+G44*A_Scoring_Model!$C$6+H44*A_Scoring_Model!$C$7+I44*A_Scoring_Model!$C$8+J44*A_Scoring_Model!$C$9+K44*A_Scoring_Model!$C$10)</f>
        <v/>
      </c>
      <c r="M44" s="70"/>
      <c r="N44" s="70"/>
      <c r="O44" s="70"/>
      <c r="P44" s="70"/>
      <c r="Q44" s="21" t="str">
        <f aca="false">IF(F44="","",IF(COUNTIFS(E_Measurements!$B$5:$B$546,A44,E_Measurements!$D$5:$D$546,"D1",E_Measurements!$P$5:$P$546,0)&gt;0,"N","Y"))</f>
        <v/>
      </c>
      <c r="R44" s="70"/>
      <c r="S44" s="13" t="str">
        <f aca="false">IF(COUNTIF(M44:R44,"Y")=6,"Y","N")</f>
        <v>N</v>
      </c>
      <c r="T44" s="13" t="str">
        <f aca="false">IF(L44="","",IF(OR(S44&lt;&gt;"Y",L44&lt;A_Scoring_Model!$C$33),"Not eligible",IF(L44&gt;=A_Scoring_Model!$C$30,"Tier 1 · Certified",IF(L44&gt;=A_Scoring_Model!$C$31,"Tier 2 · Conditional",IF(L44&gt;=A_Scoring_Model!$C$32,"Tier 3 · Group-local","Tier 4 · Rework")))))</f>
        <v/>
      </c>
      <c r="U44" s="13" t="str">
        <f aca="false">IF(OR(L44="",S44&lt;&gt;"Y"),"",COUNTIFS($A$5:$A$95,A44,$S$5:$S$95,"Y",$L$5:$L$95,"&gt;"&amp;L44)+1)</f>
        <v/>
      </c>
      <c r="V44" s="21" t="str">
        <f aca="false">A44&amp;"|"&amp;U44</f>
        <v>5.a|</v>
      </c>
    </row>
    <row r="45" customFormat="false" ht="15" hidden="false" customHeight="false" outlineLevel="0" collapsed="false">
      <c r="A45" s="68" t="s">
        <v>299</v>
      </c>
      <c r="B45" s="39" t="s">
        <v>300</v>
      </c>
      <c r="C45" s="68" t="s">
        <v>1348</v>
      </c>
      <c r="D45" s="21" t="n">
        <f aca="false">COUNTIFS(E_Measurements!$B$5:$B$546,A45,E_Measurements!$J$5:$J$546,"&lt;&gt;")</f>
        <v>0</v>
      </c>
      <c r="E45" s="21" t="n">
        <f aca="false">COUNTIF(E_Measurements!$B$5:$B$546,A45)</f>
        <v>16</v>
      </c>
      <c r="F45" s="56" t="str">
        <f aca="false">IFERROR(AVERAGEIFS(E_Measurements!$N$5:$N$546,E_Measurements!$B$5:$B$546,$A45,E_Measurements!$D$5:$D$546,"D1"),"")</f>
        <v/>
      </c>
      <c r="G45" s="56" t="str">
        <f aca="false">IFERROR(AVERAGEIFS(E_Measurements!$N$5:$N$546,E_Measurements!$B$5:$B$546,$A45,E_Measurements!$D$5:$D$546,"D2"),"")</f>
        <v/>
      </c>
      <c r="H45" s="56" t="str">
        <f aca="false">IFERROR(AVERAGEIFS(E_Measurements!$N$5:$N$546,E_Measurements!$B$5:$B$546,$A45,E_Measurements!$D$5:$D$546,"D3"),"")</f>
        <v/>
      </c>
      <c r="I45" s="56" t="str">
        <f aca="false">IFERROR(AVERAGEIFS(E_Measurements!$N$5:$N$546,E_Measurements!$B$5:$B$546,$A45,E_Measurements!$D$5:$D$546,"D4"),"")</f>
        <v/>
      </c>
      <c r="J45" s="56" t="str">
        <f aca="false">IFERROR(AVERAGEIFS(E_Measurements!$N$5:$N$546,E_Measurements!$B$5:$B$546,$A45,E_Measurements!$D$5:$D$546,"D5"),"")</f>
        <v/>
      </c>
      <c r="K45" s="56" t="str">
        <f aca="false">IFERROR(AVERAGEIFS(E_Measurements!$N$5:$N$546,E_Measurements!$B$5:$B$546,$A45,E_Measurements!$D$5:$D$546,"D6"),"")</f>
        <v/>
      </c>
      <c r="L45" s="69" t="str">
        <f aca="false">IF(COUNT(F45:K45)&lt;6,"",F45*A_Scoring_Model!$C$5+G45*A_Scoring_Model!$C$6+H45*A_Scoring_Model!$C$7+I45*A_Scoring_Model!$C$8+J45*A_Scoring_Model!$C$9+K45*A_Scoring_Model!$C$10)</f>
        <v/>
      </c>
      <c r="M45" s="70"/>
      <c r="N45" s="70"/>
      <c r="O45" s="70"/>
      <c r="P45" s="70"/>
      <c r="Q45" s="21" t="str">
        <f aca="false">IF(F45="","",IF(COUNTIFS(E_Measurements!$B$5:$B$546,A45,E_Measurements!$D$5:$D$546,"D1",E_Measurements!$N$5:$N$546,0)&gt;0,"N","Y"))</f>
        <v/>
      </c>
      <c r="R45" s="70"/>
      <c r="S45" s="13" t="str">
        <f aca="false">IF(COUNTIF(M45:R45,"Y")=6,"Y","N")</f>
        <v>N</v>
      </c>
      <c r="T45" s="13" t="str">
        <f aca="false">IF(L45="","",IF(OR(S45&lt;&gt;"Y",L45&lt;A_Scoring_Model!$C$33),"Not eligible",IF(L45&gt;=A_Scoring_Model!$C$30,"Tier 1 · Certified",IF(L45&gt;=A_Scoring_Model!$C$31,"Tier 2 · Conditional",IF(L45&gt;=A_Scoring_Model!$C$32,"Tier 3 · Group-local","Tier 4 · Rework")))))</f>
        <v/>
      </c>
      <c r="U45" s="13" t="str">
        <f aca="false">IF(OR(L45="",S45&lt;&gt;"Y"),"",COUNTIFS($A$5:$A$95,A45,$S$5:$S$95,"Y",$L$5:$L$95,"&gt;"&amp;L45)+1)</f>
        <v/>
      </c>
      <c r="V45" s="21" t="str">
        <f aca="false">A45&amp;"|"&amp;U45</f>
        <v>5.b|</v>
      </c>
    </row>
    <row r="46" customFormat="false" ht="15" hidden="false" customHeight="false" outlineLevel="0" collapsed="false">
      <c r="A46" s="68" t="s">
        <v>299</v>
      </c>
      <c r="B46" s="39" t="s">
        <v>300</v>
      </c>
      <c r="C46" s="68" t="s">
        <v>1350</v>
      </c>
      <c r="D46" s="21" t="n">
        <f aca="false">COUNTIFS(E_Measurements!$B$5:$B$546,A46,E_Measurements!$K$5:$K$546,"&lt;&gt;")</f>
        <v>0</v>
      </c>
      <c r="E46" s="21" t="n">
        <f aca="false">COUNTIF(E_Measurements!$B$5:$B$546,A46)</f>
        <v>16</v>
      </c>
      <c r="F46" s="56" t="str">
        <f aca="false">IFERROR(AVERAGEIFS(E_Measurements!$O$5:$O$546,E_Measurements!$B$5:$B$546,$A46,E_Measurements!$D$5:$D$546,"D1"),"")</f>
        <v/>
      </c>
      <c r="G46" s="56" t="str">
        <f aca="false">IFERROR(AVERAGEIFS(E_Measurements!$O$5:$O$546,E_Measurements!$B$5:$B$546,$A46,E_Measurements!$D$5:$D$546,"D2"),"")</f>
        <v/>
      </c>
      <c r="H46" s="56" t="str">
        <f aca="false">IFERROR(AVERAGEIFS(E_Measurements!$O$5:$O$546,E_Measurements!$B$5:$B$546,$A46,E_Measurements!$D$5:$D$546,"D3"),"")</f>
        <v/>
      </c>
      <c r="I46" s="56" t="str">
        <f aca="false">IFERROR(AVERAGEIFS(E_Measurements!$O$5:$O$546,E_Measurements!$B$5:$B$546,$A46,E_Measurements!$D$5:$D$546,"D4"),"")</f>
        <v/>
      </c>
      <c r="J46" s="56" t="str">
        <f aca="false">IFERROR(AVERAGEIFS(E_Measurements!$O$5:$O$546,E_Measurements!$B$5:$B$546,$A46,E_Measurements!$D$5:$D$546,"D5"),"")</f>
        <v/>
      </c>
      <c r="K46" s="56" t="str">
        <f aca="false">IFERROR(AVERAGEIFS(E_Measurements!$O$5:$O$546,E_Measurements!$B$5:$B$546,$A46,E_Measurements!$D$5:$D$546,"D6"),"")</f>
        <v/>
      </c>
      <c r="L46" s="69" t="str">
        <f aca="false">IF(COUNT(F46:K46)&lt;6,"",F46*A_Scoring_Model!$C$5+G46*A_Scoring_Model!$C$6+H46*A_Scoring_Model!$C$7+I46*A_Scoring_Model!$C$8+J46*A_Scoring_Model!$C$9+K46*A_Scoring_Model!$C$10)</f>
        <v/>
      </c>
      <c r="M46" s="70"/>
      <c r="N46" s="70"/>
      <c r="O46" s="70"/>
      <c r="P46" s="70"/>
      <c r="Q46" s="21" t="str">
        <f aca="false">IF(F46="","",IF(COUNTIFS(E_Measurements!$B$5:$B$546,A46,E_Measurements!$D$5:$D$546,"D1",E_Measurements!$O$5:$O$546,0)&gt;0,"N","Y"))</f>
        <v/>
      </c>
      <c r="R46" s="70"/>
      <c r="S46" s="13" t="str">
        <f aca="false">IF(COUNTIF(M46:R46,"Y")=6,"Y","N")</f>
        <v>N</v>
      </c>
      <c r="T46" s="13" t="str">
        <f aca="false">IF(L46="","",IF(OR(S46&lt;&gt;"Y",L46&lt;A_Scoring_Model!$C$33),"Not eligible",IF(L46&gt;=A_Scoring_Model!$C$30,"Tier 1 · Certified",IF(L46&gt;=A_Scoring_Model!$C$31,"Tier 2 · Conditional",IF(L46&gt;=A_Scoring_Model!$C$32,"Tier 3 · Group-local","Tier 4 · Rework")))))</f>
        <v/>
      </c>
      <c r="U46" s="13" t="str">
        <f aca="false">IF(OR(L46="",S46&lt;&gt;"Y"),"",COUNTIFS($A$5:$A$95,A46,$S$5:$S$95,"Y",$L$5:$L$95,"&gt;"&amp;L46)+1)</f>
        <v/>
      </c>
      <c r="V46" s="21" t="str">
        <f aca="false">A46&amp;"|"&amp;U46</f>
        <v>5.b|</v>
      </c>
    </row>
    <row r="47" customFormat="false" ht="15" hidden="false" customHeight="false" outlineLevel="0" collapsed="false">
      <c r="A47" s="68" t="s">
        <v>299</v>
      </c>
      <c r="B47" s="39" t="s">
        <v>300</v>
      </c>
      <c r="C47" s="68" t="s">
        <v>1351</v>
      </c>
      <c r="D47" s="21" t="n">
        <f aca="false">COUNTIFS(E_Measurements!$B$5:$B$546,A47,E_Measurements!$L$5:$L$546,"&lt;&gt;")</f>
        <v>0</v>
      </c>
      <c r="E47" s="21" t="n">
        <f aca="false">COUNTIF(E_Measurements!$B$5:$B$546,A47)</f>
        <v>16</v>
      </c>
      <c r="F47" s="56" t="str">
        <f aca="false">IFERROR(AVERAGEIFS(E_Measurements!$P$5:$P$546,E_Measurements!$B$5:$B$546,$A47,E_Measurements!$D$5:$D$546,"D1"),"")</f>
        <v/>
      </c>
      <c r="G47" s="56" t="str">
        <f aca="false">IFERROR(AVERAGEIFS(E_Measurements!$P$5:$P$546,E_Measurements!$B$5:$B$546,$A47,E_Measurements!$D$5:$D$546,"D2"),"")</f>
        <v/>
      </c>
      <c r="H47" s="56" t="str">
        <f aca="false">IFERROR(AVERAGEIFS(E_Measurements!$P$5:$P$546,E_Measurements!$B$5:$B$546,$A47,E_Measurements!$D$5:$D$546,"D3"),"")</f>
        <v/>
      </c>
      <c r="I47" s="56" t="str">
        <f aca="false">IFERROR(AVERAGEIFS(E_Measurements!$P$5:$P$546,E_Measurements!$B$5:$B$546,$A47,E_Measurements!$D$5:$D$546,"D4"),"")</f>
        <v/>
      </c>
      <c r="J47" s="56" t="str">
        <f aca="false">IFERROR(AVERAGEIFS(E_Measurements!$P$5:$P$546,E_Measurements!$B$5:$B$546,$A47,E_Measurements!$D$5:$D$546,"D5"),"")</f>
        <v/>
      </c>
      <c r="K47" s="56" t="str">
        <f aca="false">IFERROR(AVERAGEIFS(E_Measurements!$P$5:$P$546,E_Measurements!$B$5:$B$546,$A47,E_Measurements!$D$5:$D$546,"D6"),"")</f>
        <v/>
      </c>
      <c r="L47" s="69" t="str">
        <f aca="false">IF(COUNT(F47:K47)&lt;6,"",F47*A_Scoring_Model!$C$5+G47*A_Scoring_Model!$C$6+H47*A_Scoring_Model!$C$7+I47*A_Scoring_Model!$C$8+J47*A_Scoring_Model!$C$9+K47*A_Scoring_Model!$C$10)</f>
        <v/>
      </c>
      <c r="M47" s="70"/>
      <c r="N47" s="70"/>
      <c r="O47" s="70"/>
      <c r="P47" s="70"/>
      <c r="Q47" s="21" t="str">
        <f aca="false">IF(F47="","",IF(COUNTIFS(E_Measurements!$B$5:$B$546,A47,E_Measurements!$D$5:$D$546,"D1",E_Measurements!$P$5:$P$546,0)&gt;0,"N","Y"))</f>
        <v/>
      </c>
      <c r="R47" s="70"/>
      <c r="S47" s="13" t="str">
        <f aca="false">IF(COUNTIF(M47:R47,"Y")=6,"Y","N")</f>
        <v>N</v>
      </c>
      <c r="T47" s="13" t="str">
        <f aca="false">IF(L47="","",IF(OR(S47&lt;&gt;"Y",L47&lt;A_Scoring_Model!$C$33),"Not eligible",IF(L47&gt;=A_Scoring_Model!$C$30,"Tier 1 · Certified",IF(L47&gt;=A_Scoring_Model!$C$31,"Tier 2 · Conditional",IF(L47&gt;=A_Scoring_Model!$C$32,"Tier 3 · Group-local","Tier 4 · Rework")))))</f>
        <v/>
      </c>
      <c r="U47" s="13" t="str">
        <f aca="false">IF(OR(L47="",S47&lt;&gt;"Y"),"",COUNTIFS($A$5:$A$95,A47,$S$5:$S$95,"Y",$L$5:$L$95,"&gt;"&amp;L47)+1)</f>
        <v/>
      </c>
      <c r="V47" s="21" t="str">
        <f aca="false">A47&amp;"|"&amp;U47</f>
        <v>5.b|</v>
      </c>
    </row>
    <row r="48" customFormat="false" ht="15" hidden="false" customHeight="false" outlineLevel="0" collapsed="false">
      <c r="A48" s="13" t="s">
        <v>305</v>
      </c>
      <c r="B48" s="16" t="s">
        <v>306</v>
      </c>
      <c r="C48" s="13" t="s">
        <v>1348</v>
      </c>
      <c r="D48" s="21" t="n">
        <f aca="false">COUNTIFS(E_Measurements!$B$5:$B$546,A48,E_Measurements!$J$5:$J$546,"&lt;&gt;")</f>
        <v>0</v>
      </c>
      <c r="E48" s="21" t="n">
        <f aca="false">COUNTIF(E_Measurements!$B$5:$B$546,A48)</f>
        <v>17</v>
      </c>
      <c r="F48" s="56" t="str">
        <f aca="false">IFERROR(AVERAGEIFS(E_Measurements!$N$5:$N$546,E_Measurements!$B$5:$B$546,$A48,E_Measurements!$D$5:$D$546,"D1"),"")</f>
        <v/>
      </c>
      <c r="G48" s="56" t="str">
        <f aca="false">IFERROR(AVERAGEIFS(E_Measurements!$N$5:$N$546,E_Measurements!$B$5:$B$546,$A48,E_Measurements!$D$5:$D$546,"D2"),"")</f>
        <v/>
      </c>
      <c r="H48" s="56" t="str">
        <f aca="false">IFERROR(AVERAGEIFS(E_Measurements!$N$5:$N$546,E_Measurements!$B$5:$B$546,$A48,E_Measurements!$D$5:$D$546,"D3"),"")</f>
        <v/>
      </c>
      <c r="I48" s="56" t="str">
        <f aca="false">IFERROR(AVERAGEIFS(E_Measurements!$N$5:$N$546,E_Measurements!$B$5:$B$546,$A48,E_Measurements!$D$5:$D$546,"D4"),"")</f>
        <v/>
      </c>
      <c r="J48" s="56" t="str">
        <f aca="false">IFERROR(AVERAGEIFS(E_Measurements!$N$5:$N$546,E_Measurements!$B$5:$B$546,$A48,E_Measurements!$D$5:$D$546,"D5"),"")</f>
        <v/>
      </c>
      <c r="K48" s="56" t="str">
        <f aca="false">IFERROR(AVERAGEIFS(E_Measurements!$N$5:$N$546,E_Measurements!$B$5:$B$546,$A48,E_Measurements!$D$5:$D$546,"D6"),"")</f>
        <v/>
      </c>
      <c r="L48" s="69" t="str">
        <f aca="false">IF(COUNT(F48:K48)&lt;6,"",F48*A_Scoring_Model!$C$5+G48*A_Scoring_Model!$C$6+H48*A_Scoring_Model!$C$7+I48*A_Scoring_Model!$C$8+J48*A_Scoring_Model!$C$9+K48*A_Scoring_Model!$C$10)</f>
        <v/>
      </c>
      <c r="M48" s="70"/>
      <c r="N48" s="70"/>
      <c r="O48" s="70"/>
      <c r="P48" s="70"/>
      <c r="Q48" s="21" t="str">
        <f aca="false">IF(F48="","",IF(COUNTIFS(E_Measurements!$B$5:$B$546,A48,E_Measurements!$D$5:$D$546,"D1",E_Measurements!$N$5:$N$546,0)&gt;0,"N","Y"))</f>
        <v/>
      </c>
      <c r="R48" s="70"/>
      <c r="S48" s="13" t="str">
        <f aca="false">IF(COUNTIF(M48:R48,"Y")=6,"Y","N")</f>
        <v>N</v>
      </c>
      <c r="T48" s="13" t="str">
        <f aca="false">IF(L48="","",IF(OR(S48&lt;&gt;"Y",L48&lt;A_Scoring_Model!$C$33),"Not eligible",IF(L48&gt;=A_Scoring_Model!$C$30,"Tier 1 · Certified",IF(L48&gt;=A_Scoring_Model!$C$31,"Tier 2 · Conditional",IF(L48&gt;=A_Scoring_Model!$C$32,"Tier 3 · Group-local","Tier 4 · Rework")))))</f>
        <v/>
      </c>
      <c r="U48" s="13" t="str">
        <f aca="false">IF(OR(L48="",S48&lt;&gt;"Y"),"",COUNTIFS($A$5:$A$95,A48,$S$5:$S$95,"Y",$L$5:$L$95,"&gt;"&amp;L48)+1)</f>
        <v/>
      </c>
      <c r="V48" s="21" t="str">
        <f aca="false">A48&amp;"|"&amp;U48</f>
        <v>5.c|</v>
      </c>
    </row>
    <row r="49" customFormat="false" ht="15" hidden="false" customHeight="false" outlineLevel="0" collapsed="false">
      <c r="A49" s="13" t="s">
        <v>305</v>
      </c>
      <c r="B49" s="16" t="s">
        <v>306</v>
      </c>
      <c r="C49" s="13" t="s">
        <v>1350</v>
      </c>
      <c r="D49" s="21" t="n">
        <f aca="false">COUNTIFS(E_Measurements!$B$5:$B$546,A49,E_Measurements!$K$5:$K$546,"&lt;&gt;")</f>
        <v>0</v>
      </c>
      <c r="E49" s="21" t="n">
        <f aca="false">COUNTIF(E_Measurements!$B$5:$B$546,A49)</f>
        <v>17</v>
      </c>
      <c r="F49" s="56" t="str">
        <f aca="false">IFERROR(AVERAGEIFS(E_Measurements!$O$5:$O$546,E_Measurements!$B$5:$B$546,$A49,E_Measurements!$D$5:$D$546,"D1"),"")</f>
        <v/>
      </c>
      <c r="G49" s="56" t="str">
        <f aca="false">IFERROR(AVERAGEIFS(E_Measurements!$O$5:$O$546,E_Measurements!$B$5:$B$546,$A49,E_Measurements!$D$5:$D$546,"D2"),"")</f>
        <v/>
      </c>
      <c r="H49" s="56" t="str">
        <f aca="false">IFERROR(AVERAGEIFS(E_Measurements!$O$5:$O$546,E_Measurements!$B$5:$B$546,$A49,E_Measurements!$D$5:$D$546,"D3"),"")</f>
        <v/>
      </c>
      <c r="I49" s="56" t="str">
        <f aca="false">IFERROR(AVERAGEIFS(E_Measurements!$O$5:$O$546,E_Measurements!$B$5:$B$546,$A49,E_Measurements!$D$5:$D$546,"D4"),"")</f>
        <v/>
      </c>
      <c r="J49" s="56" t="str">
        <f aca="false">IFERROR(AVERAGEIFS(E_Measurements!$O$5:$O$546,E_Measurements!$B$5:$B$546,$A49,E_Measurements!$D$5:$D$546,"D5"),"")</f>
        <v/>
      </c>
      <c r="K49" s="56" t="str">
        <f aca="false">IFERROR(AVERAGEIFS(E_Measurements!$O$5:$O$546,E_Measurements!$B$5:$B$546,$A49,E_Measurements!$D$5:$D$546,"D6"),"")</f>
        <v/>
      </c>
      <c r="L49" s="69" t="str">
        <f aca="false">IF(COUNT(F49:K49)&lt;6,"",F49*A_Scoring_Model!$C$5+G49*A_Scoring_Model!$C$6+H49*A_Scoring_Model!$C$7+I49*A_Scoring_Model!$C$8+J49*A_Scoring_Model!$C$9+K49*A_Scoring_Model!$C$10)</f>
        <v/>
      </c>
      <c r="M49" s="70"/>
      <c r="N49" s="70"/>
      <c r="O49" s="70"/>
      <c r="P49" s="70"/>
      <c r="Q49" s="21" t="str">
        <f aca="false">IF(F49="","",IF(COUNTIFS(E_Measurements!$B$5:$B$546,A49,E_Measurements!$D$5:$D$546,"D1",E_Measurements!$O$5:$O$546,0)&gt;0,"N","Y"))</f>
        <v/>
      </c>
      <c r="R49" s="70"/>
      <c r="S49" s="13" t="str">
        <f aca="false">IF(COUNTIF(M49:R49,"Y")=6,"Y","N")</f>
        <v>N</v>
      </c>
      <c r="T49" s="13" t="str">
        <f aca="false">IF(L49="","",IF(OR(S49&lt;&gt;"Y",L49&lt;A_Scoring_Model!$C$33),"Not eligible",IF(L49&gt;=A_Scoring_Model!$C$30,"Tier 1 · Certified",IF(L49&gt;=A_Scoring_Model!$C$31,"Tier 2 · Conditional",IF(L49&gt;=A_Scoring_Model!$C$32,"Tier 3 · Group-local","Tier 4 · Rework")))))</f>
        <v/>
      </c>
      <c r="U49" s="13" t="str">
        <f aca="false">IF(OR(L49="",S49&lt;&gt;"Y"),"",COUNTIFS($A$5:$A$95,A49,$S$5:$S$95,"Y",$L$5:$L$95,"&gt;"&amp;L49)+1)</f>
        <v/>
      </c>
      <c r="V49" s="21" t="str">
        <f aca="false">A49&amp;"|"&amp;U49</f>
        <v>5.c|</v>
      </c>
    </row>
    <row r="50" customFormat="false" ht="15" hidden="false" customHeight="false" outlineLevel="0" collapsed="false">
      <c r="A50" s="13" t="s">
        <v>305</v>
      </c>
      <c r="B50" s="16" t="s">
        <v>306</v>
      </c>
      <c r="C50" s="13" t="s">
        <v>1351</v>
      </c>
      <c r="D50" s="21" t="n">
        <f aca="false">COUNTIFS(E_Measurements!$B$5:$B$546,A50,E_Measurements!$L$5:$L$546,"&lt;&gt;")</f>
        <v>0</v>
      </c>
      <c r="E50" s="21" t="n">
        <f aca="false">COUNTIF(E_Measurements!$B$5:$B$546,A50)</f>
        <v>17</v>
      </c>
      <c r="F50" s="56" t="str">
        <f aca="false">IFERROR(AVERAGEIFS(E_Measurements!$P$5:$P$546,E_Measurements!$B$5:$B$546,$A50,E_Measurements!$D$5:$D$546,"D1"),"")</f>
        <v/>
      </c>
      <c r="G50" s="56" t="str">
        <f aca="false">IFERROR(AVERAGEIFS(E_Measurements!$P$5:$P$546,E_Measurements!$B$5:$B$546,$A50,E_Measurements!$D$5:$D$546,"D2"),"")</f>
        <v/>
      </c>
      <c r="H50" s="56" t="str">
        <f aca="false">IFERROR(AVERAGEIFS(E_Measurements!$P$5:$P$546,E_Measurements!$B$5:$B$546,$A50,E_Measurements!$D$5:$D$546,"D3"),"")</f>
        <v/>
      </c>
      <c r="I50" s="56" t="str">
        <f aca="false">IFERROR(AVERAGEIFS(E_Measurements!$P$5:$P$546,E_Measurements!$B$5:$B$546,$A50,E_Measurements!$D$5:$D$546,"D4"),"")</f>
        <v/>
      </c>
      <c r="J50" s="56" t="str">
        <f aca="false">IFERROR(AVERAGEIFS(E_Measurements!$P$5:$P$546,E_Measurements!$B$5:$B$546,$A50,E_Measurements!$D$5:$D$546,"D5"),"")</f>
        <v/>
      </c>
      <c r="K50" s="56" t="str">
        <f aca="false">IFERROR(AVERAGEIFS(E_Measurements!$P$5:$P$546,E_Measurements!$B$5:$B$546,$A50,E_Measurements!$D$5:$D$546,"D6"),"")</f>
        <v/>
      </c>
      <c r="L50" s="69" t="str">
        <f aca="false">IF(COUNT(F50:K50)&lt;6,"",F50*A_Scoring_Model!$C$5+G50*A_Scoring_Model!$C$6+H50*A_Scoring_Model!$C$7+I50*A_Scoring_Model!$C$8+J50*A_Scoring_Model!$C$9+K50*A_Scoring_Model!$C$10)</f>
        <v/>
      </c>
      <c r="M50" s="70"/>
      <c r="N50" s="70"/>
      <c r="O50" s="70"/>
      <c r="P50" s="70"/>
      <c r="Q50" s="21" t="str">
        <f aca="false">IF(F50="","",IF(COUNTIFS(E_Measurements!$B$5:$B$546,A50,E_Measurements!$D$5:$D$546,"D1",E_Measurements!$P$5:$P$546,0)&gt;0,"N","Y"))</f>
        <v/>
      </c>
      <c r="R50" s="70"/>
      <c r="S50" s="13" t="str">
        <f aca="false">IF(COUNTIF(M50:R50,"Y")=6,"Y","N")</f>
        <v>N</v>
      </c>
      <c r="T50" s="13" t="str">
        <f aca="false">IF(L50="","",IF(OR(S50&lt;&gt;"Y",L50&lt;A_Scoring_Model!$C$33),"Not eligible",IF(L50&gt;=A_Scoring_Model!$C$30,"Tier 1 · Certified",IF(L50&gt;=A_Scoring_Model!$C$31,"Tier 2 · Conditional",IF(L50&gt;=A_Scoring_Model!$C$32,"Tier 3 · Group-local","Tier 4 · Rework")))))</f>
        <v/>
      </c>
      <c r="U50" s="13" t="str">
        <f aca="false">IF(OR(L50="",S50&lt;&gt;"Y"),"",COUNTIFS($A$5:$A$95,A50,$S$5:$S$95,"Y",$L$5:$L$95,"&gt;"&amp;L50)+1)</f>
        <v/>
      </c>
      <c r="V50" s="21" t="str">
        <f aca="false">A50&amp;"|"&amp;U50</f>
        <v>5.c|</v>
      </c>
    </row>
    <row r="51" customFormat="false" ht="15" hidden="false" customHeight="false" outlineLevel="0" collapsed="false">
      <c r="A51" s="68" t="s">
        <v>313</v>
      </c>
      <c r="B51" s="39" t="s">
        <v>314</v>
      </c>
      <c r="C51" s="68" t="s">
        <v>1348</v>
      </c>
      <c r="D51" s="21" t="n">
        <f aca="false">COUNTIFS(E_Measurements!$B$5:$B$546,A51,E_Measurements!$J$5:$J$546,"&lt;&gt;")</f>
        <v>0</v>
      </c>
      <c r="E51" s="21" t="n">
        <f aca="false">COUNTIF(E_Measurements!$B$5:$B$546,A51)</f>
        <v>19</v>
      </c>
      <c r="F51" s="56" t="str">
        <f aca="false">IFERROR(AVERAGEIFS(E_Measurements!$N$5:$N$546,E_Measurements!$B$5:$B$546,$A51,E_Measurements!$D$5:$D$546,"D1"),"")</f>
        <v/>
      </c>
      <c r="G51" s="56" t="str">
        <f aca="false">IFERROR(AVERAGEIFS(E_Measurements!$N$5:$N$546,E_Measurements!$B$5:$B$546,$A51,E_Measurements!$D$5:$D$546,"D2"),"")</f>
        <v/>
      </c>
      <c r="H51" s="56" t="str">
        <f aca="false">IFERROR(AVERAGEIFS(E_Measurements!$N$5:$N$546,E_Measurements!$B$5:$B$546,$A51,E_Measurements!$D$5:$D$546,"D3"),"")</f>
        <v/>
      </c>
      <c r="I51" s="56" t="str">
        <f aca="false">IFERROR(AVERAGEIFS(E_Measurements!$N$5:$N$546,E_Measurements!$B$5:$B$546,$A51,E_Measurements!$D$5:$D$546,"D4"),"")</f>
        <v/>
      </c>
      <c r="J51" s="56" t="str">
        <f aca="false">IFERROR(AVERAGEIFS(E_Measurements!$N$5:$N$546,E_Measurements!$B$5:$B$546,$A51,E_Measurements!$D$5:$D$546,"D5"),"")</f>
        <v/>
      </c>
      <c r="K51" s="56" t="str">
        <f aca="false">IFERROR(AVERAGEIFS(E_Measurements!$N$5:$N$546,E_Measurements!$B$5:$B$546,$A51,E_Measurements!$D$5:$D$546,"D6"),"")</f>
        <v/>
      </c>
      <c r="L51" s="69" t="str">
        <f aca="false">IF(COUNT(F51:K51)&lt;6,"",F51*A_Scoring_Model!$C$5+G51*A_Scoring_Model!$C$6+H51*A_Scoring_Model!$C$7+I51*A_Scoring_Model!$C$8+J51*A_Scoring_Model!$C$9+K51*A_Scoring_Model!$C$10)</f>
        <v/>
      </c>
      <c r="M51" s="70"/>
      <c r="N51" s="70"/>
      <c r="O51" s="70"/>
      <c r="P51" s="70"/>
      <c r="Q51" s="21" t="str">
        <f aca="false">IF(F51="","",IF(COUNTIFS(E_Measurements!$B$5:$B$546,A51,E_Measurements!$D$5:$D$546,"D1",E_Measurements!$N$5:$N$546,0)&gt;0,"N","Y"))</f>
        <v/>
      </c>
      <c r="R51" s="70"/>
      <c r="S51" s="13" t="str">
        <f aca="false">IF(COUNTIF(M51:R51,"Y")=6,"Y","N")</f>
        <v>N</v>
      </c>
      <c r="T51" s="13" t="str">
        <f aca="false">IF(L51="","",IF(OR(S51&lt;&gt;"Y",L51&lt;A_Scoring_Model!$C$33),"Not eligible",IF(L51&gt;=A_Scoring_Model!$C$30,"Tier 1 · Certified",IF(L51&gt;=A_Scoring_Model!$C$31,"Tier 2 · Conditional",IF(L51&gt;=A_Scoring_Model!$C$32,"Tier 3 · Group-local","Tier 4 · Rework")))))</f>
        <v/>
      </c>
      <c r="U51" s="13" t="str">
        <f aca="false">IF(OR(L51="",S51&lt;&gt;"Y"),"",COUNTIFS($A$5:$A$95,A51,$S$5:$S$95,"Y",$L$5:$L$95,"&gt;"&amp;L51)+1)</f>
        <v/>
      </c>
      <c r="V51" s="21" t="str">
        <f aca="false">A51&amp;"|"&amp;U51</f>
        <v>6.a|</v>
      </c>
    </row>
    <row r="52" customFormat="false" ht="15" hidden="false" customHeight="false" outlineLevel="0" collapsed="false">
      <c r="A52" s="68" t="s">
        <v>313</v>
      </c>
      <c r="B52" s="39" t="s">
        <v>314</v>
      </c>
      <c r="C52" s="68" t="s">
        <v>1350</v>
      </c>
      <c r="D52" s="21" t="n">
        <f aca="false">COUNTIFS(E_Measurements!$B$5:$B$546,A52,E_Measurements!$K$5:$K$546,"&lt;&gt;")</f>
        <v>0</v>
      </c>
      <c r="E52" s="21" t="n">
        <f aca="false">COUNTIF(E_Measurements!$B$5:$B$546,A52)</f>
        <v>19</v>
      </c>
      <c r="F52" s="56" t="str">
        <f aca="false">IFERROR(AVERAGEIFS(E_Measurements!$O$5:$O$546,E_Measurements!$B$5:$B$546,$A52,E_Measurements!$D$5:$D$546,"D1"),"")</f>
        <v/>
      </c>
      <c r="G52" s="56" t="str">
        <f aca="false">IFERROR(AVERAGEIFS(E_Measurements!$O$5:$O$546,E_Measurements!$B$5:$B$546,$A52,E_Measurements!$D$5:$D$546,"D2"),"")</f>
        <v/>
      </c>
      <c r="H52" s="56" t="str">
        <f aca="false">IFERROR(AVERAGEIFS(E_Measurements!$O$5:$O$546,E_Measurements!$B$5:$B$546,$A52,E_Measurements!$D$5:$D$546,"D3"),"")</f>
        <v/>
      </c>
      <c r="I52" s="56" t="str">
        <f aca="false">IFERROR(AVERAGEIFS(E_Measurements!$O$5:$O$546,E_Measurements!$B$5:$B$546,$A52,E_Measurements!$D$5:$D$546,"D4"),"")</f>
        <v/>
      </c>
      <c r="J52" s="56" t="str">
        <f aca="false">IFERROR(AVERAGEIFS(E_Measurements!$O$5:$O$546,E_Measurements!$B$5:$B$546,$A52,E_Measurements!$D$5:$D$546,"D5"),"")</f>
        <v/>
      </c>
      <c r="K52" s="56" t="str">
        <f aca="false">IFERROR(AVERAGEIFS(E_Measurements!$O$5:$O$546,E_Measurements!$B$5:$B$546,$A52,E_Measurements!$D$5:$D$546,"D6"),"")</f>
        <v/>
      </c>
      <c r="L52" s="69" t="str">
        <f aca="false">IF(COUNT(F52:K52)&lt;6,"",F52*A_Scoring_Model!$C$5+G52*A_Scoring_Model!$C$6+H52*A_Scoring_Model!$C$7+I52*A_Scoring_Model!$C$8+J52*A_Scoring_Model!$C$9+K52*A_Scoring_Model!$C$10)</f>
        <v/>
      </c>
      <c r="M52" s="70"/>
      <c r="N52" s="70"/>
      <c r="O52" s="70"/>
      <c r="P52" s="70"/>
      <c r="Q52" s="21" t="str">
        <f aca="false">IF(F52="","",IF(COUNTIFS(E_Measurements!$B$5:$B$546,A52,E_Measurements!$D$5:$D$546,"D1",E_Measurements!$O$5:$O$546,0)&gt;0,"N","Y"))</f>
        <v/>
      </c>
      <c r="R52" s="70"/>
      <c r="S52" s="13" t="str">
        <f aca="false">IF(COUNTIF(M52:R52,"Y")=6,"Y","N")</f>
        <v>N</v>
      </c>
      <c r="T52" s="13" t="str">
        <f aca="false">IF(L52="","",IF(OR(S52&lt;&gt;"Y",L52&lt;A_Scoring_Model!$C$33),"Not eligible",IF(L52&gt;=A_Scoring_Model!$C$30,"Tier 1 · Certified",IF(L52&gt;=A_Scoring_Model!$C$31,"Tier 2 · Conditional",IF(L52&gt;=A_Scoring_Model!$C$32,"Tier 3 · Group-local","Tier 4 · Rework")))))</f>
        <v/>
      </c>
      <c r="U52" s="13" t="str">
        <f aca="false">IF(OR(L52="",S52&lt;&gt;"Y"),"",COUNTIFS($A$5:$A$95,A52,$S$5:$S$95,"Y",$L$5:$L$95,"&gt;"&amp;L52)+1)</f>
        <v/>
      </c>
      <c r="V52" s="21" t="str">
        <f aca="false">A52&amp;"|"&amp;U52</f>
        <v>6.a|</v>
      </c>
    </row>
    <row r="53" customFormat="false" ht="15" hidden="false" customHeight="false" outlineLevel="0" collapsed="false">
      <c r="A53" s="68" t="s">
        <v>313</v>
      </c>
      <c r="B53" s="39" t="s">
        <v>314</v>
      </c>
      <c r="C53" s="68" t="s">
        <v>1351</v>
      </c>
      <c r="D53" s="21" t="n">
        <f aca="false">COUNTIFS(E_Measurements!$B$5:$B$546,A53,E_Measurements!$L$5:$L$546,"&lt;&gt;")</f>
        <v>0</v>
      </c>
      <c r="E53" s="21" t="n">
        <f aca="false">COUNTIF(E_Measurements!$B$5:$B$546,A53)</f>
        <v>19</v>
      </c>
      <c r="F53" s="56" t="str">
        <f aca="false">IFERROR(AVERAGEIFS(E_Measurements!$P$5:$P$546,E_Measurements!$B$5:$B$546,$A53,E_Measurements!$D$5:$D$546,"D1"),"")</f>
        <v/>
      </c>
      <c r="G53" s="56" t="str">
        <f aca="false">IFERROR(AVERAGEIFS(E_Measurements!$P$5:$P$546,E_Measurements!$B$5:$B$546,$A53,E_Measurements!$D$5:$D$546,"D2"),"")</f>
        <v/>
      </c>
      <c r="H53" s="56" t="str">
        <f aca="false">IFERROR(AVERAGEIFS(E_Measurements!$P$5:$P$546,E_Measurements!$B$5:$B$546,$A53,E_Measurements!$D$5:$D$546,"D3"),"")</f>
        <v/>
      </c>
      <c r="I53" s="56" t="str">
        <f aca="false">IFERROR(AVERAGEIFS(E_Measurements!$P$5:$P$546,E_Measurements!$B$5:$B$546,$A53,E_Measurements!$D$5:$D$546,"D4"),"")</f>
        <v/>
      </c>
      <c r="J53" s="56" t="str">
        <f aca="false">IFERROR(AVERAGEIFS(E_Measurements!$P$5:$P$546,E_Measurements!$B$5:$B$546,$A53,E_Measurements!$D$5:$D$546,"D5"),"")</f>
        <v/>
      </c>
      <c r="K53" s="56" t="str">
        <f aca="false">IFERROR(AVERAGEIFS(E_Measurements!$P$5:$P$546,E_Measurements!$B$5:$B$546,$A53,E_Measurements!$D$5:$D$546,"D6"),"")</f>
        <v/>
      </c>
      <c r="L53" s="69" t="str">
        <f aca="false">IF(COUNT(F53:K53)&lt;6,"",F53*A_Scoring_Model!$C$5+G53*A_Scoring_Model!$C$6+H53*A_Scoring_Model!$C$7+I53*A_Scoring_Model!$C$8+J53*A_Scoring_Model!$C$9+K53*A_Scoring_Model!$C$10)</f>
        <v/>
      </c>
      <c r="M53" s="70"/>
      <c r="N53" s="70"/>
      <c r="O53" s="70"/>
      <c r="P53" s="70"/>
      <c r="Q53" s="21" t="str">
        <f aca="false">IF(F53="","",IF(COUNTIFS(E_Measurements!$B$5:$B$546,A53,E_Measurements!$D$5:$D$546,"D1",E_Measurements!$P$5:$P$546,0)&gt;0,"N","Y"))</f>
        <v/>
      </c>
      <c r="R53" s="70"/>
      <c r="S53" s="13" t="str">
        <f aca="false">IF(COUNTIF(M53:R53,"Y")=6,"Y","N")</f>
        <v>N</v>
      </c>
      <c r="T53" s="13" t="str">
        <f aca="false">IF(L53="","",IF(OR(S53&lt;&gt;"Y",L53&lt;A_Scoring_Model!$C$33),"Not eligible",IF(L53&gt;=A_Scoring_Model!$C$30,"Tier 1 · Certified",IF(L53&gt;=A_Scoring_Model!$C$31,"Tier 2 · Conditional",IF(L53&gt;=A_Scoring_Model!$C$32,"Tier 3 · Group-local","Tier 4 · Rework")))))</f>
        <v/>
      </c>
      <c r="U53" s="13" t="str">
        <f aca="false">IF(OR(L53="",S53&lt;&gt;"Y"),"",COUNTIFS($A$5:$A$95,A53,$S$5:$S$95,"Y",$L$5:$L$95,"&gt;"&amp;L53)+1)</f>
        <v/>
      </c>
      <c r="V53" s="21" t="str">
        <f aca="false">A53&amp;"|"&amp;U53</f>
        <v>6.a|</v>
      </c>
    </row>
    <row r="54" customFormat="false" ht="15" hidden="false" customHeight="false" outlineLevel="0" collapsed="false">
      <c r="A54" s="13" t="s">
        <v>321</v>
      </c>
      <c r="B54" s="16" t="s">
        <v>322</v>
      </c>
      <c r="C54" s="13" t="s">
        <v>1348</v>
      </c>
      <c r="D54" s="21" t="n">
        <f aca="false">COUNTIFS(E_Measurements!$B$5:$B$546,A54,E_Measurements!$J$5:$J$546,"&lt;&gt;")</f>
        <v>0</v>
      </c>
      <c r="E54" s="21" t="n">
        <f aca="false">COUNTIF(E_Measurements!$B$5:$B$546,A54)</f>
        <v>16</v>
      </c>
      <c r="F54" s="56" t="str">
        <f aca="false">IFERROR(AVERAGEIFS(E_Measurements!$N$5:$N$546,E_Measurements!$B$5:$B$546,$A54,E_Measurements!$D$5:$D$546,"D1"),"")</f>
        <v/>
      </c>
      <c r="G54" s="56" t="str">
        <f aca="false">IFERROR(AVERAGEIFS(E_Measurements!$N$5:$N$546,E_Measurements!$B$5:$B$546,$A54,E_Measurements!$D$5:$D$546,"D2"),"")</f>
        <v/>
      </c>
      <c r="H54" s="56" t="str">
        <f aca="false">IFERROR(AVERAGEIFS(E_Measurements!$N$5:$N$546,E_Measurements!$B$5:$B$546,$A54,E_Measurements!$D$5:$D$546,"D3"),"")</f>
        <v/>
      </c>
      <c r="I54" s="56" t="str">
        <f aca="false">IFERROR(AVERAGEIFS(E_Measurements!$N$5:$N$546,E_Measurements!$B$5:$B$546,$A54,E_Measurements!$D$5:$D$546,"D4"),"")</f>
        <v/>
      </c>
      <c r="J54" s="56" t="str">
        <f aca="false">IFERROR(AVERAGEIFS(E_Measurements!$N$5:$N$546,E_Measurements!$B$5:$B$546,$A54,E_Measurements!$D$5:$D$546,"D5"),"")</f>
        <v/>
      </c>
      <c r="K54" s="56" t="str">
        <f aca="false">IFERROR(AVERAGEIFS(E_Measurements!$N$5:$N$546,E_Measurements!$B$5:$B$546,$A54,E_Measurements!$D$5:$D$546,"D6"),"")</f>
        <v/>
      </c>
      <c r="L54" s="69" t="str">
        <f aca="false">IF(COUNT(F54:K54)&lt;6,"",F54*A_Scoring_Model!$C$5+G54*A_Scoring_Model!$C$6+H54*A_Scoring_Model!$C$7+I54*A_Scoring_Model!$C$8+J54*A_Scoring_Model!$C$9+K54*A_Scoring_Model!$C$10)</f>
        <v/>
      </c>
      <c r="M54" s="70"/>
      <c r="N54" s="70"/>
      <c r="O54" s="70"/>
      <c r="P54" s="70"/>
      <c r="Q54" s="21" t="str">
        <f aca="false">IF(F54="","",IF(COUNTIFS(E_Measurements!$B$5:$B$546,A54,E_Measurements!$D$5:$D$546,"D1",E_Measurements!$N$5:$N$546,0)&gt;0,"N","Y"))</f>
        <v/>
      </c>
      <c r="R54" s="70"/>
      <c r="S54" s="13" t="str">
        <f aca="false">IF(COUNTIF(M54:R54,"Y")=6,"Y","N")</f>
        <v>N</v>
      </c>
      <c r="T54" s="13" t="str">
        <f aca="false">IF(L54="","",IF(OR(S54&lt;&gt;"Y",L54&lt;A_Scoring_Model!$C$33),"Not eligible",IF(L54&gt;=A_Scoring_Model!$C$30,"Tier 1 · Certified",IF(L54&gt;=A_Scoring_Model!$C$31,"Tier 2 · Conditional",IF(L54&gt;=A_Scoring_Model!$C$32,"Tier 3 · Group-local","Tier 4 · Rework")))))</f>
        <v/>
      </c>
      <c r="U54" s="13" t="str">
        <f aca="false">IF(OR(L54="",S54&lt;&gt;"Y"),"",COUNTIFS($A$5:$A$95,A54,$S$5:$S$95,"Y",$L$5:$L$95,"&gt;"&amp;L54)+1)</f>
        <v/>
      </c>
      <c r="V54" s="21" t="str">
        <f aca="false">A54&amp;"|"&amp;U54</f>
        <v>6.b|</v>
      </c>
    </row>
    <row r="55" customFormat="false" ht="15" hidden="false" customHeight="false" outlineLevel="0" collapsed="false">
      <c r="A55" s="13" t="s">
        <v>321</v>
      </c>
      <c r="B55" s="16" t="s">
        <v>322</v>
      </c>
      <c r="C55" s="13" t="s">
        <v>1350</v>
      </c>
      <c r="D55" s="21" t="n">
        <f aca="false">COUNTIFS(E_Measurements!$B$5:$B$546,A55,E_Measurements!$K$5:$K$546,"&lt;&gt;")</f>
        <v>0</v>
      </c>
      <c r="E55" s="21" t="n">
        <f aca="false">COUNTIF(E_Measurements!$B$5:$B$546,A55)</f>
        <v>16</v>
      </c>
      <c r="F55" s="56" t="str">
        <f aca="false">IFERROR(AVERAGEIFS(E_Measurements!$O$5:$O$546,E_Measurements!$B$5:$B$546,$A55,E_Measurements!$D$5:$D$546,"D1"),"")</f>
        <v/>
      </c>
      <c r="G55" s="56" t="str">
        <f aca="false">IFERROR(AVERAGEIFS(E_Measurements!$O$5:$O$546,E_Measurements!$B$5:$B$546,$A55,E_Measurements!$D$5:$D$546,"D2"),"")</f>
        <v/>
      </c>
      <c r="H55" s="56" t="str">
        <f aca="false">IFERROR(AVERAGEIFS(E_Measurements!$O$5:$O$546,E_Measurements!$B$5:$B$546,$A55,E_Measurements!$D$5:$D$546,"D3"),"")</f>
        <v/>
      </c>
      <c r="I55" s="56" t="str">
        <f aca="false">IFERROR(AVERAGEIFS(E_Measurements!$O$5:$O$546,E_Measurements!$B$5:$B$546,$A55,E_Measurements!$D$5:$D$546,"D4"),"")</f>
        <v/>
      </c>
      <c r="J55" s="56" t="str">
        <f aca="false">IFERROR(AVERAGEIFS(E_Measurements!$O$5:$O$546,E_Measurements!$B$5:$B$546,$A55,E_Measurements!$D$5:$D$546,"D5"),"")</f>
        <v/>
      </c>
      <c r="K55" s="56" t="str">
        <f aca="false">IFERROR(AVERAGEIFS(E_Measurements!$O$5:$O$546,E_Measurements!$B$5:$B$546,$A55,E_Measurements!$D$5:$D$546,"D6"),"")</f>
        <v/>
      </c>
      <c r="L55" s="69" t="str">
        <f aca="false">IF(COUNT(F55:K55)&lt;6,"",F55*A_Scoring_Model!$C$5+G55*A_Scoring_Model!$C$6+H55*A_Scoring_Model!$C$7+I55*A_Scoring_Model!$C$8+J55*A_Scoring_Model!$C$9+K55*A_Scoring_Model!$C$10)</f>
        <v/>
      </c>
      <c r="M55" s="70"/>
      <c r="N55" s="70"/>
      <c r="O55" s="70"/>
      <c r="P55" s="70"/>
      <c r="Q55" s="21" t="str">
        <f aca="false">IF(F55="","",IF(COUNTIFS(E_Measurements!$B$5:$B$546,A55,E_Measurements!$D$5:$D$546,"D1",E_Measurements!$O$5:$O$546,0)&gt;0,"N","Y"))</f>
        <v/>
      </c>
      <c r="R55" s="70"/>
      <c r="S55" s="13" t="str">
        <f aca="false">IF(COUNTIF(M55:R55,"Y")=6,"Y","N")</f>
        <v>N</v>
      </c>
      <c r="T55" s="13" t="str">
        <f aca="false">IF(L55="","",IF(OR(S55&lt;&gt;"Y",L55&lt;A_Scoring_Model!$C$33),"Not eligible",IF(L55&gt;=A_Scoring_Model!$C$30,"Tier 1 · Certified",IF(L55&gt;=A_Scoring_Model!$C$31,"Tier 2 · Conditional",IF(L55&gt;=A_Scoring_Model!$C$32,"Tier 3 · Group-local","Tier 4 · Rework")))))</f>
        <v/>
      </c>
      <c r="U55" s="13" t="str">
        <f aca="false">IF(OR(L55="",S55&lt;&gt;"Y"),"",COUNTIFS($A$5:$A$95,A55,$S$5:$S$95,"Y",$L$5:$L$95,"&gt;"&amp;L55)+1)</f>
        <v/>
      </c>
      <c r="V55" s="21" t="str">
        <f aca="false">A55&amp;"|"&amp;U55</f>
        <v>6.b|</v>
      </c>
    </row>
    <row r="56" customFormat="false" ht="15" hidden="false" customHeight="false" outlineLevel="0" collapsed="false">
      <c r="A56" s="13" t="s">
        <v>321</v>
      </c>
      <c r="B56" s="16" t="s">
        <v>322</v>
      </c>
      <c r="C56" s="13" t="s">
        <v>1351</v>
      </c>
      <c r="D56" s="21" t="n">
        <f aca="false">COUNTIFS(E_Measurements!$B$5:$B$546,A56,E_Measurements!$L$5:$L$546,"&lt;&gt;")</f>
        <v>0</v>
      </c>
      <c r="E56" s="21" t="n">
        <f aca="false">COUNTIF(E_Measurements!$B$5:$B$546,A56)</f>
        <v>16</v>
      </c>
      <c r="F56" s="56" t="str">
        <f aca="false">IFERROR(AVERAGEIFS(E_Measurements!$P$5:$P$546,E_Measurements!$B$5:$B$546,$A56,E_Measurements!$D$5:$D$546,"D1"),"")</f>
        <v/>
      </c>
      <c r="G56" s="56" t="str">
        <f aca="false">IFERROR(AVERAGEIFS(E_Measurements!$P$5:$P$546,E_Measurements!$B$5:$B$546,$A56,E_Measurements!$D$5:$D$546,"D2"),"")</f>
        <v/>
      </c>
      <c r="H56" s="56" t="str">
        <f aca="false">IFERROR(AVERAGEIFS(E_Measurements!$P$5:$P$546,E_Measurements!$B$5:$B$546,$A56,E_Measurements!$D$5:$D$546,"D3"),"")</f>
        <v/>
      </c>
      <c r="I56" s="56" t="str">
        <f aca="false">IFERROR(AVERAGEIFS(E_Measurements!$P$5:$P$546,E_Measurements!$B$5:$B$546,$A56,E_Measurements!$D$5:$D$546,"D4"),"")</f>
        <v/>
      </c>
      <c r="J56" s="56" t="str">
        <f aca="false">IFERROR(AVERAGEIFS(E_Measurements!$P$5:$P$546,E_Measurements!$B$5:$B$546,$A56,E_Measurements!$D$5:$D$546,"D5"),"")</f>
        <v/>
      </c>
      <c r="K56" s="56" t="str">
        <f aca="false">IFERROR(AVERAGEIFS(E_Measurements!$P$5:$P$546,E_Measurements!$B$5:$B$546,$A56,E_Measurements!$D$5:$D$546,"D6"),"")</f>
        <v/>
      </c>
      <c r="L56" s="69" t="str">
        <f aca="false">IF(COUNT(F56:K56)&lt;6,"",F56*A_Scoring_Model!$C$5+G56*A_Scoring_Model!$C$6+H56*A_Scoring_Model!$C$7+I56*A_Scoring_Model!$C$8+J56*A_Scoring_Model!$C$9+K56*A_Scoring_Model!$C$10)</f>
        <v/>
      </c>
      <c r="M56" s="70"/>
      <c r="N56" s="70"/>
      <c r="O56" s="70"/>
      <c r="P56" s="70"/>
      <c r="Q56" s="21" t="str">
        <f aca="false">IF(F56="","",IF(COUNTIFS(E_Measurements!$B$5:$B$546,A56,E_Measurements!$D$5:$D$546,"D1",E_Measurements!$P$5:$P$546,0)&gt;0,"N","Y"))</f>
        <v/>
      </c>
      <c r="R56" s="70"/>
      <c r="S56" s="13" t="str">
        <f aca="false">IF(COUNTIF(M56:R56,"Y")=6,"Y","N")</f>
        <v>N</v>
      </c>
      <c r="T56" s="13" t="str">
        <f aca="false">IF(L56="","",IF(OR(S56&lt;&gt;"Y",L56&lt;A_Scoring_Model!$C$33),"Not eligible",IF(L56&gt;=A_Scoring_Model!$C$30,"Tier 1 · Certified",IF(L56&gt;=A_Scoring_Model!$C$31,"Tier 2 · Conditional",IF(L56&gt;=A_Scoring_Model!$C$32,"Tier 3 · Group-local","Tier 4 · Rework")))))</f>
        <v/>
      </c>
      <c r="U56" s="13" t="str">
        <f aca="false">IF(OR(L56="",S56&lt;&gt;"Y"),"",COUNTIFS($A$5:$A$95,A56,$S$5:$S$95,"Y",$L$5:$L$95,"&gt;"&amp;L56)+1)</f>
        <v/>
      </c>
      <c r="V56" s="21" t="str">
        <f aca="false">A56&amp;"|"&amp;U56</f>
        <v>6.b|</v>
      </c>
    </row>
    <row r="57" customFormat="false" ht="15" hidden="false" customHeight="false" outlineLevel="0" collapsed="false">
      <c r="A57" s="68" t="s">
        <v>328</v>
      </c>
      <c r="B57" s="39" t="s">
        <v>329</v>
      </c>
      <c r="C57" s="68" t="s">
        <v>1348</v>
      </c>
      <c r="D57" s="21" t="n">
        <f aca="false">COUNTIFS(E_Measurements!$B$5:$B$546,A57,E_Measurements!$J$5:$J$546,"&lt;&gt;")</f>
        <v>0</v>
      </c>
      <c r="E57" s="21" t="n">
        <f aca="false">COUNTIF(E_Measurements!$B$5:$B$546,A57)</f>
        <v>16</v>
      </c>
      <c r="F57" s="56" t="str">
        <f aca="false">IFERROR(AVERAGEIFS(E_Measurements!$N$5:$N$546,E_Measurements!$B$5:$B$546,$A57,E_Measurements!$D$5:$D$546,"D1"),"")</f>
        <v/>
      </c>
      <c r="G57" s="56" t="str">
        <f aca="false">IFERROR(AVERAGEIFS(E_Measurements!$N$5:$N$546,E_Measurements!$B$5:$B$546,$A57,E_Measurements!$D$5:$D$546,"D2"),"")</f>
        <v/>
      </c>
      <c r="H57" s="56" t="str">
        <f aca="false">IFERROR(AVERAGEIFS(E_Measurements!$N$5:$N$546,E_Measurements!$B$5:$B$546,$A57,E_Measurements!$D$5:$D$546,"D3"),"")</f>
        <v/>
      </c>
      <c r="I57" s="56" t="str">
        <f aca="false">IFERROR(AVERAGEIFS(E_Measurements!$N$5:$N$546,E_Measurements!$B$5:$B$546,$A57,E_Measurements!$D$5:$D$546,"D4"),"")</f>
        <v/>
      </c>
      <c r="J57" s="56" t="str">
        <f aca="false">IFERROR(AVERAGEIFS(E_Measurements!$N$5:$N$546,E_Measurements!$B$5:$B$546,$A57,E_Measurements!$D$5:$D$546,"D5"),"")</f>
        <v/>
      </c>
      <c r="K57" s="56" t="str">
        <f aca="false">IFERROR(AVERAGEIFS(E_Measurements!$N$5:$N$546,E_Measurements!$B$5:$B$546,$A57,E_Measurements!$D$5:$D$546,"D6"),"")</f>
        <v/>
      </c>
      <c r="L57" s="69" t="str">
        <f aca="false">IF(COUNT(F57:K57)&lt;6,"",F57*A_Scoring_Model!$C$5+G57*A_Scoring_Model!$C$6+H57*A_Scoring_Model!$C$7+I57*A_Scoring_Model!$C$8+J57*A_Scoring_Model!$C$9+K57*A_Scoring_Model!$C$10)</f>
        <v/>
      </c>
      <c r="M57" s="70"/>
      <c r="N57" s="70"/>
      <c r="O57" s="70"/>
      <c r="P57" s="70"/>
      <c r="Q57" s="21" t="str">
        <f aca="false">IF(F57="","",IF(COUNTIFS(E_Measurements!$B$5:$B$546,A57,E_Measurements!$D$5:$D$546,"D1",E_Measurements!$N$5:$N$546,0)&gt;0,"N","Y"))</f>
        <v/>
      </c>
      <c r="R57" s="70"/>
      <c r="S57" s="13" t="str">
        <f aca="false">IF(COUNTIF(M57:R57,"Y")=6,"Y","N")</f>
        <v>N</v>
      </c>
      <c r="T57" s="13" t="str">
        <f aca="false">IF(L57="","",IF(OR(S57&lt;&gt;"Y",L57&lt;A_Scoring_Model!$C$33),"Not eligible",IF(L57&gt;=A_Scoring_Model!$C$30,"Tier 1 · Certified",IF(L57&gt;=A_Scoring_Model!$C$31,"Tier 2 · Conditional",IF(L57&gt;=A_Scoring_Model!$C$32,"Tier 3 · Group-local","Tier 4 · Rework")))))</f>
        <v/>
      </c>
      <c r="U57" s="13" t="str">
        <f aca="false">IF(OR(L57="",S57&lt;&gt;"Y"),"",COUNTIFS($A$5:$A$95,A57,$S$5:$S$95,"Y",$L$5:$L$95,"&gt;"&amp;L57)+1)</f>
        <v/>
      </c>
      <c r="V57" s="21" t="str">
        <f aca="false">A57&amp;"|"&amp;U57</f>
        <v>6.c|</v>
      </c>
    </row>
    <row r="58" customFormat="false" ht="15" hidden="false" customHeight="false" outlineLevel="0" collapsed="false">
      <c r="A58" s="68" t="s">
        <v>328</v>
      </c>
      <c r="B58" s="39" t="s">
        <v>329</v>
      </c>
      <c r="C58" s="68" t="s">
        <v>1350</v>
      </c>
      <c r="D58" s="21" t="n">
        <f aca="false">COUNTIFS(E_Measurements!$B$5:$B$546,A58,E_Measurements!$K$5:$K$546,"&lt;&gt;")</f>
        <v>0</v>
      </c>
      <c r="E58" s="21" t="n">
        <f aca="false">COUNTIF(E_Measurements!$B$5:$B$546,A58)</f>
        <v>16</v>
      </c>
      <c r="F58" s="56" t="str">
        <f aca="false">IFERROR(AVERAGEIFS(E_Measurements!$O$5:$O$546,E_Measurements!$B$5:$B$546,$A58,E_Measurements!$D$5:$D$546,"D1"),"")</f>
        <v/>
      </c>
      <c r="G58" s="56" t="str">
        <f aca="false">IFERROR(AVERAGEIFS(E_Measurements!$O$5:$O$546,E_Measurements!$B$5:$B$546,$A58,E_Measurements!$D$5:$D$546,"D2"),"")</f>
        <v/>
      </c>
      <c r="H58" s="56" t="str">
        <f aca="false">IFERROR(AVERAGEIFS(E_Measurements!$O$5:$O$546,E_Measurements!$B$5:$B$546,$A58,E_Measurements!$D$5:$D$546,"D3"),"")</f>
        <v/>
      </c>
      <c r="I58" s="56" t="str">
        <f aca="false">IFERROR(AVERAGEIFS(E_Measurements!$O$5:$O$546,E_Measurements!$B$5:$B$546,$A58,E_Measurements!$D$5:$D$546,"D4"),"")</f>
        <v/>
      </c>
      <c r="J58" s="56" t="str">
        <f aca="false">IFERROR(AVERAGEIFS(E_Measurements!$O$5:$O$546,E_Measurements!$B$5:$B$546,$A58,E_Measurements!$D$5:$D$546,"D5"),"")</f>
        <v/>
      </c>
      <c r="K58" s="56" t="str">
        <f aca="false">IFERROR(AVERAGEIFS(E_Measurements!$O$5:$O$546,E_Measurements!$B$5:$B$546,$A58,E_Measurements!$D$5:$D$546,"D6"),"")</f>
        <v/>
      </c>
      <c r="L58" s="69" t="str">
        <f aca="false">IF(COUNT(F58:K58)&lt;6,"",F58*A_Scoring_Model!$C$5+G58*A_Scoring_Model!$C$6+H58*A_Scoring_Model!$C$7+I58*A_Scoring_Model!$C$8+J58*A_Scoring_Model!$C$9+K58*A_Scoring_Model!$C$10)</f>
        <v/>
      </c>
      <c r="M58" s="70"/>
      <c r="N58" s="70"/>
      <c r="O58" s="70"/>
      <c r="P58" s="70"/>
      <c r="Q58" s="21" t="str">
        <f aca="false">IF(F58="","",IF(COUNTIFS(E_Measurements!$B$5:$B$546,A58,E_Measurements!$D$5:$D$546,"D1",E_Measurements!$O$5:$O$546,0)&gt;0,"N","Y"))</f>
        <v/>
      </c>
      <c r="R58" s="70"/>
      <c r="S58" s="13" t="str">
        <f aca="false">IF(COUNTIF(M58:R58,"Y")=6,"Y","N")</f>
        <v>N</v>
      </c>
      <c r="T58" s="13" t="str">
        <f aca="false">IF(L58="","",IF(OR(S58&lt;&gt;"Y",L58&lt;A_Scoring_Model!$C$33),"Not eligible",IF(L58&gt;=A_Scoring_Model!$C$30,"Tier 1 · Certified",IF(L58&gt;=A_Scoring_Model!$C$31,"Tier 2 · Conditional",IF(L58&gt;=A_Scoring_Model!$C$32,"Tier 3 · Group-local","Tier 4 · Rework")))))</f>
        <v/>
      </c>
      <c r="U58" s="13" t="str">
        <f aca="false">IF(OR(L58="",S58&lt;&gt;"Y"),"",COUNTIFS($A$5:$A$95,A58,$S$5:$S$95,"Y",$L$5:$L$95,"&gt;"&amp;L58)+1)</f>
        <v/>
      </c>
      <c r="V58" s="21" t="str">
        <f aca="false">A58&amp;"|"&amp;U58</f>
        <v>6.c|</v>
      </c>
    </row>
    <row r="59" customFormat="false" ht="15" hidden="false" customHeight="false" outlineLevel="0" collapsed="false">
      <c r="A59" s="68" t="s">
        <v>328</v>
      </c>
      <c r="B59" s="39" t="s">
        <v>329</v>
      </c>
      <c r="C59" s="68" t="s">
        <v>1351</v>
      </c>
      <c r="D59" s="21" t="n">
        <f aca="false">COUNTIFS(E_Measurements!$B$5:$B$546,A59,E_Measurements!$L$5:$L$546,"&lt;&gt;")</f>
        <v>0</v>
      </c>
      <c r="E59" s="21" t="n">
        <f aca="false">COUNTIF(E_Measurements!$B$5:$B$546,A59)</f>
        <v>16</v>
      </c>
      <c r="F59" s="56" t="str">
        <f aca="false">IFERROR(AVERAGEIFS(E_Measurements!$P$5:$P$546,E_Measurements!$B$5:$B$546,$A59,E_Measurements!$D$5:$D$546,"D1"),"")</f>
        <v/>
      </c>
      <c r="G59" s="56" t="str">
        <f aca="false">IFERROR(AVERAGEIFS(E_Measurements!$P$5:$P$546,E_Measurements!$B$5:$B$546,$A59,E_Measurements!$D$5:$D$546,"D2"),"")</f>
        <v/>
      </c>
      <c r="H59" s="56" t="str">
        <f aca="false">IFERROR(AVERAGEIFS(E_Measurements!$P$5:$P$546,E_Measurements!$B$5:$B$546,$A59,E_Measurements!$D$5:$D$546,"D3"),"")</f>
        <v/>
      </c>
      <c r="I59" s="56" t="str">
        <f aca="false">IFERROR(AVERAGEIFS(E_Measurements!$P$5:$P$546,E_Measurements!$B$5:$B$546,$A59,E_Measurements!$D$5:$D$546,"D4"),"")</f>
        <v/>
      </c>
      <c r="J59" s="56" t="str">
        <f aca="false">IFERROR(AVERAGEIFS(E_Measurements!$P$5:$P$546,E_Measurements!$B$5:$B$546,$A59,E_Measurements!$D$5:$D$546,"D5"),"")</f>
        <v/>
      </c>
      <c r="K59" s="56" t="str">
        <f aca="false">IFERROR(AVERAGEIFS(E_Measurements!$P$5:$P$546,E_Measurements!$B$5:$B$546,$A59,E_Measurements!$D$5:$D$546,"D6"),"")</f>
        <v/>
      </c>
      <c r="L59" s="69" t="str">
        <f aca="false">IF(COUNT(F59:K59)&lt;6,"",F59*A_Scoring_Model!$C$5+G59*A_Scoring_Model!$C$6+H59*A_Scoring_Model!$C$7+I59*A_Scoring_Model!$C$8+J59*A_Scoring_Model!$C$9+K59*A_Scoring_Model!$C$10)</f>
        <v/>
      </c>
      <c r="M59" s="70"/>
      <c r="N59" s="70"/>
      <c r="O59" s="70"/>
      <c r="P59" s="70"/>
      <c r="Q59" s="21" t="str">
        <f aca="false">IF(F59="","",IF(COUNTIFS(E_Measurements!$B$5:$B$546,A59,E_Measurements!$D$5:$D$546,"D1",E_Measurements!$P$5:$P$546,0)&gt;0,"N","Y"))</f>
        <v/>
      </c>
      <c r="R59" s="70"/>
      <c r="S59" s="13" t="str">
        <f aca="false">IF(COUNTIF(M59:R59,"Y")=6,"Y","N")</f>
        <v>N</v>
      </c>
      <c r="T59" s="13" t="str">
        <f aca="false">IF(L59="","",IF(OR(S59&lt;&gt;"Y",L59&lt;A_Scoring_Model!$C$33),"Not eligible",IF(L59&gt;=A_Scoring_Model!$C$30,"Tier 1 · Certified",IF(L59&gt;=A_Scoring_Model!$C$31,"Tier 2 · Conditional",IF(L59&gt;=A_Scoring_Model!$C$32,"Tier 3 · Group-local","Tier 4 · Rework")))))</f>
        <v/>
      </c>
      <c r="U59" s="13" t="str">
        <f aca="false">IF(OR(L59="",S59&lt;&gt;"Y"),"",COUNTIFS($A$5:$A$95,A59,$S$5:$S$95,"Y",$L$5:$L$95,"&gt;"&amp;L59)+1)</f>
        <v/>
      </c>
      <c r="V59" s="21" t="str">
        <f aca="false">A59&amp;"|"&amp;U59</f>
        <v>6.c|</v>
      </c>
    </row>
    <row r="60" customFormat="false" ht="15" hidden="false" customHeight="false" outlineLevel="0" collapsed="false">
      <c r="A60" s="13" t="s">
        <v>336</v>
      </c>
      <c r="B60" s="16" t="s">
        <v>337</v>
      </c>
      <c r="C60" s="13" t="s">
        <v>1348</v>
      </c>
      <c r="D60" s="21" t="n">
        <f aca="false">COUNTIFS(E_Measurements!$B$5:$B$546,A60,E_Measurements!$J$5:$J$546,"&lt;&gt;")</f>
        <v>0</v>
      </c>
      <c r="E60" s="21" t="n">
        <f aca="false">COUNTIF(E_Measurements!$B$5:$B$546,A60)</f>
        <v>16</v>
      </c>
      <c r="F60" s="56" t="str">
        <f aca="false">IFERROR(AVERAGEIFS(E_Measurements!$N$5:$N$546,E_Measurements!$B$5:$B$546,$A60,E_Measurements!$D$5:$D$546,"D1"),"")</f>
        <v/>
      </c>
      <c r="G60" s="56" t="str">
        <f aca="false">IFERROR(AVERAGEIFS(E_Measurements!$N$5:$N$546,E_Measurements!$B$5:$B$546,$A60,E_Measurements!$D$5:$D$546,"D2"),"")</f>
        <v/>
      </c>
      <c r="H60" s="56" t="str">
        <f aca="false">IFERROR(AVERAGEIFS(E_Measurements!$N$5:$N$546,E_Measurements!$B$5:$B$546,$A60,E_Measurements!$D$5:$D$546,"D3"),"")</f>
        <v/>
      </c>
      <c r="I60" s="56" t="str">
        <f aca="false">IFERROR(AVERAGEIFS(E_Measurements!$N$5:$N$546,E_Measurements!$B$5:$B$546,$A60,E_Measurements!$D$5:$D$546,"D4"),"")</f>
        <v/>
      </c>
      <c r="J60" s="56" t="str">
        <f aca="false">IFERROR(AVERAGEIFS(E_Measurements!$N$5:$N$546,E_Measurements!$B$5:$B$546,$A60,E_Measurements!$D$5:$D$546,"D5"),"")</f>
        <v/>
      </c>
      <c r="K60" s="56" t="str">
        <f aca="false">IFERROR(AVERAGEIFS(E_Measurements!$N$5:$N$546,E_Measurements!$B$5:$B$546,$A60,E_Measurements!$D$5:$D$546,"D6"),"")</f>
        <v/>
      </c>
      <c r="L60" s="69" t="str">
        <f aca="false">IF(COUNT(F60:K60)&lt;6,"",F60*A_Scoring_Model!$C$5+G60*A_Scoring_Model!$C$6+H60*A_Scoring_Model!$C$7+I60*A_Scoring_Model!$C$8+J60*A_Scoring_Model!$C$9+K60*A_Scoring_Model!$C$10)</f>
        <v/>
      </c>
      <c r="M60" s="70"/>
      <c r="N60" s="70"/>
      <c r="O60" s="70"/>
      <c r="P60" s="70"/>
      <c r="Q60" s="21" t="str">
        <f aca="false">IF(F60="","",IF(COUNTIFS(E_Measurements!$B$5:$B$546,A60,E_Measurements!$D$5:$D$546,"D1",E_Measurements!$N$5:$N$546,0)&gt;0,"N","Y"))</f>
        <v/>
      </c>
      <c r="R60" s="70"/>
      <c r="S60" s="13" t="str">
        <f aca="false">IF(COUNTIF(M60:R60,"Y")=6,"Y","N")</f>
        <v>N</v>
      </c>
      <c r="T60" s="13" t="str">
        <f aca="false">IF(L60="","",IF(OR(S60&lt;&gt;"Y",L60&lt;A_Scoring_Model!$C$33),"Not eligible",IF(L60&gt;=A_Scoring_Model!$C$30,"Tier 1 · Certified",IF(L60&gt;=A_Scoring_Model!$C$31,"Tier 2 · Conditional",IF(L60&gt;=A_Scoring_Model!$C$32,"Tier 3 · Group-local","Tier 4 · Rework")))))</f>
        <v/>
      </c>
      <c r="U60" s="13" t="str">
        <f aca="false">IF(OR(L60="",S60&lt;&gt;"Y"),"",COUNTIFS($A$5:$A$95,A60,$S$5:$S$95,"Y",$L$5:$L$95,"&gt;"&amp;L60)+1)</f>
        <v/>
      </c>
      <c r="V60" s="21" t="str">
        <f aca="false">A60&amp;"|"&amp;U60</f>
        <v>7.a|</v>
      </c>
    </row>
    <row r="61" customFormat="false" ht="15" hidden="false" customHeight="false" outlineLevel="0" collapsed="false">
      <c r="A61" s="13" t="s">
        <v>336</v>
      </c>
      <c r="B61" s="16" t="s">
        <v>337</v>
      </c>
      <c r="C61" s="13" t="s">
        <v>1350</v>
      </c>
      <c r="D61" s="21" t="n">
        <f aca="false">COUNTIFS(E_Measurements!$B$5:$B$546,A61,E_Measurements!$K$5:$K$546,"&lt;&gt;")</f>
        <v>0</v>
      </c>
      <c r="E61" s="21" t="n">
        <f aca="false">COUNTIF(E_Measurements!$B$5:$B$546,A61)</f>
        <v>16</v>
      </c>
      <c r="F61" s="56" t="str">
        <f aca="false">IFERROR(AVERAGEIFS(E_Measurements!$O$5:$O$546,E_Measurements!$B$5:$B$546,$A61,E_Measurements!$D$5:$D$546,"D1"),"")</f>
        <v/>
      </c>
      <c r="G61" s="56" t="str">
        <f aca="false">IFERROR(AVERAGEIFS(E_Measurements!$O$5:$O$546,E_Measurements!$B$5:$B$546,$A61,E_Measurements!$D$5:$D$546,"D2"),"")</f>
        <v/>
      </c>
      <c r="H61" s="56" t="str">
        <f aca="false">IFERROR(AVERAGEIFS(E_Measurements!$O$5:$O$546,E_Measurements!$B$5:$B$546,$A61,E_Measurements!$D$5:$D$546,"D3"),"")</f>
        <v/>
      </c>
      <c r="I61" s="56" t="str">
        <f aca="false">IFERROR(AVERAGEIFS(E_Measurements!$O$5:$O$546,E_Measurements!$B$5:$B$546,$A61,E_Measurements!$D$5:$D$546,"D4"),"")</f>
        <v/>
      </c>
      <c r="J61" s="56" t="str">
        <f aca="false">IFERROR(AVERAGEIFS(E_Measurements!$O$5:$O$546,E_Measurements!$B$5:$B$546,$A61,E_Measurements!$D$5:$D$546,"D5"),"")</f>
        <v/>
      </c>
      <c r="K61" s="56" t="str">
        <f aca="false">IFERROR(AVERAGEIFS(E_Measurements!$O$5:$O$546,E_Measurements!$B$5:$B$546,$A61,E_Measurements!$D$5:$D$546,"D6"),"")</f>
        <v/>
      </c>
      <c r="L61" s="69" t="str">
        <f aca="false">IF(COUNT(F61:K61)&lt;6,"",F61*A_Scoring_Model!$C$5+G61*A_Scoring_Model!$C$6+H61*A_Scoring_Model!$C$7+I61*A_Scoring_Model!$C$8+J61*A_Scoring_Model!$C$9+K61*A_Scoring_Model!$C$10)</f>
        <v/>
      </c>
      <c r="M61" s="70"/>
      <c r="N61" s="70"/>
      <c r="O61" s="70"/>
      <c r="P61" s="70"/>
      <c r="Q61" s="21" t="str">
        <f aca="false">IF(F61="","",IF(COUNTIFS(E_Measurements!$B$5:$B$546,A61,E_Measurements!$D$5:$D$546,"D1",E_Measurements!$O$5:$O$546,0)&gt;0,"N","Y"))</f>
        <v/>
      </c>
      <c r="R61" s="70"/>
      <c r="S61" s="13" t="str">
        <f aca="false">IF(COUNTIF(M61:R61,"Y")=6,"Y","N")</f>
        <v>N</v>
      </c>
      <c r="T61" s="13" t="str">
        <f aca="false">IF(L61="","",IF(OR(S61&lt;&gt;"Y",L61&lt;A_Scoring_Model!$C$33),"Not eligible",IF(L61&gt;=A_Scoring_Model!$C$30,"Tier 1 · Certified",IF(L61&gt;=A_Scoring_Model!$C$31,"Tier 2 · Conditional",IF(L61&gt;=A_Scoring_Model!$C$32,"Tier 3 · Group-local","Tier 4 · Rework")))))</f>
        <v/>
      </c>
      <c r="U61" s="13" t="str">
        <f aca="false">IF(OR(L61="",S61&lt;&gt;"Y"),"",COUNTIFS($A$5:$A$95,A61,$S$5:$S$95,"Y",$L$5:$L$95,"&gt;"&amp;L61)+1)</f>
        <v/>
      </c>
      <c r="V61" s="21" t="str">
        <f aca="false">A61&amp;"|"&amp;U61</f>
        <v>7.a|</v>
      </c>
    </row>
    <row r="62" customFormat="false" ht="15" hidden="false" customHeight="false" outlineLevel="0" collapsed="false">
      <c r="A62" s="13" t="s">
        <v>336</v>
      </c>
      <c r="B62" s="16" t="s">
        <v>337</v>
      </c>
      <c r="C62" s="13" t="s">
        <v>1351</v>
      </c>
      <c r="D62" s="21" t="n">
        <f aca="false">COUNTIFS(E_Measurements!$B$5:$B$546,A62,E_Measurements!$L$5:$L$546,"&lt;&gt;")</f>
        <v>0</v>
      </c>
      <c r="E62" s="21" t="n">
        <f aca="false">COUNTIF(E_Measurements!$B$5:$B$546,A62)</f>
        <v>16</v>
      </c>
      <c r="F62" s="56" t="str">
        <f aca="false">IFERROR(AVERAGEIFS(E_Measurements!$P$5:$P$546,E_Measurements!$B$5:$B$546,$A62,E_Measurements!$D$5:$D$546,"D1"),"")</f>
        <v/>
      </c>
      <c r="G62" s="56" t="str">
        <f aca="false">IFERROR(AVERAGEIFS(E_Measurements!$P$5:$P$546,E_Measurements!$B$5:$B$546,$A62,E_Measurements!$D$5:$D$546,"D2"),"")</f>
        <v/>
      </c>
      <c r="H62" s="56" t="str">
        <f aca="false">IFERROR(AVERAGEIFS(E_Measurements!$P$5:$P$546,E_Measurements!$B$5:$B$546,$A62,E_Measurements!$D$5:$D$546,"D3"),"")</f>
        <v/>
      </c>
      <c r="I62" s="56" t="str">
        <f aca="false">IFERROR(AVERAGEIFS(E_Measurements!$P$5:$P$546,E_Measurements!$B$5:$B$546,$A62,E_Measurements!$D$5:$D$546,"D4"),"")</f>
        <v/>
      </c>
      <c r="J62" s="56" t="str">
        <f aca="false">IFERROR(AVERAGEIFS(E_Measurements!$P$5:$P$546,E_Measurements!$B$5:$B$546,$A62,E_Measurements!$D$5:$D$546,"D5"),"")</f>
        <v/>
      </c>
      <c r="K62" s="56" t="str">
        <f aca="false">IFERROR(AVERAGEIFS(E_Measurements!$P$5:$P$546,E_Measurements!$B$5:$B$546,$A62,E_Measurements!$D$5:$D$546,"D6"),"")</f>
        <v/>
      </c>
      <c r="L62" s="69" t="str">
        <f aca="false">IF(COUNT(F62:K62)&lt;6,"",F62*A_Scoring_Model!$C$5+G62*A_Scoring_Model!$C$6+H62*A_Scoring_Model!$C$7+I62*A_Scoring_Model!$C$8+J62*A_Scoring_Model!$C$9+K62*A_Scoring_Model!$C$10)</f>
        <v/>
      </c>
      <c r="M62" s="70"/>
      <c r="N62" s="70"/>
      <c r="O62" s="70"/>
      <c r="P62" s="70"/>
      <c r="Q62" s="21" t="str">
        <f aca="false">IF(F62="","",IF(COUNTIFS(E_Measurements!$B$5:$B$546,A62,E_Measurements!$D$5:$D$546,"D1",E_Measurements!$P$5:$P$546,0)&gt;0,"N","Y"))</f>
        <v/>
      </c>
      <c r="R62" s="70"/>
      <c r="S62" s="13" t="str">
        <f aca="false">IF(COUNTIF(M62:R62,"Y")=6,"Y","N")</f>
        <v>N</v>
      </c>
      <c r="T62" s="13" t="str">
        <f aca="false">IF(L62="","",IF(OR(S62&lt;&gt;"Y",L62&lt;A_Scoring_Model!$C$33),"Not eligible",IF(L62&gt;=A_Scoring_Model!$C$30,"Tier 1 · Certified",IF(L62&gt;=A_Scoring_Model!$C$31,"Tier 2 · Conditional",IF(L62&gt;=A_Scoring_Model!$C$32,"Tier 3 · Group-local","Tier 4 · Rework")))))</f>
        <v/>
      </c>
      <c r="U62" s="13" t="str">
        <f aca="false">IF(OR(L62="",S62&lt;&gt;"Y"),"",COUNTIFS($A$5:$A$95,A62,$S$5:$S$95,"Y",$L$5:$L$95,"&gt;"&amp;L62)+1)</f>
        <v/>
      </c>
      <c r="V62" s="21" t="str">
        <f aca="false">A62&amp;"|"&amp;U62</f>
        <v>7.a|</v>
      </c>
    </row>
    <row r="63" customFormat="false" ht="15" hidden="false" customHeight="false" outlineLevel="0" collapsed="false">
      <c r="A63" s="68" t="s">
        <v>342</v>
      </c>
      <c r="B63" s="39" t="s">
        <v>343</v>
      </c>
      <c r="C63" s="68" t="s">
        <v>1348</v>
      </c>
      <c r="D63" s="21" t="n">
        <f aca="false">COUNTIFS(E_Measurements!$B$5:$B$546,A63,E_Measurements!$J$5:$J$546,"&lt;&gt;")</f>
        <v>0</v>
      </c>
      <c r="E63" s="21" t="n">
        <f aca="false">COUNTIF(E_Measurements!$B$5:$B$546,A63)</f>
        <v>16</v>
      </c>
      <c r="F63" s="56" t="str">
        <f aca="false">IFERROR(AVERAGEIFS(E_Measurements!$N$5:$N$546,E_Measurements!$B$5:$B$546,$A63,E_Measurements!$D$5:$D$546,"D1"),"")</f>
        <v/>
      </c>
      <c r="G63" s="56" t="str">
        <f aca="false">IFERROR(AVERAGEIFS(E_Measurements!$N$5:$N$546,E_Measurements!$B$5:$B$546,$A63,E_Measurements!$D$5:$D$546,"D2"),"")</f>
        <v/>
      </c>
      <c r="H63" s="56" t="str">
        <f aca="false">IFERROR(AVERAGEIFS(E_Measurements!$N$5:$N$546,E_Measurements!$B$5:$B$546,$A63,E_Measurements!$D$5:$D$546,"D3"),"")</f>
        <v/>
      </c>
      <c r="I63" s="56" t="str">
        <f aca="false">IFERROR(AVERAGEIFS(E_Measurements!$N$5:$N$546,E_Measurements!$B$5:$B$546,$A63,E_Measurements!$D$5:$D$546,"D4"),"")</f>
        <v/>
      </c>
      <c r="J63" s="56" t="str">
        <f aca="false">IFERROR(AVERAGEIFS(E_Measurements!$N$5:$N$546,E_Measurements!$B$5:$B$546,$A63,E_Measurements!$D$5:$D$546,"D5"),"")</f>
        <v/>
      </c>
      <c r="K63" s="56" t="str">
        <f aca="false">IFERROR(AVERAGEIFS(E_Measurements!$N$5:$N$546,E_Measurements!$B$5:$B$546,$A63,E_Measurements!$D$5:$D$546,"D6"),"")</f>
        <v/>
      </c>
      <c r="L63" s="69" t="str">
        <f aca="false">IF(COUNT(F63:K63)&lt;6,"",F63*A_Scoring_Model!$C$5+G63*A_Scoring_Model!$C$6+H63*A_Scoring_Model!$C$7+I63*A_Scoring_Model!$C$8+J63*A_Scoring_Model!$C$9+K63*A_Scoring_Model!$C$10)</f>
        <v/>
      </c>
      <c r="M63" s="70"/>
      <c r="N63" s="70"/>
      <c r="O63" s="70"/>
      <c r="P63" s="70"/>
      <c r="Q63" s="21" t="str">
        <f aca="false">IF(F63="","",IF(COUNTIFS(E_Measurements!$B$5:$B$546,A63,E_Measurements!$D$5:$D$546,"D1",E_Measurements!$N$5:$N$546,0)&gt;0,"N","Y"))</f>
        <v/>
      </c>
      <c r="R63" s="70"/>
      <c r="S63" s="13" t="str">
        <f aca="false">IF(COUNTIF(M63:R63,"Y")=6,"Y","N")</f>
        <v>N</v>
      </c>
      <c r="T63" s="13" t="str">
        <f aca="false">IF(L63="","",IF(OR(S63&lt;&gt;"Y",L63&lt;A_Scoring_Model!$C$33),"Not eligible",IF(L63&gt;=A_Scoring_Model!$C$30,"Tier 1 · Certified",IF(L63&gt;=A_Scoring_Model!$C$31,"Tier 2 · Conditional",IF(L63&gt;=A_Scoring_Model!$C$32,"Tier 3 · Group-local","Tier 4 · Rework")))))</f>
        <v/>
      </c>
      <c r="U63" s="13" t="str">
        <f aca="false">IF(OR(L63="",S63&lt;&gt;"Y"),"",COUNTIFS($A$5:$A$95,A63,$S$5:$S$95,"Y",$L$5:$L$95,"&gt;"&amp;L63)+1)</f>
        <v/>
      </c>
      <c r="V63" s="21" t="str">
        <f aca="false">A63&amp;"|"&amp;U63</f>
        <v>7.b|</v>
      </c>
    </row>
    <row r="64" customFormat="false" ht="15" hidden="false" customHeight="false" outlineLevel="0" collapsed="false">
      <c r="A64" s="68" t="s">
        <v>342</v>
      </c>
      <c r="B64" s="39" t="s">
        <v>343</v>
      </c>
      <c r="C64" s="68" t="s">
        <v>1350</v>
      </c>
      <c r="D64" s="21" t="n">
        <f aca="false">COUNTIFS(E_Measurements!$B$5:$B$546,A64,E_Measurements!$K$5:$K$546,"&lt;&gt;")</f>
        <v>0</v>
      </c>
      <c r="E64" s="21" t="n">
        <f aca="false">COUNTIF(E_Measurements!$B$5:$B$546,A64)</f>
        <v>16</v>
      </c>
      <c r="F64" s="56" t="str">
        <f aca="false">IFERROR(AVERAGEIFS(E_Measurements!$O$5:$O$546,E_Measurements!$B$5:$B$546,$A64,E_Measurements!$D$5:$D$546,"D1"),"")</f>
        <v/>
      </c>
      <c r="G64" s="56" t="str">
        <f aca="false">IFERROR(AVERAGEIFS(E_Measurements!$O$5:$O$546,E_Measurements!$B$5:$B$546,$A64,E_Measurements!$D$5:$D$546,"D2"),"")</f>
        <v/>
      </c>
      <c r="H64" s="56" t="str">
        <f aca="false">IFERROR(AVERAGEIFS(E_Measurements!$O$5:$O$546,E_Measurements!$B$5:$B$546,$A64,E_Measurements!$D$5:$D$546,"D3"),"")</f>
        <v/>
      </c>
      <c r="I64" s="56" t="str">
        <f aca="false">IFERROR(AVERAGEIFS(E_Measurements!$O$5:$O$546,E_Measurements!$B$5:$B$546,$A64,E_Measurements!$D$5:$D$546,"D4"),"")</f>
        <v/>
      </c>
      <c r="J64" s="56" t="str">
        <f aca="false">IFERROR(AVERAGEIFS(E_Measurements!$O$5:$O$546,E_Measurements!$B$5:$B$546,$A64,E_Measurements!$D$5:$D$546,"D5"),"")</f>
        <v/>
      </c>
      <c r="K64" s="56" t="str">
        <f aca="false">IFERROR(AVERAGEIFS(E_Measurements!$O$5:$O$546,E_Measurements!$B$5:$B$546,$A64,E_Measurements!$D$5:$D$546,"D6"),"")</f>
        <v/>
      </c>
      <c r="L64" s="69" t="str">
        <f aca="false">IF(COUNT(F64:K64)&lt;6,"",F64*A_Scoring_Model!$C$5+G64*A_Scoring_Model!$C$6+H64*A_Scoring_Model!$C$7+I64*A_Scoring_Model!$C$8+J64*A_Scoring_Model!$C$9+K64*A_Scoring_Model!$C$10)</f>
        <v/>
      </c>
      <c r="M64" s="70"/>
      <c r="N64" s="70"/>
      <c r="O64" s="70"/>
      <c r="P64" s="70"/>
      <c r="Q64" s="21" t="str">
        <f aca="false">IF(F64="","",IF(COUNTIFS(E_Measurements!$B$5:$B$546,A64,E_Measurements!$D$5:$D$546,"D1",E_Measurements!$O$5:$O$546,0)&gt;0,"N","Y"))</f>
        <v/>
      </c>
      <c r="R64" s="70"/>
      <c r="S64" s="13" t="str">
        <f aca="false">IF(COUNTIF(M64:R64,"Y")=6,"Y","N")</f>
        <v>N</v>
      </c>
      <c r="T64" s="13" t="str">
        <f aca="false">IF(L64="","",IF(OR(S64&lt;&gt;"Y",L64&lt;A_Scoring_Model!$C$33),"Not eligible",IF(L64&gt;=A_Scoring_Model!$C$30,"Tier 1 · Certified",IF(L64&gt;=A_Scoring_Model!$C$31,"Tier 2 · Conditional",IF(L64&gt;=A_Scoring_Model!$C$32,"Tier 3 · Group-local","Tier 4 · Rework")))))</f>
        <v/>
      </c>
      <c r="U64" s="13" t="str">
        <f aca="false">IF(OR(L64="",S64&lt;&gt;"Y"),"",COUNTIFS($A$5:$A$95,A64,$S$5:$S$95,"Y",$L$5:$L$95,"&gt;"&amp;L64)+1)</f>
        <v/>
      </c>
      <c r="V64" s="21" t="str">
        <f aca="false">A64&amp;"|"&amp;U64</f>
        <v>7.b|</v>
      </c>
    </row>
    <row r="65" customFormat="false" ht="15" hidden="false" customHeight="false" outlineLevel="0" collapsed="false">
      <c r="A65" s="68" t="s">
        <v>342</v>
      </c>
      <c r="B65" s="39" t="s">
        <v>343</v>
      </c>
      <c r="C65" s="68" t="s">
        <v>1351</v>
      </c>
      <c r="D65" s="21" t="n">
        <f aca="false">COUNTIFS(E_Measurements!$B$5:$B$546,A65,E_Measurements!$L$5:$L$546,"&lt;&gt;")</f>
        <v>0</v>
      </c>
      <c r="E65" s="21" t="n">
        <f aca="false">COUNTIF(E_Measurements!$B$5:$B$546,A65)</f>
        <v>16</v>
      </c>
      <c r="F65" s="56" t="str">
        <f aca="false">IFERROR(AVERAGEIFS(E_Measurements!$P$5:$P$546,E_Measurements!$B$5:$B$546,$A65,E_Measurements!$D$5:$D$546,"D1"),"")</f>
        <v/>
      </c>
      <c r="G65" s="56" t="str">
        <f aca="false">IFERROR(AVERAGEIFS(E_Measurements!$P$5:$P$546,E_Measurements!$B$5:$B$546,$A65,E_Measurements!$D$5:$D$546,"D2"),"")</f>
        <v/>
      </c>
      <c r="H65" s="56" t="str">
        <f aca="false">IFERROR(AVERAGEIFS(E_Measurements!$P$5:$P$546,E_Measurements!$B$5:$B$546,$A65,E_Measurements!$D$5:$D$546,"D3"),"")</f>
        <v/>
      </c>
      <c r="I65" s="56" t="str">
        <f aca="false">IFERROR(AVERAGEIFS(E_Measurements!$P$5:$P$546,E_Measurements!$B$5:$B$546,$A65,E_Measurements!$D$5:$D$546,"D4"),"")</f>
        <v/>
      </c>
      <c r="J65" s="56" t="str">
        <f aca="false">IFERROR(AVERAGEIFS(E_Measurements!$P$5:$P$546,E_Measurements!$B$5:$B$546,$A65,E_Measurements!$D$5:$D$546,"D5"),"")</f>
        <v/>
      </c>
      <c r="K65" s="56" t="str">
        <f aca="false">IFERROR(AVERAGEIFS(E_Measurements!$P$5:$P$546,E_Measurements!$B$5:$B$546,$A65,E_Measurements!$D$5:$D$546,"D6"),"")</f>
        <v/>
      </c>
      <c r="L65" s="69" t="str">
        <f aca="false">IF(COUNT(F65:K65)&lt;6,"",F65*A_Scoring_Model!$C$5+G65*A_Scoring_Model!$C$6+H65*A_Scoring_Model!$C$7+I65*A_Scoring_Model!$C$8+J65*A_Scoring_Model!$C$9+K65*A_Scoring_Model!$C$10)</f>
        <v/>
      </c>
      <c r="M65" s="70"/>
      <c r="N65" s="70"/>
      <c r="O65" s="70"/>
      <c r="P65" s="70"/>
      <c r="Q65" s="21" t="str">
        <f aca="false">IF(F65="","",IF(COUNTIFS(E_Measurements!$B$5:$B$546,A65,E_Measurements!$D$5:$D$546,"D1",E_Measurements!$P$5:$P$546,0)&gt;0,"N","Y"))</f>
        <v/>
      </c>
      <c r="R65" s="70"/>
      <c r="S65" s="13" t="str">
        <f aca="false">IF(COUNTIF(M65:R65,"Y")=6,"Y","N")</f>
        <v>N</v>
      </c>
      <c r="T65" s="13" t="str">
        <f aca="false">IF(L65="","",IF(OR(S65&lt;&gt;"Y",L65&lt;A_Scoring_Model!$C$33),"Not eligible",IF(L65&gt;=A_Scoring_Model!$C$30,"Tier 1 · Certified",IF(L65&gt;=A_Scoring_Model!$C$31,"Tier 2 · Conditional",IF(L65&gt;=A_Scoring_Model!$C$32,"Tier 3 · Group-local","Tier 4 · Rework")))))</f>
        <v/>
      </c>
      <c r="U65" s="13" t="str">
        <f aca="false">IF(OR(L65="",S65&lt;&gt;"Y"),"",COUNTIFS($A$5:$A$95,A65,$S$5:$S$95,"Y",$L$5:$L$95,"&gt;"&amp;L65)+1)</f>
        <v/>
      </c>
      <c r="V65" s="21" t="str">
        <f aca="false">A65&amp;"|"&amp;U65</f>
        <v>7.b|</v>
      </c>
    </row>
    <row r="66" customFormat="false" ht="15" hidden="false" customHeight="false" outlineLevel="0" collapsed="false">
      <c r="A66" s="13" t="s">
        <v>348</v>
      </c>
      <c r="B66" s="16" t="s">
        <v>349</v>
      </c>
      <c r="C66" s="13" t="s">
        <v>1348</v>
      </c>
      <c r="D66" s="21" t="n">
        <f aca="false">COUNTIFS(E_Measurements!$B$5:$B$546,A66,E_Measurements!$J$5:$J$546,"&lt;&gt;")</f>
        <v>0</v>
      </c>
      <c r="E66" s="21" t="n">
        <f aca="false">COUNTIF(E_Measurements!$B$5:$B$546,A66)</f>
        <v>16</v>
      </c>
      <c r="F66" s="56" t="str">
        <f aca="false">IFERROR(AVERAGEIFS(E_Measurements!$N$5:$N$546,E_Measurements!$B$5:$B$546,$A66,E_Measurements!$D$5:$D$546,"D1"),"")</f>
        <v/>
      </c>
      <c r="G66" s="56" t="str">
        <f aca="false">IFERROR(AVERAGEIFS(E_Measurements!$N$5:$N$546,E_Measurements!$B$5:$B$546,$A66,E_Measurements!$D$5:$D$546,"D2"),"")</f>
        <v/>
      </c>
      <c r="H66" s="56" t="str">
        <f aca="false">IFERROR(AVERAGEIFS(E_Measurements!$N$5:$N$546,E_Measurements!$B$5:$B$546,$A66,E_Measurements!$D$5:$D$546,"D3"),"")</f>
        <v/>
      </c>
      <c r="I66" s="56" t="str">
        <f aca="false">IFERROR(AVERAGEIFS(E_Measurements!$N$5:$N$546,E_Measurements!$B$5:$B$546,$A66,E_Measurements!$D$5:$D$546,"D4"),"")</f>
        <v/>
      </c>
      <c r="J66" s="56" t="str">
        <f aca="false">IFERROR(AVERAGEIFS(E_Measurements!$N$5:$N$546,E_Measurements!$B$5:$B$546,$A66,E_Measurements!$D$5:$D$546,"D5"),"")</f>
        <v/>
      </c>
      <c r="K66" s="56" t="str">
        <f aca="false">IFERROR(AVERAGEIFS(E_Measurements!$N$5:$N$546,E_Measurements!$B$5:$B$546,$A66,E_Measurements!$D$5:$D$546,"D6"),"")</f>
        <v/>
      </c>
      <c r="L66" s="69" t="str">
        <f aca="false">IF(COUNT(F66:K66)&lt;6,"",F66*A_Scoring_Model!$C$5+G66*A_Scoring_Model!$C$6+H66*A_Scoring_Model!$C$7+I66*A_Scoring_Model!$C$8+J66*A_Scoring_Model!$C$9+K66*A_Scoring_Model!$C$10)</f>
        <v/>
      </c>
      <c r="M66" s="70"/>
      <c r="N66" s="70"/>
      <c r="O66" s="70"/>
      <c r="P66" s="70"/>
      <c r="Q66" s="21" t="str">
        <f aca="false">IF(F66="","",IF(COUNTIFS(E_Measurements!$B$5:$B$546,A66,E_Measurements!$D$5:$D$546,"D1",E_Measurements!$N$5:$N$546,0)&gt;0,"N","Y"))</f>
        <v/>
      </c>
      <c r="R66" s="70"/>
      <c r="S66" s="13" t="str">
        <f aca="false">IF(COUNTIF(M66:R66,"Y")=6,"Y","N")</f>
        <v>N</v>
      </c>
      <c r="T66" s="13" t="str">
        <f aca="false">IF(L66="","",IF(OR(S66&lt;&gt;"Y",L66&lt;A_Scoring_Model!$C$33),"Not eligible",IF(L66&gt;=A_Scoring_Model!$C$30,"Tier 1 · Certified",IF(L66&gt;=A_Scoring_Model!$C$31,"Tier 2 · Conditional",IF(L66&gt;=A_Scoring_Model!$C$32,"Tier 3 · Group-local","Tier 4 · Rework")))))</f>
        <v/>
      </c>
      <c r="U66" s="13" t="str">
        <f aca="false">IF(OR(L66="",S66&lt;&gt;"Y"),"",COUNTIFS($A$5:$A$95,A66,$S$5:$S$95,"Y",$L$5:$L$95,"&gt;"&amp;L66)+1)</f>
        <v/>
      </c>
      <c r="V66" s="21" t="str">
        <f aca="false">A66&amp;"|"&amp;U66</f>
        <v>7.c|</v>
      </c>
    </row>
    <row r="67" customFormat="false" ht="15" hidden="false" customHeight="false" outlineLevel="0" collapsed="false">
      <c r="A67" s="13" t="s">
        <v>348</v>
      </c>
      <c r="B67" s="16" t="s">
        <v>349</v>
      </c>
      <c r="C67" s="13" t="s">
        <v>1350</v>
      </c>
      <c r="D67" s="21" t="n">
        <f aca="false">COUNTIFS(E_Measurements!$B$5:$B$546,A67,E_Measurements!$K$5:$K$546,"&lt;&gt;")</f>
        <v>0</v>
      </c>
      <c r="E67" s="21" t="n">
        <f aca="false">COUNTIF(E_Measurements!$B$5:$B$546,A67)</f>
        <v>16</v>
      </c>
      <c r="F67" s="56" t="str">
        <f aca="false">IFERROR(AVERAGEIFS(E_Measurements!$O$5:$O$546,E_Measurements!$B$5:$B$546,$A67,E_Measurements!$D$5:$D$546,"D1"),"")</f>
        <v/>
      </c>
      <c r="G67" s="56" t="str">
        <f aca="false">IFERROR(AVERAGEIFS(E_Measurements!$O$5:$O$546,E_Measurements!$B$5:$B$546,$A67,E_Measurements!$D$5:$D$546,"D2"),"")</f>
        <v/>
      </c>
      <c r="H67" s="56" t="str">
        <f aca="false">IFERROR(AVERAGEIFS(E_Measurements!$O$5:$O$546,E_Measurements!$B$5:$B$546,$A67,E_Measurements!$D$5:$D$546,"D3"),"")</f>
        <v/>
      </c>
      <c r="I67" s="56" t="str">
        <f aca="false">IFERROR(AVERAGEIFS(E_Measurements!$O$5:$O$546,E_Measurements!$B$5:$B$546,$A67,E_Measurements!$D$5:$D$546,"D4"),"")</f>
        <v/>
      </c>
      <c r="J67" s="56" t="str">
        <f aca="false">IFERROR(AVERAGEIFS(E_Measurements!$O$5:$O$546,E_Measurements!$B$5:$B$546,$A67,E_Measurements!$D$5:$D$546,"D5"),"")</f>
        <v/>
      </c>
      <c r="K67" s="56" t="str">
        <f aca="false">IFERROR(AVERAGEIFS(E_Measurements!$O$5:$O$546,E_Measurements!$B$5:$B$546,$A67,E_Measurements!$D$5:$D$546,"D6"),"")</f>
        <v/>
      </c>
      <c r="L67" s="69" t="str">
        <f aca="false">IF(COUNT(F67:K67)&lt;6,"",F67*A_Scoring_Model!$C$5+G67*A_Scoring_Model!$C$6+H67*A_Scoring_Model!$C$7+I67*A_Scoring_Model!$C$8+J67*A_Scoring_Model!$C$9+K67*A_Scoring_Model!$C$10)</f>
        <v/>
      </c>
      <c r="M67" s="70"/>
      <c r="N67" s="70"/>
      <c r="O67" s="70"/>
      <c r="P67" s="70"/>
      <c r="Q67" s="21" t="str">
        <f aca="false">IF(F67="","",IF(COUNTIFS(E_Measurements!$B$5:$B$546,A67,E_Measurements!$D$5:$D$546,"D1",E_Measurements!$O$5:$O$546,0)&gt;0,"N","Y"))</f>
        <v/>
      </c>
      <c r="R67" s="70"/>
      <c r="S67" s="13" t="str">
        <f aca="false">IF(COUNTIF(M67:R67,"Y")=6,"Y","N")</f>
        <v>N</v>
      </c>
      <c r="T67" s="13" t="str">
        <f aca="false">IF(L67="","",IF(OR(S67&lt;&gt;"Y",L67&lt;A_Scoring_Model!$C$33),"Not eligible",IF(L67&gt;=A_Scoring_Model!$C$30,"Tier 1 · Certified",IF(L67&gt;=A_Scoring_Model!$C$31,"Tier 2 · Conditional",IF(L67&gt;=A_Scoring_Model!$C$32,"Tier 3 · Group-local","Tier 4 · Rework")))))</f>
        <v/>
      </c>
      <c r="U67" s="13" t="str">
        <f aca="false">IF(OR(L67="",S67&lt;&gt;"Y"),"",COUNTIFS($A$5:$A$95,A67,$S$5:$S$95,"Y",$L$5:$L$95,"&gt;"&amp;L67)+1)</f>
        <v/>
      </c>
      <c r="V67" s="21" t="str">
        <f aca="false">A67&amp;"|"&amp;U67</f>
        <v>7.c|</v>
      </c>
    </row>
    <row r="68" customFormat="false" ht="15" hidden="false" customHeight="false" outlineLevel="0" collapsed="false">
      <c r="A68" s="13" t="s">
        <v>348</v>
      </c>
      <c r="B68" s="16" t="s">
        <v>349</v>
      </c>
      <c r="C68" s="13" t="s">
        <v>1351</v>
      </c>
      <c r="D68" s="21" t="n">
        <f aca="false">COUNTIFS(E_Measurements!$B$5:$B$546,A68,E_Measurements!$L$5:$L$546,"&lt;&gt;")</f>
        <v>0</v>
      </c>
      <c r="E68" s="21" t="n">
        <f aca="false">COUNTIF(E_Measurements!$B$5:$B$546,A68)</f>
        <v>16</v>
      </c>
      <c r="F68" s="56" t="str">
        <f aca="false">IFERROR(AVERAGEIFS(E_Measurements!$P$5:$P$546,E_Measurements!$B$5:$B$546,$A68,E_Measurements!$D$5:$D$546,"D1"),"")</f>
        <v/>
      </c>
      <c r="G68" s="56" t="str">
        <f aca="false">IFERROR(AVERAGEIFS(E_Measurements!$P$5:$P$546,E_Measurements!$B$5:$B$546,$A68,E_Measurements!$D$5:$D$546,"D2"),"")</f>
        <v/>
      </c>
      <c r="H68" s="56" t="str">
        <f aca="false">IFERROR(AVERAGEIFS(E_Measurements!$P$5:$P$546,E_Measurements!$B$5:$B$546,$A68,E_Measurements!$D$5:$D$546,"D3"),"")</f>
        <v/>
      </c>
      <c r="I68" s="56" t="str">
        <f aca="false">IFERROR(AVERAGEIFS(E_Measurements!$P$5:$P$546,E_Measurements!$B$5:$B$546,$A68,E_Measurements!$D$5:$D$546,"D4"),"")</f>
        <v/>
      </c>
      <c r="J68" s="56" t="str">
        <f aca="false">IFERROR(AVERAGEIFS(E_Measurements!$P$5:$P$546,E_Measurements!$B$5:$B$546,$A68,E_Measurements!$D$5:$D$546,"D5"),"")</f>
        <v/>
      </c>
      <c r="K68" s="56" t="str">
        <f aca="false">IFERROR(AVERAGEIFS(E_Measurements!$P$5:$P$546,E_Measurements!$B$5:$B$546,$A68,E_Measurements!$D$5:$D$546,"D6"),"")</f>
        <v/>
      </c>
      <c r="L68" s="69" t="str">
        <f aca="false">IF(COUNT(F68:K68)&lt;6,"",F68*A_Scoring_Model!$C$5+G68*A_Scoring_Model!$C$6+H68*A_Scoring_Model!$C$7+I68*A_Scoring_Model!$C$8+J68*A_Scoring_Model!$C$9+K68*A_Scoring_Model!$C$10)</f>
        <v/>
      </c>
      <c r="M68" s="70"/>
      <c r="N68" s="70"/>
      <c r="O68" s="70"/>
      <c r="P68" s="70"/>
      <c r="Q68" s="21" t="str">
        <f aca="false">IF(F68="","",IF(COUNTIFS(E_Measurements!$B$5:$B$546,A68,E_Measurements!$D$5:$D$546,"D1",E_Measurements!$P$5:$P$546,0)&gt;0,"N","Y"))</f>
        <v/>
      </c>
      <c r="R68" s="70"/>
      <c r="S68" s="13" t="str">
        <f aca="false">IF(COUNTIF(M68:R68,"Y")=6,"Y","N")</f>
        <v>N</v>
      </c>
      <c r="T68" s="13" t="str">
        <f aca="false">IF(L68="","",IF(OR(S68&lt;&gt;"Y",L68&lt;A_Scoring_Model!$C$33),"Not eligible",IF(L68&gt;=A_Scoring_Model!$C$30,"Tier 1 · Certified",IF(L68&gt;=A_Scoring_Model!$C$31,"Tier 2 · Conditional",IF(L68&gt;=A_Scoring_Model!$C$32,"Tier 3 · Group-local","Tier 4 · Rework")))))</f>
        <v/>
      </c>
      <c r="U68" s="13" t="str">
        <f aca="false">IF(OR(L68="",S68&lt;&gt;"Y"),"",COUNTIFS($A$5:$A$95,A68,$S$5:$S$95,"Y",$L$5:$L$95,"&gt;"&amp;L68)+1)</f>
        <v/>
      </c>
      <c r="V68" s="21" t="str">
        <f aca="false">A68&amp;"|"&amp;U68</f>
        <v>7.c|</v>
      </c>
    </row>
    <row r="69" customFormat="false" ht="15" hidden="false" customHeight="false" outlineLevel="0" collapsed="false">
      <c r="A69" s="68" t="s">
        <v>356</v>
      </c>
      <c r="B69" s="39" t="s">
        <v>357</v>
      </c>
      <c r="C69" s="68" t="s">
        <v>1348</v>
      </c>
      <c r="D69" s="21" t="n">
        <f aca="false">COUNTIFS(E_Measurements!$B$5:$B$546,A69,E_Measurements!$J$5:$J$546,"&lt;&gt;")</f>
        <v>0</v>
      </c>
      <c r="E69" s="21" t="n">
        <f aca="false">COUNTIF(E_Measurements!$B$5:$B$546,A69)</f>
        <v>15</v>
      </c>
      <c r="F69" s="56" t="str">
        <f aca="false">IFERROR(AVERAGEIFS(E_Measurements!$N$5:$N$546,E_Measurements!$B$5:$B$546,$A69,E_Measurements!$D$5:$D$546,"D1"),"")</f>
        <v/>
      </c>
      <c r="G69" s="56" t="str">
        <f aca="false">IFERROR(AVERAGEIFS(E_Measurements!$N$5:$N$546,E_Measurements!$B$5:$B$546,$A69,E_Measurements!$D$5:$D$546,"D2"),"")</f>
        <v/>
      </c>
      <c r="H69" s="56" t="str">
        <f aca="false">IFERROR(AVERAGEIFS(E_Measurements!$N$5:$N$546,E_Measurements!$B$5:$B$546,$A69,E_Measurements!$D$5:$D$546,"D3"),"")</f>
        <v/>
      </c>
      <c r="I69" s="56" t="str">
        <f aca="false">IFERROR(AVERAGEIFS(E_Measurements!$N$5:$N$546,E_Measurements!$B$5:$B$546,$A69,E_Measurements!$D$5:$D$546,"D4"),"")</f>
        <v/>
      </c>
      <c r="J69" s="56" t="str">
        <f aca="false">IFERROR(AVERAGEIFS(E_Measurements!$N$5:$N$546,E_Measurements!$B$5:$B$546,$A69,E_Measurements!$D$5:$D$546,"D5"),"")</f>
        <v/>
      </c>
      <c r="K69" s="56" t="str">
        <f aca="false">IFERROR(AVERAGEIFS(E_Measurements!$N$5:$N$546,E_Measurements!$B$5:$B$546,$A69,E_Measurements!$D$5:$D$546,"D6"),"")</f>
        <v/>
      </c>
      <c r="L69" s="69" t="str">
        <f aca="false">IF(COUNT(F69:K69)&lt;6,"",F69*A_Scoring_Model!$C$5+G69*A_Scoring_Model!$C$6+H69*A_Scoring_Model!$C$7+I69*A_Scoring_Model!$C$8+J69*A_Scoring_Model!$C$9+K69*A_Scoring_Model!$C$10)</f>
        <v/>
      </c>
      <c r="M69" s="70"/>
      <c r="N69" s="70"/>
      <c r="O69" s="70"/>
      <c r="P69" s="70"/>
      <c r="Q69" s="21" t="str">
        <f aca="false">IF(F69="","",IF(COUNTIFS(E_Measurements!$B$5:$B$546,A69,E_Measurements!$D$5:$D$546,"D1",E_Measurements!$N$5:$N$546,0)&gt;0,"N","Y"))</f>
        <v/>
      </c>
      <c r="R69" s="70"/>
      <c r="S69" s="13" t="str">
        <f aca="false">IF(COUNTIF(M69:R69,"Y")=6,"Y","N")</f>
        <v>N</v>
      </c>
      <c r="T69" s="13" t="str">
        <f aca="false">IF(L69="","",IF(OR(S69&lt;&gt;"Y",L69&lt;A_Scoring_Model!$C$33),"Not eligible",IF(L69&gt;=A_Scoring_Model!$C$30,"Tier 1 · Certified",IF(L69&gt;=A_Scoring_Model!$C$31,"Tier 2 · Conditional",IF(L69&gt;=A_Scoring_Model!$C$32,"Tier 3 · Group-local","Tier 4 · Rework")))))</f>
        <v/>
      </c>
      <c r="U69" s="13" t="str">
        <f aca="false">IF(OR(L69="",S69&lt;&gt;"Y"),"",COUNTIFS($A$5:$A$95,A69,$S$5:$S$95,"Y",$L$5:$L$95,"&gt;"&amp;L69)+1)</f>
        <v/>
      </c>
      <c r="V69" s="21" t="str">
        <f aca="false">A69&amp;"|"&amp;U69</f>
        <v>8.a|</v>
      </c>
    </row>
    <row r="70" customFormat="false" ht="15" hidden="false" customHeight="false" outlineLevel="0" collapsed="false">
      <c r="A70" s="68" t="s">
        <v>356</v>
      </c>
      <c r="B70" s="39" t="s">
        <v>357</v>
      </c>
      <c r="C70" s="68" t="s">
        <v>1350</v>
      </c>
      <c r="D70" s="21" t="n">
        <f aca="false">COUNTIFS(E_Measurements!$B$5:$B$546,A70,E_Measurements!$K$5:$K$546,"&lt;&gt;")</f>
        <v>0</v>
      </c>
      <c r="E70" s="21" t="n">
        <f aca="false">COUNTIF(E_Measurements!$B$5:$B$546,A70)</f>
        <v>15</v>
      </c>
      <c r="F70" s="56" t="str">
        <f aca="false">IFERROR(AVERAGEIFS(E_Measurements!$O$5:$O$546,E_Measurements!$B$5:$B$546,$A70,E_Measurements!$D$5:$D$546,"D1"),"")</f>
        <v/>
      </c>
      <c r="G70" s="56" t="str">
        <f aca="false">IFERROR(AVERAGEIFS(E_Measurements!$O$5:$O$546,E_Measurements!$B$5:$B$546,$A70,E_Measurements!$D$5:$D$546,"D2"),"")</f>
        <v/>
      </c>
      <c r="H70" s="56" t="str">
        <f aca="false">IFERROR(AVERAGEIFS(E_Measurements!$O$5:$O$546,E_Measurements!$B$5:$B$546,$A70,E_Measurements!$D$5:$D$546,"D3"),"")</f>
        <v/>
      </c>
      <c r="I70" s="56" t="str">
        <f aca="false">IFERROR(AVERAGEIFS(E_Measurements!$O$5:$O$546,E_Measurements!$B$5:$B$546,$A70,E_Measurements!$D$5:$D$546,"D4"),"")</f>
        <v/>
      </c>
      <c r="J70" s="56" t="str">
        <f aca="false">IFERROR(AVERAGEIFS(E_Measurements!$O$5:$O$546,E_Measurements!$B$5:$B$546,$A70,E_Measurements!$D$5:$D$546,"D5"),"")</f>
        <v/>
      </c>
      <c r="K70" s="56" t="str">
        <f aca="false">IFERROR(AVERAGEIFS(E_Measurements!$O$5:$O$546,E_Measurements!$B$5:$B$546,$A70,E_Measurements!$D$5:$D$546,"D6"),"")</f>
        <v/>
      </c>
      <c r="L70" s="69" t="str">
        <f aca="false">IF(COUNT(F70:K70)&lt;6,"",F70*A_Scoring_Model!$C$5+G70*A_Scoring_Model!$C$6+H70*A_Scoring_Model!$C$7+I70*A_Scoring_Model!$C$8+J70*A_Scoring_Model!$C$9+K70*A_Scoring_Model!$C$10)</f>
        <v/>
      </c>
      <c r="M70" s="70"/>
      <c r="N70" s="70"/>
      <c r="O70" s="70"/>
      <c r="P70" s="70"/>
      <c r="Q70" s="21" t="str">
        <f aca="false">IF(F70="","",IF(COUNTIFS(E_Measurements!$B$5:$B$546,A70,E_Measurements!$D$5:$D$546,"D1",E_Measurements!$O$5:$O$546,0)&gt;0,"N","Y"))</f>
        <v/>
      </c>
      <c r="R70" s="70"/>
      <c r="S70" s="13" t="str">
        <f aca="false">IF(COUNTIF(M70:R70,"Y")=6,"Y","N")</f>
        <v>N</v>
      </c>
      <c r="T70" s="13" t="str">
        <f aca="false">IF(L70="","",IF(OR(S70&lt;&gt;"Y",L70&lt;A_Scoring_Model!$C$33),"Not eligible",IF(L70&gt;=A_Scoring_Model!$C$30,"Tier 1 · Certified",IF(L70&gt;=A_Scoring_Model!$C$31,"Tier 2 · Conditional",IF(L70&gt;=A_Scoring_Model!$C$32,"Tier 3 · Group-local","Tier 4 · Rework")))))</f>
        <v/>
      </c>
      <c r="U70" s="13" t="str">
        <f aca="false">IF(OR(L70="",S70&lt;&gt;"Y"),"",COUNTIFS($A$5:$A$95,A70,$S$5:$S$95,"Y",$L$5:$L$95,"&gt;"&amp;L70)+1)</f>
        <v/>
      </c>
      <c r="V70" s="21" t="str">
        <f aca="false">A70&amp;"|"&amp;U70</f>
        <v>8.a|</v>
      </c>
    </row>
    <row r="71" customFormat="false" ht="15" hidden="false" customHeight="false" outlineLevel="0" collapsed="false">
      <c r="A71" s="68" t="s">
        <v>356</v>
      </c>
      <c r="B71" s="39" t="s">
        <v>357</v>
      </c>
      <c r="C71" s="68" t="s">
        <v>1351</v>
      </c>
      <c r="D71" s="21" t="n">
        <f aca="false">COUNTIFS(E_Measurements!$B$5:$B$546,A71,E_Measurements!$L$5:$L$546,"&lt;&gt;")</f>
        <v>0</v>
      </c>
      <c r="E71" s="21" t="n">
        <f aca="false">COUNTIF(E_Measurements!$B$5:$B$546,A71)</f>
        <v>15</v>
      </c>
      <c r="F71" s="56" t="str">
        <f aca="false">IFERROR(AVERAGEIFS(E_Measurements!$P$5:$P$546,E_Measurements!$B$5:$B$546,$A71,E_Measurements!$D$5:$D$546,"D1"),"")</f>
        <v/>
      </c>
      <c r="G71" s="56" t="str">
        <f aca="false">IFERROR(AVERAGEIFS(E_Measurements!$P$5:$P$546,E_Measurements!$B$5:$B$546,$A71,E_Measurements!$D$5:$D$546,"D2"),"")</f>
        <v/>
      </c>
      <c r="H71" s="56" t="str">
        <f aca="false">IFERROR(AVERAGEIFS(E_Measurements!$P$5:$P$546,E_Measurements!$B$5:$B$546,$A71,E_Measurements!$D$5:$D$546,"D3"),"")</f>
        <v/>
      </c>
      <c r="I71" s="56" t="str">
        <f aca="false">IFERROR(AVERAGEIFS(E_Measurements!$P$5:$P$546,E_Measurements!$B$5:$B$546,$A71,E_Measurements!$D$5:$D$546,"D4"),"")</f>
        <v/>
      </c>
      <c r="J71" s="56" t="str">
        <f aca="false">IFERROR(AVERAGEIFS(E_Measurements!$P$5:$P$546,E_Measurements!$B$5:$B$546,$A71,E_Measurements!$D$5:$D$546,"D5"),"")</f>
        <v/>
      </c>
      <c r="K71" s="56" t="str">
        <f aca="false">IFERROR(AVERAGEIFS(E_Measurements!$P$5:$P$546,E_Measurements!$B$5:$B$546,$A71,E_Measurements!$D$5:$D$546,"D6"),"")</f>
        <v/>
      </c>
      <c r="L71" s="69" t="str">
        <f aca="false">IF(COUNT(F71:K71)&lt;6,"",F71*A_Scoring_Model!$C$5+G71*A_Scoring_Model!$C$6+H71*A_Scoring_Model!$C$7+I71*A_Scoring_Model!$C$8+J71*A_Scoring_Model!$C$9+K71*A_Scoring_Model!$C$10)</f>
        <v/>
      </c>
      <c r="M71" s="70"/>
      <c r="N71" s="70"/>
      <c r="O71" s="70"/>
      <c r="P71" s="70"/>
      <c r="Q71" s="21" t="str">
        <f aca="false">IF(F71="","",IF(COUNTIFS(E_Measurements!$B$5:$B$546,A71,E_Measurements!$D$5:$D$546,"D1",E_Measurements!$P$5:$P$546,0)&gt;0,"N","Y"))</f>
        <v/>
      </c>
      <c r="R71" s="70"/>
      <c r="S71" s="13" t="str">
        <f aca="false">IF(COUNTIF(M71:R71,"Y")=6,"Y","N")</f>
        <v>N</v>
      </c>
      <c r="T71" s="13" t="str">
        <f aca="false">IF(L71="","",IF(OR(S71&lt;&gt;"Y",L71&lt;A_Scoring_Model!$C$33),"Not eligible",IF(L71&gt;=A_Scoring_Model!$C$30,"Tier 1 · Certified",IF(L71&gt;=A_Scoring_Model!$C$31,"Tier 2 · Conditional",IF(L71&gt;=A_Scoring_Model!$C$32,"Tier 3 · Group-local","Tier 4 · Rework")))))</f>
        <v/>
      </c>
      <c r="U71" s="13" t="str">
        <f aca="false">IF(OR(L71="",S71&lt;&gt;"Y"),"",COUNTIFS($A$5:$A$95,A71,$S$5:$S$95,"Y",$L$5:$L$95,"&gt;"&amp;L71)+1)</f>
        <v/>
      </c>
      <c r="V71" s="21" t="str">
        <f aca="false">A71&amp;"|"&amp;U71</f>
        <v>8.a|</v>
      </c>
    </row>
    <row r="72" customFormat="false" ht="15" hidden="false" customHeight="false" outlineLevel="0" collapsed="false">
      <c r="A72" s="13" t="s">
        <v>362</v>
      </c>
      <c r="B72" s="16" t="s">
        <v>363</v>
      </c>
      <c r="C72" s="13" t="s">
        <v>1348</v>
      </c>
      <c r="D72" s="21" t="n">
        <f aca="false">COUNTIFS(E_Measurements!$B$5:$B$546,A72,E_Measurements!$J$5:$J$546,"&lt;&gt;")</f>
        <v>0</v>
      </c>
      <c r="E72" s="21" t="n">
        <f aca="false">COUNTIF(E_Measurements!$B$5:$B$546,A72)</f>
        <v>17</v>
      </c>
      <c r="F72" s="56" t="str">
        <f aca="false">IFERROR(AVERAGEIFS(E_Measurements!$N$5:$N$546,E_Measurements!$B$5:$B$546,$A72,E_Measurements!$D$5:$D$546,"D1"),"")</f>
        <v/>
      </c>
      <c r="G72" s="56" t="str">
        <f aca="false">IFERROR(AVERAGEIFS(E_Measurements!$N$5:$N$546,E_Measurements!$B$5:$B$546,$A72,E_Measurements!$D$5:$D$546,"D2"),"")</f>
        <v/>
      </c>
      <c r="H72" s="56" t="str">
        <f aca="false">IFERROR(AVERAGEIFS(E_Measurements!$N$5:$N$546,E_Measurements!$B$5:$B$546,$A72,E_Measurements!$D$5:$D$546,"D3"),"")</f>
        <v/>
      </c>
      <c r="I72" s="56" t="str">
        <f aca="false">IFERROR(AVERAGEIFS(E_Measurements!$N$5:$N$546,E_Measurements!$B$5:$B$546,$A72,E_Measurements!$D$5:$D$546,"D4"),"")</f>
        <v/>
      </c>
      <c r="J72" s="56" t="str">
        <f aca="false">IFERROR(AVERAGEIFS(E_Measurements!$N$5:$N$546,E_Measurements!$B$5:$B$546,$A72,E_Measurements!$D$5:$D$546,"D5"),"")</f>
        <v/>
      </c>
      <c r="K72" s="56" t="str">
        <f aca="false">IFERROR(AVERAGEIFS(E_Measurements!$N$5:$N$546,E_Measurements!$B$5:$B$546,$A72,E_Measurements!$D$5:$D$546,"D6"),"")</f>
        <v/>
      </c>
      <c r="L72" s="69" t="str">
        <f aca="false">IF(COUNT(F72:K72)&lt;6,"",F72*A_Scoring_Model!$C$5+G72*A_Scoring_Model!$C$6+H72*A_Scoring_Model!$C$7+I72*A_Scoring_Model!$C$8+J72*A_Scoring_Model!$C$9+K72*A_Scoring_Model!$C$10)</f>
        <v/>
      </c>
      <c r="M72" s="70"/>
      <c r="N72" s="70"/>
      <c r="O72" s="70"/>
      <c r="P72" s="70"/>
      <c r="Q72" s="21" t="str">
        <f aca="false">IF(F72="","",IF(COUNTIFS(E_Measurements!$B$5:$B$546,A72,E_Measurements!$D$5:$D$546,"D1",E_Measurements!$N$5:$N$546,0)&gt;0,"N","Y"))</f>
        <v/>
      </c>
      <c r="R72" s="70"/>
      <c r="S72" s="13" t="str">
        <f aca="false">IF(COUNTIF(M72:R72,"Y")=6,"Y","N")</f>
        <v>N</v>
      </c>
      <c r="T72" s="13" t="str">
        <f aca="false">IF(L72="","",IF(OR(S72&lt;&gt;"Y",L72&lt;A_Scoring_Model!$C$33),"Not eligible",IF(L72&gt;=A_Scoring_Model!$C$30,"Tier 1 · Certified",IF(L72&gt;=A_Scoring_Model!$C$31,"Tier 2 · Conditional",IF(L72&gt;=A_Scoring_Model!$C$32,"Tier 3 · Group-local","Tier 4 · Rework")))))</f>
        <v/>
      </c>
      <c r="U72" s="13" t="str">
        <f aca="false">IF(OR(L72="",S72&lt;&gt;"Y"),"",COUNTIFS($A$5:$A$95,A72,$S$5:$S$95,"Y",$L$5:$L$95,"&gt;"&amp;L72)+1)</f>
        <v/>
      </c>
      <c r="V72" s="21" t="str">
        <f aca="false">A72&amp;"|"&amp;U72</f>
        <v>8.b|</v>
      </c>
    </row>
    <row r="73" customFormat="false" ht="15" hidden="false" customHeight="false" outlineLevel="0" collapsed="false">
      <c r="A73" s="13" t="s">
        <v>362</v>
      </c>
      <c r="B73" s="16" t="s">
        <v>363</v>
      </c>
      <c r="C73" s="13" t="s">
        <v>1350</v>
      </c>
      <c r="D73" s="21" t="n">
        <f aca="false">COUNTIFS(E_Measurements!$B$5:$B$546,A73,E_Measurements!$K$5:$K$546,"&lt;&gt;")</f>
        <v>0</v>
      </c>
      <c r="E73" s="21" t="n">
        <f aca="false">COUNTIF(E_Measurements!$B$5:$B$546,A73)</f>
        <v>17</v>
      </c>
      <c r="F73" s="56" t="str">
        <f aca="false">IFERROR(AVERAGEIFS(E_Measurements!$O$5:$O$546,E_Measurements!$B$5:$B$546,$A73,E_Measurements!$D$5:$D$546,"D1"),"")</f>
        <v/>
      </c>
      <c r="G73" s="56" t="str">
        <f aca="false">IFERROR(AVERAGEIFS(E_Measurements!$O$5:$O$546,E_Measurements!$B$5:$B$546,$A73,E_Measurements!$D$5:$D$546,"D2"),"")</f>
        <v/>
      </c>
      <c r="H73" s="56" t="str">
        <f aca="false">IFERROR(AVERAGEIFS(E_Measurements!$O$5:$O$546,E_Measurements!$B$5:$B$546,$A73,E_Measurements!$D$5:$D$546,"D3"),"")</f>
        <v/>
      </c>
      <c r="I73" s="56" t="str">
        <f aca="false">IFERROR(AVERAGEIFS(E_Measurements!$O$5:$O$546,E_Measurements!$B$5:$B$546,$A73,E_Measurements!$D$5:$D$546,"D4"),"")</f>
        <v/>
      </c>
      <c r="J73" s="56" t="str">
        <f aca="false">IFERROR(AVERAGEIFS(E_Measurements!$O$5:$O$546,E_Measurements!$B$5:$B$546,$A73,E_Measurements!$D$5:$D$546,"D5"),"")</f>
        <v/>
      </c>
      <c r="K73" s="56" t="str">
        <f aca="false">IFERROR(AVERAGEIFS(E_Measurements!$O$5:$O$546,E_Measurements!$B$5:$B$546,$A73,E_Measurements!$D$5:$D$546,"D6"),"")</f>
        <v/>
      </c>
      <c r="L73" s="69" t="str">
        <f aca="false">IF(COUNT(F73:K73)&lt;6,"",F73*A_Scoring_Model!$C$5+G73*A_Scoring_Model!$C$6+H73*A_Scoring_Model!$C$7+I73*A_Scoring_Model!$C$8+J73*A_Scoring_Model!$C$9+K73*A_Scoring_Model!$C$10)</f>
        <v/>
      </c>
      <c r="M73" s="70"/>
      <c r="N73" s="70"/>
      <c r="O73" s="70"/>
      <c r="P73" s="70"/>
      <c r="Q73" s="21" t="str">
        <f aca="false">IF(F73="","",IF(COUNTIFS(E_Measurements!$B$5:$B$546,A73,E_Measurements!$D$5:$D$546,"D1",E_Measurements!$O$5:$O$546,0)&gt;0,"N","Y"))</f>
        <v/>
      </c>
      <c r="R73" s="70"/>
      <c r="S73" s="13" t="str">
        <f aca="false">IF(COUNTIF(M73:R73,"Y")=6,"Y","N")</f>
        <v>N</v>
      </c>
      <c r="T73" s="13" t="str">
        <f aca="false">IF(L73="","",IF(OR(S73&lt;&gt;"Y",L73&lt;A_Scoring_Model!$C$33),"Not eligible",IF(L73&gt;=A_Scoring_Model!$C$30,"Tier 1 · Certified",IF(L73&gt;=A_Scoring_Model!$C$31,"Tier 2 · Conditional",IF(L73&gt;=A_Scoring_Model!$C$32,"Tier 3 · Group-local","Tier 4 · Rework")))))</f>
        <v/>
      </c>
      <c r="U73" s="13" t="str">
        <f aca="false">IF(OR(L73="",S73&lt;&gt;"Y"),"",COUNTIFS($A$5:$A$95,A73,$S$5:$S$95,"Y",$L$5:$L$95,"&gt;"&amp;L73)+1)</f>
        <v/>
      </c>
      <c r="V73" s="21" t="str">
        <f aca="false">A73&amp;"|"&amp;U73</f>
        <v>8.b|</v>
      </c>
    </row>
    <row r="74" customFormat="false" ht="15" hidden="false" customHeight="false" outlineLevel="0" collapsed="false">
      <c r="A74" s="13" t="s">
        <v>362</v>
      </c>
      <c r="B74" s="16" t="s">
        <v>363</v>
      </c>
      <c r="C74" s="13" t="s">
        <v>1351</v>
      </c>
      <c r="D74" s="21" t="n">
        <f aca="false">COUNTIFS(E_Measurements!$B$5:$B$546,A74,E_Measurements!$L$5:$L$546,"&lt;&gt;")</f>
        <v>0</v>
      </c>
      <c r="E74" s="21" t="n">
        <f aca="false">COUNTIF(E_Measurements!$B$5:$B$546,A74)</f>
        <v>17</v>
      </c>
      <c r="F74" s="56" t="str">
        <f aca="false">IFERROR(AVERAGEIFS(E_Measurements!$P$5:$P$546,E_Measurements!$B$5:$B$546,$A74,E_Measurements!$D$5:$D$546,"D1"),"")</f>
        <v/>
      </c>
      <c r="G74" s="56" t="str">
        <f aca="false">IFERROR(AVERAGEIFS(E_Measurements!$P$5:$P$546,E_Measurements!$B$5:$B$546,$A74,E_Measurements!$D$5:$D$546,"D2"),"")</f>
        <v/>
      </c>
      <c r="H74" s="56" t="str">
        <f aca="false">IFERROR(AVERAGEIFS(E_Measurements!$P$5:$P$546,E_Measurements!$B$5:$B$546,$A74,E_Measurements!$D$5:$D$546,"D3"),"")</f>
        <v/>
      </c>
      <c r="I74" s="56" t="str">
        <f aca="false">IFERROR(AVERAGEIFS(E_Measurements!$P$5:$P$546,E_Measurements!$B$5:$B$546,$A74,E_Measurements!$D$5:$D$546,"D4"),"")</f>
        <v/>
      </c>
      <c r="J74" s="56" t="str">
        <f aca="false">IFERROR(AVERAGEIFS(E_Measurements!$P$5:$P$546,E_Measurements!$B$5:$B$546,$A74,E_Measurements!$D$5:$D$546,"D5"),"")</f>
        <v/>
      </c>
      <c r="K74" s="56" t="str">
        <f aca="false">IFERROR(AVERAGEIFS(E_Measurements!$P$5:$P$546,E_Measurements!$B$5:$B$546,$A74,E_Measurements!$D$5:$D$546,"D6"),"")</f>
        <v/>
      </c>
      <c r="L74" s="69" t="str">
        <f aca="false">IF(COUNT(F74:K74)&lt;6,"",F74*A_Scoring_Model!$C$5+G74*A_Scoring_Model!$C$6+H74*A_Scoring_Model!$C$7+I74*A_Scoring_Model!$C$8+J74*A_Scoring_Model!$C$9+K74*A_Scoring_Model!$C$10)</f>
        <v/>
      </c>
      <c r="M74" s="70"/>
      <c r="N74" s="70"/>
      <c r="O74" s="70"/>
      <c r="P74" s="70"/>
      <c r="Q74" s="21" t="str">
        <f aca="false">IF(F74="","",IF(COUNTIFS(E_Measurements!$B$5:$B$546,A74,E_Measurements!$D$5:$D$546,"D1",E_Measurements!$P$5:$P$546,0)&gt;0,"N","Y"))</f>
        <v/>
      </c>
      <c r="R74" s="70"/>
      <c r="S74" s="13" t="str">
        <f aca="false">IF(COUNTIF(M74:R74,"Y")=6,"Y","N")</f>
        <v>N</v>
      </c>
      <c r="T74" s="13" t="str">
        <f aca="false">IF(L74="","",IF(OR(S74&lt;&gt;"Y",L74&lt;A_Scoring_Model!$C$33),"Not eligible",IF(L74&gt;=A_Scoring_Model!$C$30,"Tier 1 · Certified",IF(L74&gt;=A_Scoring_Model!$C$31,"Tier 2 · Conditional",IF(L74&gt;=A_Scoring_Model!$C$32,"Tier 3 · Group-local","Tier 4 · Rework")))))</f>
        <v/>
      </c>
      <c r="U74" s="13" t="str">
        <f aca="false">IF(OR(L74="",S74&lt;&gt;"Y"),"",COUNTIFS($A$5:$A$95,A74,$S$5:$S$95,"Y",$L$5:$L$95,"&gt;"&amp;L74)+1)</f>
        <v/>
      </c>
      <c r="V74" s="21" t="str">
        <f aca="false">A74&amp;"|"&amp;U74</f>
        <v>8.b|</v>
      </c>
    </row>
    <row r="75" customFormat="false" ht="15" hidden="false" customHeight="false" outlineLevel="0" collapsed="false">
      <c r="A75" s="68" t="s">
        <v>369</v>
      </c>
      <c r="B75" s="39" t="s">
        <v>370</v>
      </c>
      <c r="C75" s="68" t="s">
        <v>1348</v>
      </c>
      <c r="D75" s="21" t="n">
        <f aca="false">COUNTIFS(E_Measurements!$B$5:$B$546,A75,E_Measurements!$J$5:$J$546,"&lt;&gt;")</f>
        <v>0</v>
      </c>
      <c r="E75" s="21" t="n">
        <f aca="false">COUNTIF(E_Measurements!$B$5:$B$546,A75)</f>
        <v>16</v>
      </c>
      <c r="F75" s="56" t="str">
        <f aca="false">IFERROR(AVERAGEIFS(E_Measurements!$N$5:$N$546,E_Measurements!$B$5:$B$546,$A75,E_Measurements!$D$5:$D$546,"D1"),"")</f>
        <v/>
      </c>
      <c r="G75" s="56" t="str">
        <f aca="false">IFERROR(AVERAGEIFS(E_Measurements!$N$5:$N$546,E_Measurements!$B$5:$B$546,$A75,E_Measurements!$D$5:$D$546,"D2"),"")</f>
        <v/>
      </c>
      <c r="H75" s="56" t="str">
        <f aca="false">IFERROR(AVERAGEIFS(E_Measurements!$N$5:$N$546,E_Measurements!$B$5:$B$546,$A75,E_Measurements!$D$5:$D$546,"D3"),"")</f>
        <v/>
      </c>
      <c r="I75" s="56" t="str">
        <f aca="false">IFERROR(AVERAGEIFS(E_Measurements!$N$5:$N$546,E_Measurements!$B$5:$B$546,$A75,E_Measurements!$D$5:$D$546,"D4"),"")</f>
        <v/>
      </c>
      <c r="J75" s="56" t="str">
        <f aca="false">IFERROR(AVERAGEIFS(E_Measurements!$N$5:$N$546,E_Measurements!$B$5:$B$546,$A75,E_Measurements!$D$5:$D$546,"D5"),"")</f>
        <v/>
      </c>
      <c r="K75" s="56" t="str">
        <f aca="false">IFERROR(AVERAGEIFS(E_Measurements!$N$5:$N$546,E_Measurements!$B$5:$B$546,$A75,E_Measurements!$D$5:$D$546,"D6"),"")</f>
        <v/>
      </c>
      <c r="L75" s="69" t="str">
        <f aca="false">IF(COUNT(F75:K75)&lt;6,"",F75*A_Scoring_Model!$C$5+G75*A_Scoring_Model!$C$6+H75*A_Scoring_Model!$C$7+I75*A_Scoring_Model!$C$8+J75*A_Scoring_Model!$C$9+K75*A_Scoring_Model!$C$10)</f>
        <v/>
      </c>
      <c r="M75" s="70"/>
      <c r="N75" s="70"/>
      <c r="O75" s="70"/>
      <c r="P75" s="70"/>
      <c r="Q75" s="21" t="str">
        <f aca="false">IF(F75="","",IF(COUNTIFS(E_Measurements!$B$5:$B$546,A75,E_Measurements!$D$5:$D$546,"D1",E_Measurements!$N$5:$N$546,0)&gt;0,"N","Y"))</f>
        <v/>
      </c>
      <c r="R75" s="70"/>
      <c r="S75" s="13" t="str">
        <f aca="false">IF(COUNTIF(M75:R75,"Y")=6,"Y","N")</f>
        <v>N</v>
      </c>
      <c r="T75" s="13" t="str">
        <f aca="false">IF(L75="","",IF(OR(S75&lt;&gt;"Y",L75&lt;A_Scoring_Model!$C$33),"Not eligible",IF(L75&gt;=A_Scoring_Model!$C$30,"Tier 1 · Certified",IF(L75&gt;=A_Scoring_Model!$C$31,"Tier 2 · Conditional",IF(L75&gt;=A_Scoring_Model!$C$32,"Tier 3 · Group-local","Tier 4 · Rework")))))</f>
        <v/>
      </c>
      <c r="U75" s="13" t="str">
        <f aca="false">IF(OR(L75="",S75&lt;&gt;"Y"),"",COUNTIFS($A$5:$A$95,A75,$S$5:$S$95,"Y",$L$5:$L$95,"&gt;"&amp;L75)+1)</f>
        <v/>
      </c>
      <c r="V75" s="21" t="str">
        <f aca="false">A75&amp;"|"&amp;U75</f>
        <v>8.c|</v>
      </c>
    </row>
    <row r="76" customFormat="false" ht="15" hidden="false" customHeight="false" outlineLevel="0" collapsed="false">
      <c r="A76" s="68" t="s">
        <v>369</v>
      </c>
      <c r="B76" s="39" t="s">
        <v>370</v>
      </c>
      <c r="C76" s="68" t="s">
        <v>1350</v>
      </c>
      <c r="D76" s="21" t="n">
        <f aca="false">COUNTIFS(E_Measurements!$B$5:$B$546,A76,E_Measurements!$K$5:$K$546,"&lt;&gt;")</f>
        <v>0</v>
      </c>
      <c r="E76" s="21" t="n">
        <f aca="false">COUNTIF(E_Measurements!$B$5:$B$546,A76)</f>
        <v>16</v>
      </c>
      <c r="F76" s="56" t="str">
        <f aca="false">IFERROR(AVERAGEIFS(E_Measurements!$O$5:$O$546,E_Measurements!$B$5:$B$546,$A76,E_Measurements!$D$5:$D$546,"D1"),"")</f>
        <v/>
      </c>
      <c r="G76" s="56" t="str">
        <f aca="false">IFERROR(AVERAGEIFS(E_Measurements!$O$5:$O$546,E_Measurements!$B$5:$B$546,$A76,E_Measurements!$D$5:$D$546,"D2"),"")</f>
        <v/>
      </c>
      <c r="H76" s="56" t="str">
        <f aca="false">IFERROR(AVERAGEIFS(E_Measurements!$O$5:$O$546,E_Measurements!$B$5:$B$546,$A76,E_Measurements!$D$5:$D$546,"D3"),"")</f>
        <v/>
      </c>
      <c r="I76" s="56" t="str">
        <f aca="false">IFERROR(AVERAGEIFS(E_Measurements!$O$5:$O$546,E_Measurements!$B$5:$B$546,$A76,E_Measurements!$D$5:$D$546,"D4"),"")</f>
        <v/>
      </c>
      <c r="J76" s="56" t="str">
        <f aca="false">IFERROR(AVERAGEIFS(E_Measurements!$O$5:$O$546,E_Measurements!$B$5:$B$546,$A76,E_Measurements!$D$5:$D$546,"D5"),"")</f>
        <v/>
      </c>
      <c r="K76" s="56" t="str">
        <f aca="false">IFERROR(AVERAGEIFS(E_Measurements!$O$5:$O$546,E_Measurements!$B$5:$B$546,$A76,E_Measurements!$D$5:$D$546,"D6"),"")</f>
        <v/>
      </c>
      <c r="L76" s="69" t="str">
        <f aca="false">IF(COUNT(F76:K76)&lt;6,"",F76*A_Scoring_Model!$C$5+G76*A_Scoring_Model!$C$6+H76*A_Scoring_Model!$C$7+I76*A_Scoring_Model!$C$8+J76*A_Scoring_Model!$C$9+K76*A_Scoring_Model!$C$10)</f>
        <v/>
      </c>
      <c r="M76" s="70"/>
      <c r="N76" s="70"/>
      <c r="O76" s="70"/>
      <c r="P76" s="70"/>
      <c r="Q76" s="21" t="str">
        <f aca="false">IF(F76="","",IF(COUNTIFS(E_Measurements!$B$5:$B$546,A76,E_Measurements!$D$5:$D$546,"D1",E_Measurements!$O$5:$O$546,0)&gt;0,"N","Y"))</f>
        <v/>
      </c>
      <c r="R76" s="70"/>
      <c r="S76" s="13" t="str">
        <f aca="false">IF(COUNTIF(M76:R76,"Y")=6,"Y","N")</f>
        <v>N</v>
      </c>
      <c r="T76" s="13" t="str">
        <f aca="false">IF(L76="","",IF(OR(S76&lt;&gt;"Y",L76&lt;A_Scoring_Model!$C$33),"Not eligible",IF(L76&gt;=A_Scoring_Model!$C$30,"Tier 1 · Certified",IF(L76&gt;=A_Scoring_Model!$C$31,"Tier 2 · Conditional",IF(L76&gt;=A_Scoring_Model!$C$32,"Tier 3 · Group-local","Tier 4 · Rework")))))</f>
        <v/>
      </c>
      <c r="U76" s="13" t="str">
        <f aca="false">IF(OR(L76="",S76&lt;&gt;"Y"),"",COUNTIFS($A$5:$A$95,A76,$S$5:$S$95,"Y",$L$5:$L$95,"&gt;"&amp;L76)+1)</f>
        <v/>
      </c>
      <c r="V76" s="21" t="str">
        <f aca="false">A76&amp;"|"&amp;U76</f>
        <v>8.c|</v>
      </c>
    </row>
    <row r="77" customFormat="false" ht="15" hidden="false" customHeight="false" outlineLevel="0" collapsed="false">
      <c r="A77" s="68" t="s">
        <v>369</v>
      </c>
      <c r="B77" s="39" t="s">
        <v>370</v>
      </c>
      <c r="C77" s="68" t="s">
        <v>1351</v>
      </c>
      <c r="D77" s="21" t="n">
        <f aca="false">COUNTIFS(E_Measurements!$B$5:$B$546,A77,E_Measurements!$L$5:$L$546,"&lt;&gt;")</f>
        <v>0</v>
      </c>
      <c r="E77" s="21" t="n">
        <f aca="false">COUNTIF(E_Measurements!$B$5:$B$546,A77)</f>
        <v>16</v>
      </c>
      <c r="F77" s="56" t="str">
        <f aca="false">IFERROR(AVERAGEIFS(E_Measurements!$P$5:$P$546,E_Measurements!$B$5:$B$546,$A77,E_Measurements!$D$5:$D$546,"D1"),"")</f>
        <v/>
      </c>
      <c r="G77" s="56" t="str">
        <f aca="false">IFERROR(AVERAGEIFS(E_Measurements!$P$5:$P$546,E_Measurements!$B$5:$B$546,$A77,E_Measurements!$D$5:$D$546,"D2"),"")</f>
        <v/>
      </c>
      <c r="H77" s="56" t="str">
        <f aca="false">IFERROR(AVERAGEIFS(E_Measurements!$P$5:$P$546,E_Measurements!$B$5:$B$546,$A77,E_Measurements!$D$5:$D$546,"D3"),"")</f>
        <v/>
      </c>
      <c r="I77" s="56" t="str">
        <f aca="false">IFERROR(AVERAGEIFS(E_Measurements!$P$5:$P$546,E_Measurements!$B$5:$B$546,$A77,E_Measurements!$D$5:$D$546,"D4"),"")</f>
        <v/>
      </c>
      <c r="J77" s="56" t="str">
        <f aca="false">IFERROR(AVERAGEIFS(E_Measurements!$P$5:$P$546,E_Measurements!$B$5:$B$546,$A77,E_Measurements!$D$5:$D$546,"D5"),"")</f>
        <v/>
      </c>
      <c r="K77" s="56" t="str">
        <f aca="false">IFERROR(AVERAGEIFS(E_Measurements!$P$5:$P$546,E_Measurements!$B$5:$B$546,$A77,E_Measurements!$D$5:$D$546,"D6"),"")</f>
        <v/>
      </c>
      <c r="L77" s="69" t="str">
        <f aca="false">IF(COUNT(F77:K77)&lt;6,"",F77*A_Scoring_Model!$C$5+G77*A_Scoring_Model!$C$6+H77*A_Scoring_Model!$C$7+I77*A_Scoring_Model!$C$8+J77*A_Scoring_Model!$C$9+K77*A_Scoring_Model!$C$10)</f>
        <v/>
      </c>
      <c r="M77" s="70"/>
      <c r="N77" s="70"/>
      <c r="O77" s="70"/>
      <c r="P77" s="70"/>
      <c r="Q77" s="21" t="str">
        <f aca="false">IF(F77="","",IF(COUNTIFS(E_Measurements!$B$5:$B$546,A77,E_Measurements!$D$5:$D$546,"D1",E_Measurements!$P$5:$P$546,0)&gt;0,"N","Y"))</f>
        <v/>
      </c>
      <c r="R77" s="70"/>
      <c r="S77" s="13" t="str">
        <f aca="false">IF(COUNTIF(M77:R77,"Y")=6,"Y","N")</f>
        <v>N</v>
      </c>
      <c r="T77" s="13" t="str">
        <f aca="false">IF(L77="","",IF(OR(S77&lt;&gt;"Y",L77&lt;A_Scoring_Model!$C$33),"Not eligible",IF(L77&gt;=A_Scoring_Model!$C$30,"Tier 1 · Certified",IF(L77&gt;=A_Scoring_Model!$C$31,"Tier 2 · Conditional",IF(L77&gt;=A_Scoring_Model!$C$32,"Tier 3 · Group-local","Tier 4 · Rework")))))</f>
        <v/>
      </c>
      <c r="U77" s="13" t="str">
        <f aca="false">IF(OR(L77="",S77&lt;&gt;"Y"),"",COUNTIFS($A$5:$A$95,A77,$S$5:$S$95,"Y",$L$5:$L$95,"&gt;"&amp;L77)+1)</f>
        <v/>
      </c>
      <c r="V77" s="21" t="str">
        <f aca="false">A77&amp;"|"&amp;U77</f>
        <v>8.c|</v>
      </c>
    </row>
    <row r="78" customFormat="false" ht="15" hidden="false" customHeight="false" outlineLevel="0" collapsed="false">
      <c r="A78" s="13" t="s">
        <v>376</v>
      </c>
      <c r="B78" s="16" t="s">
        <v>377</v>
      </c>
      <c r="C78" s="13" t="s">
        <v>1348</v>
      </c>
      <c r="D78" s="21" t="n">
        <f aca="false">COUNTIFS(E_Measurements!$B$5:$B$546,A78,E_Measurements!$J$5:$J$546,"&lt;&gt;")</f>
        <v>0</v>
      </c>
      <c r="E78" s="21" t="n">
        <f aca="false">COUNTIF(E_Measurements!$B$5:$B$546,A78)</f>
        <v>16</v>
      </c>
      <c r="F78" s="56" t="str">
        <f aca="false">IFERROR(AVERAGEIFS(E_Measurements!$N$5:$N$546,E_Measurements!$B$5:$B$546,$A78,E_Measurements!$D$5:$D$546,"D1"),"")</f>
        <v/>
      </c>
      <c r="G78" s="56" t="str">
        <f aca="false">IFERROR(AVERAGEIFS(E_Measurements!$N$5:$N$546,E_Measurements!$B$5:$B$546,$A78,E_Measurements!$D$5:$D$546,"D2"),"")</f>
        <v/>
      </c>
      <c r="H78" s="56" t="str">
        <f aca="false">IFERROR(AVERAGEIFS(E_Measurements!$N$5:$N$546,E_Measurements!$B$5:$B$546,$A78,E_Measurements!$D$5:$D$546,"D3"),"")</f>
        <v/>
      </c>
      <c r="I78" s="56" t="str">
        <f aca="false">IFERROR(AVERAGEIFS(E_Measurements!$N$5:$N$546,E_Measurements!$B$5:$B$546,$A78,E_Measurements!$D$5:$D$546,"D4"),"")</f>
        <v/>
      </c>
      <c r="J78" s="56" t="str">
        <f aca="false">IFERROR(AVERAGEIFS(E_Measurements!$N$5:$N$546,E_Measurements!$B$5:$B$546,$A78,E_Measurements!$D$5:$D$546,"D5"),"")</f>
        <v/>
      </c>
      <c r="K78" s="56" t="str">
        <f aca="false">IFERROR(AVERAGEIFS(E_Measurements!$N$5:$N$546,E_Measurements!$B$5:$B$546,$A78,E_Measurements!$D$5:$D$546,"D6"),"")</f>
        <v/>
      </c>
      <c r="L78" s="69" t="str">
        <f aca="false">IF(COUNT(F78:K78)&lt;6,"",F78*A_Scoring_Model!$C$5+G78*A_Scoring_Model!$C$6+H78*A_Scoring_Model!$C$7+I78*A_Scoring_Model!$C$8+J78*A_Scoring_Model!$C$9+K78*A_Scoring_Model!$C$10)</f>
        <v/>
      </c>
      <c r="M78" s="70"/>
      <c r="N78" s="70"/>
      <c r="O78" s="70"/>
      <c r="P78" s="70"/>
      <c r="Q78" s="21" t="str">
        <f aca="false">IF(F78="","",IF(COUNTIFS(E_Measurements!$B$5:$B$546,A78,E_Measurements!$D$5:$D$546,"D1",E_Measurements!$N$5:$N$546,0)&gt;0,"N","Y"))</f>
        <v/>
      </c>
      <c r="R78" s="70"/>
      <c r="S78" s="13" t="str">
        <f aca="false">IF(COUNTIF(M78:R78,"Y")=6,"Y","N")</f>
        <v>N</v>
      </c>
      <c r="T78" s="13" t="str">
        <f aca="false">IF(L78="","",IF(OR(S78&lt;&gt;"Y",L78&lt;A_Scoring_Model!$C$33),"Not eligible",IF(L78&gt;=A_Scoring_Model!$C$30,"Tier 1 · Certified",IF(L78&gt;=A_Scoring_Model!$C$31,"Tier 2 · Conditional",IF(L78&gt;=A_Scoring_Model!$C$32,"Tier 3 · Group-local","Tier 4 · Rework")))))</f>
        <v/>
      </c>
      <c r="U78" s="13" t="str">
        <f aca="false">IF(OR(L78="",S78&lt;&gt;"Y"),"",COUNTIFS($A$5:$A$95,A78,$S$5:$S$95,"Y",$L$5:$L$95,"&gt;"&amp;L78)+1)</f>
        <v/>
      </c>
      <c r="V78" s="21" t="str">
        <f aca="false">A78&amp;"|"&amp;U78</f>
        <v>9.a|</v>
      </c>
    </row>
    <row r="79" customFormat="false" ht="15" hidden="false" customHeight="false" outlineLevel="0" collapsed="false">
      <c r="A79" s="13" t="s">
        <v>376</v>
      </c>
      <c r="B79" s="16" t="s">
        <v>377</v>
      </c>
      <c r="C79" s="13" t="s">
        <v>1350</v>
      </c>
      <c r="D79" s="21" t="n">
        <f aca="false">COUNTIFS(E_Measurements!$B$5:$B$546,A79,E_Measurements!$K$5:$K$546,"&lt;&gt;")</f>
        <v>0</v>
      </c>
      <c r="E79" s="21" t="n">
        <f aca="false">COUNTIF(E_Measurements!$B$5:$B$546,A79)</f>
        <v>16</v>
      </c>
      <c r="F79" s="56" t="str">
        <f aca="false">IFERROR(AVERAGEIFS(E_Measurements!$O$5:$O$546,E_Measurements!$B$5:$B$546,$A79,E_Measurements!$D$5:$D$546,"D1"),"")</f>
        <v/>
      </c>
      <c r="G79" s="56" t="str">
        <f aca="false">IFERROR(AVERAGEIFS(E_Measurements!$O$5:$O$546,E_Measurements!$B$5:$B$546,$A79,E_Measurements!$D$5:$D$546,"D2"),"")</f>
        <v/>
      </c>
      <c r="H79" s="56" t="str">
        <f aca="false">IFERROR(AVERAGEIFS(E_Measurements!$O$5:$O$546,E_Measurements!$B$5:$B$546,$A79,E_Measurements!$D$5:$D$546,"D3"),"")</f>
        <v/>
      </c>
      <c r="I79" s="56" t="str">
        <f aca="false">IFERROR(AVERAGEIFS(E_Measurements!$O$5:$O$546,E_Measurements!$B$5:$B$546,$A79,E_Measurements!$D$5:$D$546,"D4"),"")</f>
        <v/>
      </c>
      <c r="J79" s="56" t="str">
        <f aca="false">IFERROR(AVERAGEIFS(E_Measurements!$O$5:$O$546,E_Measurements!$B$5:$B$546,$A79,E_Measurements!$D$5:$D$546,"D5"),"")</f>
        <v/>
      </c>
      <c r="K79" s="56" t="str">
        <f aca="false">IFERROR(AVERAGEIFS(E_Measurements!$O$5:$O$546,E_Measurements!$B$5:$B$546,$A79,E_Measurements!$D$5:$D$546,"D6"),"")</f>
        <v/>
      </c>
      <c r="L79" s="69" t="str">
        <f aca="false">IF(COUNT(F79:K79)&lt;6,"",F79*A_Scoring_Model!$C$5+G79*A_Scoring_Model!$C$6+H79*A_Scoring_Model!$C$7+I79*A_Scoring_Model!$C$8+J79*A_Scoring_Model!$C$9+K79*A_Scoring_Model!$C$10)</f>
        <v/>
      </c>
      <c r="M79" s="70"/>
      <c r="N79" s="70"/>
      <c r="O79" s="70"/>
      <c r="P79" s="70"/>
      <c r="Q79" s="21" t="str">
        <f aca="false">IF(F79="","",IF(COUNTIFS(E_Measurements!$B$5:$B$546,A79,E_Measurements!$D$5:$D$546,"D1",E_Measurements!$O$5:$O$546,0)&gt;0,"N","Y"))</f>
        <v/>
      </c>
      <c r="R79" s="70"/>
      <c r="S79" s="13" t="str">
        <f aca="false">IF(COUNTIF(M79:R79,"Y")=6,"Y","N")</f>
        <v>N</v>
      </c>
      <c r="T79" s="13" t="str">
        <f aca="false">IF(L79="","",IF(OR(S79&lt;&gt;"Y",L79&lt;A_Scoring_Model!$C$33),"Not eligible",IF(L79&gt;=A_Scoring_Model!$C$30,"Tier 1 · Certified",IF(L79&gt;=A_Scoring_Model!$C$31,"Tier 2 · Conditional",IF(L79&gt;=A_Scoring_Model!$C$32,"Tier 3 · Group-local","Tier 4 · Rework")))))</f>
        <v/>
      </c>
      <c r="U79" s="13" t="str">
        <f aca="false">IF(OR(L79="",S79&lt;&gt;"Y"),"",COUNTIFS($A$5:$A$95,A79,$S$5:$S$95,"Y",$L$5:$L$95,"&gt;"&amp;L79)+1)</f>
        <v/>
      </c>
      <c r="V79" s="21" t="str">
        <f aca="false">A79&amp;"|"&amp;U79</f>
        <v>9.a|</v>
      </c>
    </row>
    <row r="80" customFormat="false" ht="15" hidden="false" customHeight="false" outlineLevel="0" collapsed="false">
      <c r="A80" s="13" t="s">
        <v>376</v>
      </c>
      <c r="B80" s="16" t="s">
        <v>377</v>
      </c>
      <c r="C80" s="13" t="s">
        <v>1351</v>
      </c>
      <c r="D80" s="21" t="n">
        <f aca="false">COUNTIFS(E_Measurements!$B$5:$B$546,A80,E_Measurements!$L$5:$L$546,"&lt;&gt;")</f>
        <v>0</v>
      </c>
      <c r="E80" s="21" t="n">
        <f aca="false">COUNTIF(E_Measurements!$B$5:$B$546,A80)</f>
        <v>16</v>
      </c>
      <c r="F80" s="56" t="str">
        <f aca="false">IFERROR(AVERAGEIFS(E_Measurements!$P$5:$P$546,E_Measurements!$B$5:$B$546,$A80,E_Measurements!$D$5:$D$546,"D1"),"")</f>
        <v/>
      </c>
      <c r="G80" s="56" t="str">
        <f aca="false">IFERROR(AVERAGEIFS(E_Measurements!$P$5:$P$546,E_Measurements!$B$5:$B$546,$A80,E_Measurements!$D$5:$D$546,"D2"),"")</f>
        <v/>
      </c>
      <c r="H80" s="56" t="str">
        <f aca="false">IFERROR(AVERAGEIFS(E_Measurements!$P$5:$P$546,E_Measurements!$B$5:$B$546,$A80,E_Measurements!$D$5:$D$546,"D3"),"")</f>
        <v/>
      </c>
      <c r="I80" s="56" t="str">
        <f aca="false">IFERROR(AVERAGEIFS(E_Measurements!$P$5:$P$546,E_Measurements!$B$5:$B$546,$A80,E_Measurements!$D$5:$D$546,"D4"),"")</f>
        <v/>
      </c>
      <c r="J80" s="56" t="str">
        <f aca="false">IFERROR(AVERAGEIFS(E_Measurements!$P$5:$P$546,E_Measurements!$B$5:$B$546,$A80,E_Measurements!$D$5:$D$546,"D5"),"")</f>
        <v/>
      </c>
      <c r="K80" s="56" t="str">
        <f aca="false">IFERROR(AVERAGEIFS(E_Measurements!$P$5:$P$546,E_Measurements!$B$5:$B$546,$A80,E_Measurements!$D$5:$D$546,"D6"),"")</f>
        <v/>
      </c>
      <c r="L80" s="69" t="str">
        <f aca="false">IF(COUNT(F80:K80)&lt;6,"",F80*A_Scoring_Model!$C$5+G80*A_Scoring_Model!$C$6+H80*A_Scoring_Model!$C$7+I80*A_Scoring_Model!$C$8+J80*A_Scoring_Model!$C$9+K80*A_Scoring_Model!$C$10)</f>
        <v/>
      </c>
      <c r="M80" s="70"/>
      <c r="N80" s="70"/>
      <c r="O80" s="70"/>
      <c r="P80" s="70"/>
      <c r="Q80" s="21" t="str">
        <f aca="false">IF(F80="","",IF(COUNTIFS(E_Measurements!$B$5:$B$546,A80,E_Measurements!$D$5:$D$546,"D1",E_Measurements!$P$5:$P$546,0)&gt;0,"N","Y"))</f>
        <v/>
      </c>
      <c r="R80" s="70"/>
      <c r="S80" s="13" t="str">
        <f aca="false">IF(COUNTIF(M80:R80,"Y")=6,"Y","N")</f>
        <v>N</v>
      </c>
      <c r="T80" s="13" t="str">
        <f aca="false">IF(L80="","",IF(OR(S80&lt;&gt;"Y",L80&lt;A_Scoring_Model!$C$33),"Not eligible",IF(L80&gt;=A_Scoring_Model!$C$30,"Tier 1 · Certified",IF(L80&gt;=A_Scoring_Model!$C$31,"Tier 2 · Conditional",IF(L80&gt;=A_Scoring_Model!$C$32,"Tier 3 · Group-local","Tier 4 · Rework")))))</f>
        <v/>
      </c>
      <c r="U80" s="13" t="str">
        <f aca="false">IF(OR(L80="",S80&lt;&gt;"Y"),"",COUNTIFS($A$5:$A$95,A80,$S$5:$S$95,"Y",$L$5:$L$95,"&gt;"&amp;L80)+1)</f>
        <v/>
      </c>
      <c r="V80" s="21" t="str">
        <f aca="false">A80&amp;"|"&amp;U80</f>
        <v>9.a|</v>
      </c>
    </row>
    <row r="81" customFormat="false" ht="15" hidden="false" customHeight="false" outlineLevel="0" collapsed="false">
      <c r="A81" s="68" t="s">
        <v>383</v>
      </c>
      <c r="B81" s="39" t="s">
        <v>384</v>
      </c>
      <c r="C81" s="68" t="s">
        <v>1348</v>
      </c>
      <c r="D81" s="21" t="n">
        <f aca="false">COUNTIFS(E_Measurements!$B$5:$B$546,A81,E_Measurements!$J$5:$J$546,"&lt;&gt;")</f>
        <v>0</v>
      </c>
      <c r="E81" s="21" t="n">
        <f aca="false">COUNTIF(E_Measurements!$B$5:$B$546,A81)</f>
        <v>16</v>
      </c>
      <c r="F81" s="56" t="str">
        <f aca="false">IFERROR(AVERAGEIFS(E_Measurements!$N$5:$N$546,E_Measurements!$B$5:$B$546,$A81,E_Measurements!$D$5:$D$546,"D1"),"")</f>
        <v/>
      </c>
      <c r="G81" s="56" t="str">
        <f aca="false">IFERROR(AVERAGEIFS(E_Measurements!$N$5:$N$546,E_Measurements!$B$5:$B$546,$A81,E_Measurements!$D$5:$D$546,"D2"),"")</f>
        <v/>
      </c>
      <c r="H81" s="56" t="str">
        <f aca="false">IFERROR(AVERAGEIFS(E_Measurements!$N$5:$N$546,E_Measurements!$B$5:$B$546,$A81,E_Measurements!$D$5:$D$546,"D3"),"")</f>
        <v/>
      </c>
      <c r="I81" s="56" t="str">
        <f aca="false">IFERROR(AVERAGEIFS(E_Measurements!$N$5:$N$546,E_Measurements!$B$5:$B$546,$A81,E_Measurements!$D$5:$D$546,"D4"),"")</f>
        <v/>
      </c>
      <c r="J81" s="56" t="str">
        <f aca="false">IFERROR(AVERAGEIFS(E_Measurements!$N$5:$N$546,E_Measurements!$B$5:$B$546,$A81,E_Measurements!$D$5:$D$546,"D5"),"")</f>
        <v/>
      </c>
      <c r="K81" s="56" t="str">
        <f aca="false">IFERROR(AVERAGEIFS(E_Measurements!$N$5:$N$546,E_Measurements!$B$5:$B$546,$A81,E_Measurements!$D$5:$D$546,"D6"),"")</f>
        <v/>
      </c>
      <c r="L81" s="69" t="str">
        <f aca="false">IF(COUNT(F81:K81)&lt;6,"",F81*A_Scoring_Model!$C$5+G81*A_Scoring_Model!$C$6+H81*A_Scoring_Model!$C$7+I81*A_Scoring_Model!$C$8+J81*A_Scoring_Model!$C$9+K81*A_Scoring_Model!$C$10)</f>
        <v/>
      </c>
      <c r="M81" s="70"/>
      <c r="N81" s="70"/>
      <c r="O81" s="70"/>
      <c r="P81" s="70"/>
      <c r="Q81" s="21" t="str">
        <f aca="false">IF(F81="","",IF(COUNTIFS(E_Measurements!$B$5:$B$546,A81,E_Measurements!$D$5:$D$546,"D1",E_Measurements!$N$5:$N$546,0)&gt;0,"N","Y"))</f>
        <v/>
      </c>
      <c r="R81" s="70"/>
      <c r="S81" s="13" t="str">
        <f aca="false">IF(COUNTIF(M81:R81,"Y")=6,"Y","N")</f>
        <v>N</v>
      </c>
      <c r="T81" s="13" t="str">
        <f aca="false">IF(L81="","",IF(OR(S81&lt;&gt;"Y",L81&lt;A_Scoring_Model!$C$33),"Not eligible",IF(L81&gt;=A_Scoring_Model!$C$30,"Tier 1 · Certified",IF(L81&gt;=A_Scoring_Model!$C$31,"Tier 2 · Conditional",IF(L81&gt;=A_Scoring_Model!$C$32,"Tier 3 · Group-local","Tier 4 · Rework")))))</f>
        <v/>
      </c>
      <c r="U81" s="13" t="str">
        <f aca="false">IF(OR(L81="",S81&lt;&gt;"Y"),"",COUNTIFS($A$5:$A$95,A81,$S$5:$S$95,"Y",$L$5:$L$95,"&gt;"&amp;L81)+1)</f>
        <v/>
      </c>
      <c r="V81" s="21" t="str">
        <f aca="false">A81&amp;"|"&amp;U81</f>
        <v>9.b|</v>
      </c>
    </row>
    <row r="82" customFormat="false" ht="15" hidden="false" customHeight="false" outlineLevel="0" collapsed="false">
      <c r="A82" s="68" t="s">
        <v>383</v>
      </c>
      <c r="B82" s="39" t="s">
        <v>384</v>
      </c>
      <c r="C82" s="68" t="s">
        <v>1350</v>
      </c>
      <c r="D82" s="21" t="n">
        <f aca="false">COUNTIFS(E_Measurements!$B$5:$B$546,A82,E_Measurements!$K$5:$K$546,"&lt;&gt;")</f>
        <v>0</v>
      </c>
      <c r="E82" s="21" t="n">
        <f aca="false">COUNTIF(E_Measurements!$B$5:$B$546,A82)</f>
        <v>16</v>
      </c>
      <c r="F82" s="56" t="str">
        <f aca="false">IFERROR(AVERAGEIFS(E_Measurements!$O$5:$O$546,E_Measurements!$B$5:$B$546,$A82,E_Measurements!$D$5:$D$546,"D1"),"")</f>
        <v/>
      </c>
      <c r="G82" s="56" t="str">
        <f aca="false">IFERROR(AVERAGEIFS(E_Measurements!$O$5:$O$546,E_Measurements!$B$5:$B$546,$A82,E_Measurements!$D$5:$D$546,"D2"),"")</f>
        <v/>
      </c>
      <c r="H82" s="56" t="str">
        <f aca="false">IFERROR(AVERAGEIFS(E_Measurements!$O$5:$O$546,E_Measurements!$B$5:$B$546,$A82,E_Measurements!$D$5:$D$546,"D3"),"")</f>
        <v/>
      </c>
      <c r="I82" s="56" t="str">
        <f aca="false">IFERROR(AVERAGEIFS(E_Measurements!$O$5:$O$546,E_Measurements!$B$5:$B$546,$A82,E_Measurements!$D$5:$D$546,"D4"),"")</f>
        <v/>
      </c>
      <c r="J82" s="56" t="str">
        <f aca="false">IFERROR(AVERAGEIFS(E_Measurements!$O$5:$O$546,E_Measurements!$B$5:$B$546,$A82,E_Measurements!$D$5:$D$546,"D5"),"")</f>
        <v/>
      </c>
      <c r="K82" s="56" t="str">
        <f aca="false">IFERROR(AVERAGEIFS(E_Measurements!$O$5:$O$546,E_Measurements!$B$5:$B$546,$A82,E_Measurements!$D$5:$D$546,"D6"),"")</f>
        <v/>
      </c>
      <c r="L82" s="69" t="str">
        <f aca="false">IF(COUNT(F82:K82)&lt;6,"",F82*A_Scoring_Model!$C$5+G82*A_Scoring_Model!$C$6+H82*A_Scoring_Model!$C$7+I82*A_Scoring_Model!$C$8+J82*A_Scoring_Model!$C$9+K82*A_Scoring_Model!$C$10)</f>
        <v/>
      </c>
      <c r="M82" s="70"/>
      <c r="N82" s="70"/>
      <c r="O82" s="70"/>
      <c r="P82" s="70"/>
      <c r="Q82" s="21" t="str">
        <f aca="false">IF(F82="","",IF(COUNTIFS(E_Measurements!$B$5:$B$546,A82,E_Measurements!$D$5:$D$546,"D1",E_Measurements!$O$5:$O$546,0)&gt;0,"N","Y"))</f>
        <v/>
      </c>
      <c r="R82" s="70"/>
      <c r="S82" s="13" t="str">
        <f aca="false">IF(COUNTIF(M82:R82,"Y")=6,"Y","N")</f>
        <v>N</v>
      </c>
      <c r="T82" s="13" t="str">
        <f aca="false">IF(L82="","",IF(OR(S82&lt;&gt;"Y",L82&lt;A_Scoring_Model!$C$33),"Not eligible",IF(L82&gt;=A_Scoring_Model!$C$30,"Tier 1 · Certified",IF(L82&gt;=A_Scoring_Model!$C$31,"Tier 2 · Conditional",IF(L82&gt;=A_Scoring_Model!$C$32,"Tier 3 · Group-local","Tier 4 · Rework")))))</f>
        <v/>
      </c>
      <c r="U82" s="13" t="str">
        <f aca="false">IF(OR(L82="",S82&lt;&gt;"Y"),"",COUNTIFS($A$5:$A$95,A82,$S$5:$S$95,"Y",$L$5:$L$95,"&gt;"&amp;L82)+1)</f>
        <v/>
      </c>
      <c r="V82" s="21" t="str">
        <f aca="false">A82&amp;"|"&amp;U82</f>
        <v>9.b|</v>
      </c>
    </row>
    <row r="83" customFormat="false" ht="15" hidden="false" customHeight="false" outlineLevel="0" collapsed="false">
      <c r="A83" s="68" t="s">
        <v>383</v>
      </c>
      <c r="B83" s="39" t="s">
        <v>384</v>
      </c>
      <c r="C83" s="68" t="s">
        <v>1351</v>
      </c>
      <c r="D83" s="21" t="n">
        <f aca="false">COUNTIFS(E_Measurements!$B$5:$B$546,A83,E_Measurements!$L$5:$L$546,"&lt;&gt;")</f>
        <v>0</v>
      </c>
      <c r="E83" s="21" t="n">
        <f aca="false">COUNTIF(E_Measurements!$B$5:$B$546,A83)</f>
        <v>16</v>
      </c>
      <c r="F83" s="56" t="str">
        <f aca="false">IFERROR(AVERAGEIFS(E_Measurements!$P$5:$P$546,E_Measurements!$B$5:$B$546,$A83,E_Measurements!$D$5:$D$546,"D1"),"")</f>
        <v/>
      </c>
      <c r="G83" s="56" t="str">
        <f aca="false">IFERROR(AVERAGEIFS(E_Measurements!$P$5:$P$546,E_Measurements!$B$5:$B$546,$A83,E_Measurements!$D$5:$D$546,"D2"),"")</f>
        <v/>
      </c>
      <c r="H83" s="56" t="str">
        <f aca="false">IFERROR(AVERAGEIFS(E_Measurements!$P$5:$P$546,E_Measurements!$B$5:$B$546,$A83,E_Measurements!$D$5:$D$546,"D3"),"")</f>
        <v/>
      </c>
      <c r="I83" s="56" t="str">
        <f aca="false">IFERROR(AVERAGEIFS(E_Measurements!$P$5:$P$546,E_Measurements!$B$5:$B$546,$A83,E_Measurements!$D$5:$D$546,"D4"),"")</f>
        <v/>
      </c>
      <c r="J83" s="56" t="str">
        <f aca="false">IFERROR(AVERAGEIFS(E_Measurements!$P$5:$P$546,E_Measurements!$B$5:$B$546,$A83,E_Measurements!$D$5:$D$546,"D5"),"")</f>
        <v/>
      </c>
      <c r="K83" s="56" t="str">
        <f aca="false">IFERROR(AVERAGEIFS(E_Measurements!$P$5:$P$546,E_Measurements!$B$5:$B$546,$A83,E_Measurements!$D$5:$D$546,"D6"),"")</f>
        <v/>
      </c>
      <c r="L83" s="69" t="str">
        <f aca="false">IF(COUNT(F83:K83)&lt;6,"",F83*A_Scoring_Model!$C$5+G83*A_Scoring_Model!$C$6+H83*A_Scoring_Model!$C$7+I83*A_Scoring_Model!$C$8+J83*A_Scoring_Model!$C$9+K83*A_Scoring_Model!$C$10)</f>
        <v/>
      </c>
      <c r="M83" s="70"/>
      <c r="N83" s="70"/>
      <c r="O83" s="70"/>
      <c r="P83" s="70"/>
      <c r="Q83" s="21" t="str">
        <f aca="false">IF(F83="","",IF(COUNTIFS(E_Measurements!$B$5:$B$546,A83,E_Measurements!$D$5:$D$546,"D1",E_Measurements!$P$5:$P$546,0)&gt;0,"N","Y"))</f>
        <v/>
      </c>
      <c r="R83" s="70"/>
      <c r="S83" s="13" t="str">
        <f aca="false">IF(COUNTIF(M83:R83,"Y")=6,"Y","N")</f>
        <v>N</v>
      </c>
      <c r="T83" s="13" t="str">
        <f aca="false">IF(L83="","",IF(OR(S83&lt;&gt;"Y",L83&lt;A_Scoring_Model!$C$33),"Not eligible",IF(L83&gt;=A_Scoring_Model!$C$30,"Tier 1 · Certified",IF(L83&gt;=A_Scoring_Model!$C$31,"Tier 2 · Conditional",IF(L83&gt;=A_Scoring_Model!$C$32,"Tier 3 · Group-local","Tier 4 · Rework")))))</f>
        <v/>
      </c>
      <c r="U83" s="13" t="str">
        <f aca="false">IF(OR(L83="",S83&lt;&gt;"Y"),"",COUNTIFS($A$5:$A$95,A83,$S$5:$S$95,"Y",$L$5:$L$95,"&gt;"&amp;L83)+1)</f>
        <v/>
      </c>
      <c r="V83" s="21" t="str">
        <f aca="false">A83&amp;"|"&amp;U83</f>
        <v>9.b|</v>
      </c>
    </row>
    <row r="84" customFormat="false" ht="15" hidden="false" customHeight="false" outlineLevel="0" collapsed="false">
      <c r="A84" s="13" t="s">
        <v>389</v>
      </c>
      <c r="B84" s="16" t="s">
        <v>390</v>
      </c>
      <c r="C84" s="13" t="s">
        <v>1348</v>
      </c>
      <c r="D84" s="21" t="n">
        <f aca="false">COUNTIFS(E_Measurements!$B$5:$B$546,A84,E_Measurements!$J$5:$J$546,"&lt;&gt;")</f>
        <v>0</v>
      </c>
      <c r="E84" s="21" t="n">
        <f aca="false">COUNTIF(E_Measurements!$B$5:$B$546,A84)</f>
        <v>16</v>
      </c>
      <c r="F84" s="56" t="str">
        <f aca="false">IFERROR(AVERAGEIFS(E_Measurements!$N$5:$N$546,E_Measurements!$B$5:$B$546,$A84,E_Measurements!$D$5:$D$546,"D1"),"")</f>
        <v/>
      </c>
      <c r="G84" s="56" t="str">
        <f aca="false">IFERROR(AVERAGEIFS(E_Measurements!$N$5:$N$546,E_Measurements!$B$5:$B$546,$A84,E_Measurements!$D$5:$D$546,"D2"),"")</f>
        <v/>
      </c>
      <c r="H84" s="56" t="str">
        <f aca="false">IFERROR(AVERAGEIFS(E_Measurements!$N$5:$N$546,E_Measurements!$B$5:$B$546,$A84,E_Measurements!$D$5:$D$546,"D3"),"")</f>
        <v/>
      </c>
      <c r="I84" s="56" t="str">
        <f aca="false">IFERROR(AVERAGEIFS(E_Measurements!$N$5:$N$546,E_Measurements!$B$5:$B$546,$A84,E_Measurements!$D$5:$D$546,"D4"),"")</f>
        <v/>
      </c>
      <c r="J84" s="56" t="str">
        <f aca="false">IFERROR(AVERAGEIFS(E_Measurements!$N$5:$N$546,E_Measurements!$B$5:$B$546,$A84,E_Measurements!$D$5:$D$546,"D5"),"")</f>
        <v/>
      </c>
      <c r="K84" s="56" t="str">
        <f aca="false">IFERROR(AVERAGEIFS(E_Measurements!$N$5:$N$546,E_Measurements!$B$5:$B$546,$A84,E_Measurements!$D$5:$D$546,"D6"),"")</f>
        <v/>
      </c>
      <c r="L84" s="69" t="str">
        <f aca="false">IF(COUNT(F84:K84)&lt;6,"",F84*A_Scoring_Model!$C$5+G84*A_Scoring_Model!$C$6+H84*A_Scoring_Model!$C$7+I84*A_Scoring_Model!$C$8+J84*A_Scoring_Model!$C$9+K84*A_Scoring_Model!$C$10)</f>
        <v/>
      </c>
      <c r="M84" s="70"/>
      <c r="N84" s="70"/>
      <c r="O84" s="70"/>
      <c r="P84" s="70"/>
      <c r="Q84" s="21" t="str">
        <f aca="false">IF(F84="","",IF(COUNTIFS(E_Measurements!$B$5:$B$546,A84,E_Measurements!$D$5:$D$546,"D1",E_Measurements!$N$5:$N$546,0)&gt;0,"N","Y"))</f>
        <v/>
      </c>
      <c r="R84" s="70"/>
      <c r="S84" s="13" t="str">
        <f aca="false">IF(COUNTIF(M84:R84,"Y")=6,"Y","N")</f>
        <v>N</v>
      </c>
      <c r="T84" s="13" t="str">
        <f aca="false">IF(L84="","",IF(OR(S84&lt;&gt;"Y",L84&lt;A_Scoring_Model!$C$33),"Not eligible",IF(L84&gt;=A_Scoring_Model!$C$30,"Tier 1 · Certified",IF(L84&gt;=A_Scoring_Model!$C$31,"Tier 2 · Conditional",IF(L84&gt;=A_Scoring_Model!$C$32,"Tier 3 · Group-local","Tier 4 · Rework")))))</f>
        <v/>
      </c>
      <c r="U84" s="13" t="str">
        <f aca="false">IF(OR(L84="",S84&lt;&gt;"Y"),"",COUNTIFS($A$5:$A$95,A84,$S$5:$S$95,"Y",$L$5:$L$95,"&gt;"&amp;L84)+1)</f>
        <v/>
      </c>
      <c r="V84" s="21" t="str">
        <f aca="false">A84&amp;"|"&amp;U84</f>
        <v>9.c|</v>
      </c>
    </row>
    <row r="85" customFormat="false" ht="15" hidden="false" customHeight="false" outlineLevel="0" collapsed="false">
      <c r="A85" s="13" t="s">
        <v>389</v>
      </c>
      <c r="B85" s="16" t="s">
        <v>390</v>
      </c>
      <c r="C85" s="13" t="s">
        <v>1350</v>
      </c>
      <c r="D85" s="21" t="n">
        <f aca="false">COUNTIFS(E_Measurements!$B$5:$B$546,A85,E_Measurements!$K$5:$K$546,"&lt;&gt;")</f>
        <v>0</v>
      </c>
      <c r="E85" s="21" t="n">
        <f aca="false">COUNTIF(E_Measurements!$B$5:$B$546,A85)</f>
        <v>16</v>
      </c>
      <c r="F85" s="56" t="str">
        <f aca="false">IFERROR(AVERAGEIFS(E_Measurements!$O$5:$O$546,E_Measurements!$B$5:$B$546,$A85,E_Measurements!$D$5:$D$546,"D1"),"")</f>
        <v/>
      </c>
      <c r="G85" s="56" t="str">
        <f aca="false">IFERROR(AVERAGEIFS(E_Measurements!$O$5:$O$546,E_Measurements!$B$5:$B$546,$A85,E_Measurements!$D$5:$D$546,"D2"),"")</f>
        <v/>
      </c>
      <c r="H85" s="56" t="str">
        <f aca="false">IFERROR(AVERAGEIFS(E_Measurements!$O$5:$O$546,E_Measurements!$B$5:$B$546,$A85,E_Measurements!$D$5:$D$546,"D3"),"")</f>
        <v/>
      </c>
      <c r="I85" s="56" t="str">
        <f aca="false">IFERROR(AVERAGEIFS(E_Measurements!$O$5:$O$546,E_Measurements!$B$5:$B$546,$A85,E_Measurements!$D$5:$D$546,"D4"),"")</f>
        <v/>
      </c>
      <c r="J85" s="56" t="str">
        <f aca="false">IFERROR(AVERAGEIFS(E_Measurements!$O$5:$O$546,E_Measurements!$B$5:$B$546,$A85,E_Measurements!$D$5:$D$546,"D5"),"")</f>
        <v/>
      </c>
      <c r="K85" s="56" t="str">
        <f aca="false">IFERROR(AVERAGEIFS(E_Measurements!$O$5:$O$546,E_Measurements!$B$5:$B$546,$A85,E_Measurements!$D$5:$D$546,"D6"),"")</f>
        <v/>
      </c>
      <c r="L85" s="69" t="str">
        <f aca="false">IF(COUNT(F85:K85)&lt;6,"",F85*A_Scoring_Model!$C$5+G85*A_Scoring_Model!$C$6+H85*A_Scoring_Model!$C$7+I85*A_Scoring_Model!$C$8+J85*A_Scoring_Model!$C$9+K85*A_Scoring_Model!$C$10)</f>
        <v/>
      </c>
      <c r="M85" s="70"/>
      <c r="N85" s="70"/>
      <c r="O85" s="70"/>
      <c r="P85" s="70"/>
      <c r="Q85" s="21" t="str">
        <f aca="false">IF(F85="","",IF(COUNTIFS(E_Measurements!$B$5:$B$546,A85,E_Measurements!$D$5:$D$546,"D1",E_Measurements!$O$5:$O$546,0)&gt;0,"N","Y"))</f>
        <v/>
      </c>
      <c r="R85" s="70"/>
      <c r="S85" s="13" t="str">
        <f aca="false">IF(COUNTIF(M85:R85,"Y")=6,"Y","N")</f>
        <v>N</v>
      </c>
      <c r="T85" s="13" t="str">
        <f aca="false">IF(L85="","",IF(OR(S85&lt;&gt;"Y",L85&lt;A_Scoring_Model!$C$33),"Not eligible",IF(L85&gt;=A_Scoring_Model!$C$30,"Tier 1 · Certified",IF(L85&gt;=A_Scoring_Model!$C$31,"Tier 2 · Conditional",IF(L85&gt;=A_Scoring_Model!$C$32,"Tier 3 · Group-local","Tier 4 · Rework")))))</f>
        <v/>
      </c>
      <c r="U85" s="13" t="str">
        <f aca="false">IF(OR(L85="",S85&lt;&gt;"Y"),"",COUNTIFS($A$5:$A$95,A85,$S$5:$S$95,"Y",$L$5:$L$95,"&gt;"&amp;L85)+1)</f>
        <v/>
      </c>
      <c r="V85" s="21" t="str">
        <f aca="false">A85&amp;"|"&amp;U85</f>
        <v>9.c|</v>
      </c>
    </row>
    <row r="86" customFormat="false" ht="15" hidden="false" customHeight="false" outlineLevel="0" collapsed="false">
      <c r="A86" s="13" t="s">
        <v>389</v>
      </c>
      <c r="B86" s="16" t="s">
        <v>390</v>
      </c>
      <c r="C86" s="13" t="s">
        <v>1351</v>
      </c>
      <c r="D86" s="21" t="n">
        <f aca="false">COUNTIFS(E_Measurements!$B$5:$B$546,A86,E_Measurements!$L$5:$L$546,"&lt;&gt;")</f>
        <v>0</v>
      </c>
      <c r="E86" s="21" t="n">
        <f aca="false">COUNTIF(E_Measurements!$B$5:$B$546,A86)</f>
        <v>16</v>
      </c>
      <c r="F86" s="56" t="str">
        <f aca="false">IFERROR(AVERAGEIFS(E_Measurements!$P$5:$P$546,E_Measurements!$B$5:$B$546,$A86,E_Measurements!$D$5:$D$546,"D1"),"")</f>
        <v/>
      </c>
      <c r="G86" s="56" t="str">
        <f aca="false">IFERROR(AVERAGEIFS(E_Measurements!$P$5:$P$546,E_Measurements!$B$5:$B$546,$A86,E_Measurements!$D$5:$D$546,"D2"),"")</f>
        <v/>
      </c>
      <c r="H86" s="56" t="str">
        <f aca="false">IFERROR(AVERAGEIFS(E_Measurements!$P$5:$P$546,E_Measurements!$B$5:$B$546,$A86,E_Measurements!$D$5:$D$546,"D3"),"")</f>
        <v/>
      </c>
      <c r="I86" s="56" t="str">
        <f aca="false">IFERROR(AVERAGEIFS(E_Measurements!$P$5:$P$546,E_Measurements!$B$5:$B$546,$A86,E_Measurements!$D$5:$D$546,"D4"),"")</f>
        <v/>
      </c>
      <c r="J86" s="56" t="str">
        <f aca="false">IFERROR(AVERAGEIFS(E_Measurements!$P$5:$P$546,E_Measurements!$B$5:$B$546,$A86,E_Measurements!$D$5:$D$546,"D5"),"")</f>
        <v/>
      </c>
      <c r="K86" s="56" t="str">
        <f aca="false">IFERROR(AVERAGEIFS(E_Measurements!$P$5:$P$546,E_Measurements!$B$5:$B$546,$A86,E_Measurements!$D$5:$D$546,"D6"),"")</f>
        <v/>
      </c>
      <c r="L86" s="69" t="str">
        <f aca="false">IF(COUNT(F86:K86)&lt;6,"",F86*A_Scoring_Model!$C$5+G86*A_Scoring_Model!$C$6+H86*A_Scoring_Model!$C$7+I86*A_Scoring_Model!$C$8+J86*A_Scoring_Model!$C$9+K86*A_Scoring_Model!$C$10)</f>
        <v/>
      </c>
      <c r="M86" s="70"/>
      <c r="N86" s="70"/>
      <c r="O86" s="70"/>
      <c r="P86" s="70"/>
      <c r="Q86" s="21" t="str">
        <f aca="false">IF(F86="","",IF(COUNTIFS(E_Measurements!$B$5:$B$546,A86,E_Measurements!$D$5:$D$546,"D1",E_Measurements!$P$5:$P$546,0)&gt;0,"N","Y"))</f>
        <v/>
      </c>
      <c r="R86" s="70"/>
      <c r="S86" s="13" t="str">
        <f aca="false">IF(COUNTIF(M86:R86,"Y")=6,"Y","N")</f>
        <v>N</v>
      </c>
      <c r="T86" s="13" t="str">
        <f aca="false">IF(L86="","",IF(OR(S86&lt;&gt;"Y",L86&lt;A_Scoring_Model!$C$33),"Not eligible",IF(L86&gt;=A_Scoring_Model!$C$30,"Tier 1 · Certified",IF(L86&gt;=A_Scoring_Model!$C$31,"Tier 2 · Conditional",IF(L86&gt;=A_Scoring_Model!$C$32,"Tier 3 · Group-local","Tier 4 · Rework")))))</f>
        <v/>
      </c>
      <c r="U86" s="13" t="str">
        <f aca="false">IF(OR(L86="",S86&lt;&gt;"Y"),"",COUNTIFS($A$5:$A$95,A86,$S$5:$S$95,"Y",$L$5:$L$95,"&gt;"&amp;L86)+1)</f>
        <v/>
      </c>
      <c r="V86" s="21" t="str">
        <f aca="false">A86&amp;"|"&amp;U86</f>
        <v>9.c|</v>
      </c>
    </row>
    <row r="87" customFormat="false" ht="15" hidden="false" customHeight="false" outlineLevel="0" collapsed="false">
      <c r="A87" s="68" t="s">
        <v>396</v>
      </c>
      <c r="B87" s="39" t="s">
        <v>397</v>
      </c>
      <c r="C87" s="68" t="s">
        <v>1348</v>
      </c>
      <c r="D87" s="21" t="n">
        <f aca="false">COUNTIFS(E_Measurements!$B$5:$B$546,A87,E_Measurements!$J$5:$J$546,"&lt;&gt;")</f>
        <v>0</v>
      </c>
      <c r="E87" s="21" t="n">
        <f aca="false">COUNTIF(E_Measurements!$B$5:$B$546,A87)</f>
        <v>18</v>
      </c>
      <c r="F87" s="56" t="str">
        <f aca="false">IFERROR(AVERAGEIFS(E_Measurements!$N$5:$N$546,E_Measurements!$B$5:$B$546,$A87,E_Measurements!$D$5:$D$546,"D1"),"")</f>
        <v/>
      </c>
      <c r="G87" s="56" t="str">
        <f aca="false">IFERROR(AVERAGEIFS(E_Measurements!$N$5:$N$546,E_Measurements!$B$5:$B$546,$A87,E_Measurements!$D$5:$D$546,"D2"),"")</f>
        <v/>
      </c>
      <c r="H87" s="56" t="str">
        <f aca="false">IFERROR(AVERAGEIFS(E_Measurements!$N$5:$N$546,E_Measurements!$B$5:$B$546,$A87,E_Measurements!$D$5:$D$546,"D3"),"")</f>
        <v/>
      </c>
      <c r="I87" s="56" t="str">
        <f aca="false">IFERROR(AVERAGEIFS(E_Measurements!$N$5:$N$546,E_Measurements!$B$5:$B$546,$A87,E_Measurements!$D$5:$D$546,"D4"),"")</f>
        <v/>
      </c>
      <c r="J87" s="56" t="str">
        <f aca="false">IFERROR(AVERAGEIFS(E_Measurements!$N$5:$N$546,E_Measurements!$B$5:$B$546,$A87,E_Measurements!$D$5:$D$546,"D5"),"")</f>
        <v/>
      </c>
      <c r="K87" s="56" t="str">
        <f aca="false">IFERROR(AVERAGEIFS(E_Measurements!$N$5:$N$546,E_Measurements!$B$5:$B$546,$A87,E_Measurements!$D$5:$D$546,"D6"),"")</f>
        <v/>
      </c>
      <c r="L87" s="69" t="str">
        <f aca="false">IF(COUNT(F87:K87)&lt;6,"",F87*A_Scoring_Model!$C$5+G87*A_Scoring_Model!$C$6+H87*A_Scoring_Model!$C$7+I87*A_Scoring_Model!$C$8+J87*A_Scoring_Model!$C$9+K87*A_Scoring_Model!$C$10)</f>
        <v/>
      </c>
      <c r="M87" s="70"/>
      <c r="N87" s="70"/>
      <c r="O87" s="70"/>
      <c r="P87" s="70"/>
      <c r="Q87" s="21" t="str">
        <f aca="false">IF(F87="","",IF(COUNTIFS(E_Measurements!$B$5:$B$546,A87,E_Measurements!$D$5:$D$546,"D1",E_Measurements!$N$5:$N$546,0)&gt;0,"N","Y"))</f>
        <v/>
      </c>
      <c r="R87" s="70"/>
      <c r="S87" s="13" t="str">
        <f aca="false">IF(COUNTIF(M87:R87,"Y")=6,"Y","N")</f>
        <v>N</v>
      </c>
      <c r="T87" s="13" t="str">
        <f aca="false">IF(L87="","",IF(OR(S87&lt;&gt;"Y",L87&lt;A_Scoring_Model!$C$33),"Not eligible",IF(L87&gt;=A_Scoring_Model!$C$30,"Tier 1 · Certified",IF(L87&gt;=A_Scoring_Model!$C$31,"Tier 2 · Conditional",IF(L87&gt;=A_Scoring_Model!$C$32,"Tier 3 · Group-local","Tier 4 · Rework")))))</f>
        <v/>
      </c>
      <c r="U87" s="13" t="str">
        <f aca="false">IF(OR(L87="",S87&lt;&gt;"Y"),"",COUNTIFS($A$5:$A$95,A87,$S$5:$S$95,"Y",$L$5:$L$95,"&gt;"&amp;L87)+1)</f>
        <v/>
      </c>
      <c r="V87" s="21" t="str">
        <f aca="false">A87&amp;"|"&amp;U87</f>
        <v>10.a|</v>
      </c>
    </row>
    <row r="88" customFormat="false" ht="15" hidden="false" customHeight="false" outlineLevel="0" collapsed="false">
      <c r="A88" s="68" t="s">
        <v>396</v>
      </c>
      <c r="B88" s="39" t="s">
        <v>397</v>
      </c>
      <c r="C88" s="68" t="s">
        <v>1350</v>
      </c>
      <c r="D88" s="21" t="n">
        <f aca="false">COUNTIFS(E_Measurements!$B$5:$B$546,A88,E_Measurements!$K$5:$K$546,"&lt;&gt;")</f>
        <v>0</v>
      </c>
      <c r="E88" s="21" t="n">
        <f aca="false">COUNTIF(E_Measurements!$B$5:$B$546,A88)</f>
        <v>18</v>
      </c>
      <c r="F88" s="56" t="str">
        <f aca="false">IFERROR(AVERAGEIFS(E_Measurements!$O$5:$O$546,E_Measurements!$B$5:$B$546,$A88,E_Measurements!$D$5:$D$546,"D1"),"")</f>
        <v/>
      </c>
      <c r="G88" s="56" t="str">
        <f aca="false">IFERROR(AVERAGEIFS(E_Measurements!$O$5:$O$546,E_Measurements!$B$5:$B$546,$A88,E_Measurements!$D$5:$D$546,"D2"),"")</f>
        <v/>
      </c>
      <c r="H88" s="56" t="str">
        <f aca="false">IFERROR(AVERAGEIFS(E_Measurements!$O$5:$O$546,E_Measurements!$B$5:$B$546,$A88,E_Measurements!$D$5:$D$546,"D3"),"")</f>
        <v/>
      </c>
      <c r="I88" s="56" t="str">
        <f aca="false">IFERROR(AVERAGEIFS(E_Measurements!$O$5:$O$546,E_Measurements!$B$5:$B$546,$A88,E_Measurements!$D$5:$D$546,"D4"),"")</f>
        <v/>
      </c>
      <c r="J88" s="56" t="str">
        <f aca="false">IFERROR(AVERAGEIFS(E_Measurements!$O$5:$O$546,E_Measurements!$B$5:$B$546,$A88,E_Measurements!$D$5:$D$546,"D5"),"")</f>
        <v/>
      </c>
      <c r="K88" s="56" t="str">
        <f aca="false">IFERROR(AVERAGEIFS(E_Measurements!$O$5:$O$546,E_Measurements!$B$5:$B$546,$A88,E_Measurements!$D$5:$D$546,"D6"),"")</f>
        <v/>
      </c>
      <c r="L88" s="69" t="str">
        <f aca="false">IF(COUNT(F88:K88)&lt;6,"",F88*A_Scoring_Model!$C$5+G88*A_Scoring_Model!$C$6+H88*A_Scoring_Model!$C$7+I88*A_Scoring_Model!$C$8+J88*A_Scoring_Model!$C$9+K88*A_Scoring_Model!$C$10)</f>
        <v/>
      </c>
      <c r="M88" s="70"/>
      <c r="N88" s="70"/>
      <c r="O88" s="70"/>
      <c r="P88" s="70"/>
      <c r="Q88" s="21" t="str">
        <f aca="false">IF(F88="","",IF(COUNTIFS(E_Measurements!$B$5:$B$546,A88,E_Measurements!$D$5:$D$546,"D1",E_Measurements!$O$5:$O$546,0)&gt;0,"N","Y"))</f>
        <v/>
      </c>
      <c r="R88" s="70"/>
      <c r="S88" s="13" t="str">
        <f aca="false">IF(COUNTIF(M88:R88,"Y")=6,"Y","N")</f>
        <v>N</v>
      </c>
      <c r="T88" s="13" t="str">
        <f aca="false">IF(L88="","",IF(OR(S88&lt;&gt;"Y",L88&lt;A_Scoring_Model!$C$33),"Not eligible",IF(L88&gt;=A_Scoring_Model!$C$30,"Tier 1 · Certified",IF(L88&gt;=A_Scoring_Model!$C$31,"Tier 2 · Conditional",IF(L88&gt;=A_Scoring_Model!$C$32,"Tier 3 · Group-local","Tier 4 · Rework")))))</f>
        <v/>
      </c>
      <c r="U88" s="13" t="str">
        <f aca="false">IF(OR(L88="",S88&lt;&gt;"Y"),"",COUNTIFS($A$5:$A$95,A88,$S$5:$S$95,"Y",$L$5:$L$95,"&gt;"&amp;L88)+1)</f>
        <v/>
      </c>
      <c r="V88" s="21" t="str">
        <f aca="false">A88&amp;"|"&amp;U88</f>
        <v>10.a|</v>
      </c>
    </row>
    <row r="89" customFormat="false" ht="15" hidden="false" customHeight="false" outlineLevel="0" collapsed="false">
      <c r="A89" s="68" t="s">
        <v>396</v>
      </c>
      <c r="B89" s="39" t="s">
        <v>397</v>
      </c>
      <c r="C89" s="68" t="s">
        <v>1351</v>
      </c>
      <c r="D89" s="21" t="n">
        <f aca="false">COUNTIFS(E_Measurements!$B$5:$B$546,A89,E_Measurements!$L$5:$L$546,"&lt;&gt;")</f>
        <v>0</v>
      </c>
      <c r="E89" s="21" t="n">
        <f aca="false">COUNTIF(E_Measurements!$B$5:$B$546,A89)</f>
        <v>18</v>
      </c>
      <c r="F89" s="56" t="str">
        <f aca="false">IFERROR(AVERAGEIFS(E_Measurements!$P$5:$P$546,E_Measurements!$B$5:$B$546,$A89,E_Measurements!$D$5:$D$546,"D1"),"")</f>
        <v/>
      </c>
      <c r="G89" s="56" t="str">
        <f aca="false">IFERROR(AVERAGEIFS(E_Measurements!$P$5:$P$546,E_Measurements!$B$5:$B$546,$A89,E_Measurements!$D$5:$D$546,"D2"),"")</f>
        <v/>
      </c>
      <c r="H89" s="56" t="str">
        <f aca="false">IFERROR(AVERAGEIFS(E_Measurements!$P$5:$P$546,E_Measurements!$B$5:$B$546,$A89,E_Measurements!$D$5:$D$546,"D3"),"")</f>
        <v/>
      </c>
      <c r="I89" s="56" t="str">
        <f aca="false">IFERROR(AVERAGEIFS(E_Measurements!$P$5:$P$546,E_Measurements!$B$5:$B$546,$A89,E_Measurements!$D$5:$D$546,"D4"),"")</f>
        <v/>
      </c>
      <c r="J89" s="56" t="str">
        <f aca="false">IFERROR(AVERAGEIFS(E_Measurements!$P$5:$P$546,E_Measurements!$B$5:$B$546,$A89,E_Measurements!$D$5:$D$546,"D5"),"")</f>
        <v/>
      </c>
      <c r="K89" s="56" t="str">
        <f aca="false">IFERROR(AVERAGEIFS(E_Measurements!$P$5:$P$546,E_Measurements!$B$5:$B$546,$A89,E_Measurements!$D$5:$D$546,"D6"),"")</f>
        <v/>
      </c>
      <c r="L89" s="69" t="str">
        <f aca="false">IF(COUNT(F89:K89)&lt;6,"",F89*A_Scoring_Model!$C$5+G89*A_Scoring_Model!$C$6+H89*A_Scoring_Model!$C$7+I89*A_Scoring_Model!$C$8+J89*A_Scoring_Model!$C$9+K89*A_Scoring_Model!$C$10)</f>
        <v/>
      </c>
      <c r="M89" s="70"/>
      <c r="N89" s="70"/>
      <c r="O89" s="70"/>
      <c r="P89" s="70"/>
      <c r="Q89" s="21" t="str">
        <f aca="false">IF(F89="","",IF(COUNTIFS(E_Measurements!$B$5:$B$546,A89,E_Measurements!$D$5:$D$546,"D1",E_Measurements!$P$5:$P$546,0)&gt;0,"N","Y"))</f>
        <v/>
      </c>
      <c r="R89" s="70"/>
      <c r="S89" s="13" t="str">
        <f aca="false">IF(COUNTIF(M89:R89,"Y")=6,"Y","N")</f>
        <v>N</v>
      </c>
      <c r="T89" s="13" t="str">
        <f aca="false">IF(L89="","",IF(OR(S89&lt;&gt;"Y",L89&lt;A_Scoring_Model!$C$33),"Not eligible",IF(L89&gt;=A_Scoring_Model!$C$30,"Tier 1 · Certified",IF(L89&gt;=A_Scoring_Model!$C$31,"Tier 2 · Conditional",IF(L89&gt;=A_Scoring_Model!$C$32,"Tier 3 · Group-local","Tier 4 · Rework")))))</f>
        <v/>
      </c>
      <c r="U89" s="13" t="str">
        <f aca="false">IF(OR(L89="",S89&lt;&gt;"Y"),"",COUNTIFS($A$5:$A$95,A89,$S$5:$S$95,"Y",$L$5:$L$95,"&gt;"&amp;L89)+1)</f>
        <v/>
      </c>
      <c r="V89" s="21" t="str">
        <f aca="false">A89&amp;"|"&amp;U89</f>
        <v>10.a|</v>
      </c>
    </row>
    <row r="90" customFormat="false" ht="15" hidden="false" customHeight="false" outlineLevel="0" collapsed="false">
      <c r="A90" s="13" t="s">
        <v>402</v>
      </c>
      <c r="B90" s="16" t="s">
        <v>403</v>
      </c>
      <c r="C90" s="13" t="s">
        <v>1348</v>
      </c>
      <c r="D90" s="21" t="n">
        <f aca="false">COUNTIFS(E_Measurements!$B$5:$B$546,A90,E_Measurements!$J$5:$J$546,"&lt;&gt;")</f>
        <v>0</v>
      </c>
      <c r="E90" s="21" t="n">
        <f aca="false">COUNTIF(E_Measurements!$B$5:$B$546,A90)</f>
        <v>16</v>
      </c>
      <c r="F90" s="56" t="str">
        <f aca="false">IFERROR(AVERAGEIFS(E_Measurements!$N$5:$N$546,E_Measurements!$B$5:$B$546,$A90,E_Measurements!$D$5:$D$546,"D1"),"")</f>
        <v/>
      </c>
      <c r="G90" s="56" t="str">
        <f aca="false">IFERROR(AVERAGEIFS(E_Measurements!$N$5:$N$546,E_Measurements!$B$5:$B$546,$A90,E_Measurements!$D$5:$D$546,"D2"),"")</f>
        <v/>
      </c>
      <c r="H90" s="56" t="str">
        <f aca="false">IFERROR(AVERAGEIFS(E_Measurements!$N$5:$N$546,E_Measurements!$B$5:$B$546,$A90,E_Measurements!$D$5:$D$546,"D3"),"")</f>
        <v/>
      </c>
      <c r="I90" s="56" t="str">
        <f aca="false">IFERROR(AVERAGEIFS(E_Measurements!$N$5:$N$546,E_Measurements!$B$5:$B$546,$A90,E_Measurements!$D$5:$D$546,"D4"),"")</f>
        <v/>
      </c>
      <c r="J90" s="56" t="str">
        <f aca="false">IFERROR(AVERAGEIFS(E_Measurements!$N$5:$N$546,E_Measurements!$B$5:$B$546,$A90,E_Measurements!$D$5:$D$546,"D5"),"")</f>
        <v/>
      </c>
      <c r="K90" s="56" t="str">
        <f aca="false">IFERROR(AVERAGEIFS(E_Measurements!$N$5:$N$546,E_Measurements!$B$5:$B$546,$A90,E_Measurements!$D$5:$D$546,"D6"),"")</f>
        <v/>
      </c>
      <c r="L90" s="69" t="str">
        <f aca="false">IF(COUNT(F90:K90)&lt;6,"",F90*A_Scoring_Model!$C$5+G90*A_Scoring_Model!$C$6+H90*A_Scoring_Model!$C$7+I90*A_Scoring_Model!$C$8+J90*A_Scoring_Model!$C$9+K90*A_Scoring_Model!$C$10)</f>
        <v/>
      </c>
      <c r="M90" s="70"/>
      <c r="N90" s="70"/>
      <c r="O90" s="70"/>
      <c r="P90" s="70"/>
      <c r="Q90" s="21" t="str">
        <f aca="false">IF(F90="","",IF(COUNTIFS(E_Measurements!$B$5:$B$546,A90,E_Measurements!$D$5:$D$546,"D1",E_Measurements!$N$5:$N$546,0)&gt;0,"N","Y"))</f>
        <v/>
      </c>
      <c r="R90" s="70"/>
      <c r="S90" s="13" t="str">
        <f aca="false">IF(COUNTIF(M90:R90,"Y")=6,"Y","N")</f>
        <v>N</v>
      </c>
      <c r="T90" s="13" t="str">
        <f aca="false">IF(L90="","",IF(OR(S90&lt;&gt;"Y",L90&lt;A_Scoring_Model!$C$33),"Not eligible",IF(L90&gt;=A_Scoring_Model!$C$30,"Tier 1 · Certified",IF(L90&gt;=A_Scoring_Model!$C$31,"Tier 2 · Conditional",IF(L90&gt;=A_Scoring_Model!$C$32,"Tier 3 · Group-local","Tier 4 · Rework")))))</f>
        <v/>
      </c>
      <c r="U90" s="13" t="str">
        <f aca="false">IF(OR(L90="",S90&lt;&gt;"Y"),"",COUNTIFS($A$5:$A$95,A90,$S$5:$S$95,"Y",$L$5:$L$95,"&gt;"&amp;L90)+1)</f>
        <v/>
      </c>
      <c r="V90" s="21" t="str">
        <f aca="false">A90&amp;"|"&amp;U90</f>
        <v>10.b|</v>
      </c>
    </row>
    <row r="91" customFormat="false" ht="15" hidden="false" customHeight="false" outlineLevel="0" collapsed="false">
      <c r="A91" s="13" t="s">
        <v>402</v>
      </c>
      <c r="B91" s="16" t="s">
        <v>403</v>
      </c>
      <c r="C91" s="13" t="s">
        <v>1350</v>
      </c>
      <c r="D91" s="21" t="n">
        <f aca="false">COUNTIFS(E_Measurements!$B$5:$B$546,A91,E_Measurements!$K$5:$K$546,"&lt;&gt;")</f>
        <v>0</v>
      </c>
      <c r="E91" s="21" t="n">
        <f aca="false">COUNTIF(E_Measurements!$B$5:$B$546,A91)</f>
        <v>16</v>
      </c>
      <c r="F91" s="56" t="str">
        <f aca="false">IFERROR(AVERAGEIFS(E_Measurements!$O$5:$O$546,E_Measurements!$B$5:$B$546,$A91,E_Measurements!$D$5:$D$546,"D1"),"")</f>
        <v/>
      </c>
      <c r="G91" s="56" t="str">
        <f aca="false">IFERROR(AVERAGEIFS(E_Measurements!$O$5:$O$546,E_Measurements!$B$5:$B$546,$A91,E_Measurements!$D$5:$D$546,"D2"),"")</f>
        <v/>
      </c>
      <c r="H91" s="56" t="str">
        <f aca="false">IFERROR(AVERAGEIFS(E_Measurements!$O$5:$O$546,E_Measurements!$B$5:$B$546,$A91,E_Measurements!$D$5:$D$546,"D3"),"")</f>
        <v/>
      </c>
      <c r="I91" s="56" t="str">
        <f aca="false">IFERROR(AVERAGEIFS(E_Measurements!$O$5:$O$546,E_Measurements!$B$5:$B$546,$A91,E_Measurements!$D$5:$D$546,"D4"),"")</f>
        <v/>
      </c>
      <c r="J91" s="56" t="str">
        <f aca="false">IFERROR(AVERAGEIFS(E_Measurements!$O$5:$O$546,E_Measurements!$B$5:$B$546,$A91,E_Measurements!$D$5:$D$546,"D5"),"")</f>
        <v/>
      </c>
      <c r="K91" s="56" t="str">
        <f aca="false">IFERROR(AVERAGEIFS(E_Measurements!$O$5:$O$546,E_Measurements!$B$5:$B$546,$A91,E_Measurements!$D$5:$D$546,"D6"),"")</f>
        <v/>
      </c>
      <c r="L91" s="69" t="str">
        <f aca="false">IF(COUNT(F91:K91)&lt;6,"",F91*A_Scoring_Model!$C$5+G91*A_Scoring_Model!$C$6+H91*A_Scoring_Model!$C$7+I91*A_Scoring_Model!$C$8+J91*A_Scoring_Model!$C$9+K91*A_Scoring_Model!$C$10)</f>
        <v/>
      </c>
      <c r="M91" s="70"/>
      <c r="N91" s="70"/>
      <c r="O91" s="70"/>
      <c r="P91" s="70"/>
      <c r="Q91" s="21" t="str">
        <f aca="false">IF(F91="","",IF(COUNTIFS(E_Measurements!$B$5:$B$546,A91,E_Measurements!$D$5:$D$546,"D1",E_Measurements!$O$5:$O$546,0)&gt;0,"N","Y"))</f>
        <v/>
      </c>
      <c r="R91" s="70"/>
      <c r="S91" s="13" t="str">
        <f aca="false">IF(COUNTIF(M91:R91,"Y")=6,"Y","N")</f>
        <v>N</v>
      </c>
      <c r="T91" s="13" t="str">
        <f aca="false">IF(L91="","",IF(OR(S91&lt;&gt;"Y",L91&lt;A_Scoring_Model!$C$33),"Not eligible",IF(L91&gt;=A_Scoring_Model!$C$30,"Tier 1 · Certified",IF(L91&gt;=A_Scoring_Model!$C$31,"Tier 2 · Conditional",IF(L91&gt;=A_Scoring_Model!$C$32,"Tier 3 · Group-local","Tier 4 · Rework")))))</f>
        <v/>
      </c>
      <c r="U91" s="13" t="str">
        <f aca="false">IF(OR(L91="",S91&lt;&gt;"Y"),"",COUNTIFS($A$5:$A$95,A91,$S$5:$S$95,"Y",$L$5:$L$95,"&gt;"&amp;L91)+1)</f>
        <v/>
      </c>
      <c r="V91" s="21" t="str">
        <f aca="false">A91&amp;"|"&amp;U91</f>
        <v>10.b|</v>
      </c>
    </row>
    <row r="92" customFormat="false" ht="15" hidden="false" customHeight="false" outlineLevel="0" collapsed="false">
      <c r="A92" s="13" t="s">
        <v>402</v>
      </c>
      <c r="B92" s="16" t="s">
        <v>403</v>
      </c>
      <c r="C92" s="13" t="s">
        <v>1351</v>
      </c>
      <c r="D92" s="21" t="n">
        <f aca="false">COUNTIFS(E_Measurements!$B$5:$B$546,A92,E_Measurements!$L$5:$L$546,"&lt;&gt;")</f>
        <v>0</v>
      </c>
      <c r="E92" s="21" t="n">
        <f aca="false">COUNTIF(E_Measurements!$B$5:$B$546,A92)</f>
        <v>16</v>
      </c>
      <c r="F92" s="56" t="str">
        <f aca="false">IFERROR(AVERAGEIFS(E_Measurements!$P$5:$P$546,E_Measurements!$B$5:$B$546,$A92,E_Measurements!$D$5:$D$546,"D1"),"")</f>
        <v/>
      </c>
      <c r="G92" s="56" t="str">
        <f aca="false">IFERROR(AVERAGEIFS(E_Measurements!$P$5:$P$546,E_Measurements!$B$5:$B$546,$A92,E_Measurements!$D$5:$D$546,"D2"),"")</f>
        <v/>
      </c>
      <c r="H92" s="56" t="str">
        <f aca="false">IFERROR(AVERAGEIFS(E_Measurements!$P$5:$P$546,E_Measurements!$B$5:$B$546,$A92,E_Measurements!$D$5:$D$546,"D3"),"")</f>
        <v/>
      </c>
      <c r="I92" s="56" t="str">
        <f aca="false">IFERROR(AVERAGEIFS(E_Measurements!$P$5:$P$546,E_Measurements!$B$5:$B$546,$A92,E_Measurements!$D$5:$D$546,"D4"),"")</f>
        <v/>
      </c>
      <c r="J92" s="56" t="str">
        <f aca="false">IFERROR(AVERAGEIFS(E_Measurements!$P$5:$P$546,E_Measurements!$B$5:$B$546,$A92,E_Measurements!$D$5:$D$546,"D5"),"")</f>
        <v/>
      </c>
      <c r="K92" s="56" t="str">
        <f aca="false">IFERROR(AVERAGEIFS(E_Measurements!$P$5:$P$546,E_Measurements!$B$5:$B$546,$A92,E_Measurements!$D$5:$D$546,"D6"),"")</f>
        <v/>
      </c>
      <c r="L92" s="69" t="str">
        <f aca="false">IF(COUNT(F92:K92)&lt;6,"",F92*A_Scoring_Model!$C$5+G92*A_Scoring_Model!$C$6+H92*A_Scoring_Model!$C$7+I92*A_Scoring_Model!$C$8+J92*A_Scoring_Model!$C$9+K92*A_Scoring_Model!$C$10)</f>
        <v/>
      </c>
      <c r="M92" s="70"/>
      <c r="N92" s="70"/>
      <c r="O92" s="70"/>
      <c r="P92" s="70"/>
      <c r="Q92" s="21" t="str">
        <f aca="false">IF(F92="","",IF(COUNTIFS(E_Measurements!$B$5:$B$546,A92,E_Measurements!$D$5:$D$546,"D1",E_Measurements!$P$5:$P$546,0)&gt;0,"N","Y"))</f>
        <v/>
      </c>
      <c r="R92" s="70"/>
      <c r="S92" s="13" t="str">
        <f aca="false">IF(COUNTIF(M92:R92,"Y")=6,"Y","N")</f>
        <v>N</v>
      </c>
      <c r="T92" s="13" t="str">
        <f aca="false">IF(L92="","",IF(OR(S92&lt;&gt;"Y",L92&lt;A_Scoring_Model!$C$33),"Not eligible",IF(L92&gt;=A_Scoring_Model!$C$30,"Tier 1 · Certified",IF(L92&gt;=A_Scoring_Model!$C$31,"Tier 2 · Conditional",IF(L92&gt;=A_Scoring_Model!$C$32,"Tier 3 · Group-local","Tier 4 · Rework")))))</f>
        <v/>
      </c>
      <c r="U92" s="13" t="str">
        <f aca="false">IF(OR(L92="",S92&lt;&gt;"Y"),"",COUNTIFS($A$5:$A$95,A92,$S$5:$S$95,"Y",$L$5:$L$95,"&gt;"&amp;L92)+1)</f>
        <v/>
      </c>
      <c r="V92" s="21" t="str">
        <f aca="false">A92&amp;"|"&amp;U92</f>
        <v>10.b|</v>
      </c>
    </row>
    <row r="93" customFormat="false" ht="15" hidden="false" customHeight="false" outlineLevel="0" collapsed="false">
      <c r="A93" s="68" t="s">
        <v>408</v>
      </c>
      <c r="B93" s="39" t="s">
        <v>409</v>
      </c>
      <c r="C93" s="68" t="s">
        <v>1348</v>
      </c>
      <c r="D93" s="21" t="n">
        <f aca="false">COUNTIFS(E_Measurements!$B$5:$B$546,A93,E_Measurements!$J$5:$J$546,"&lt;&gt;")</f>
        <v>0</v>
      </c>
      <c r="E93" s="21" t="n">
        <f aca="false">COUNTIF(E_Measurements!$B$5:$B$546,A93)</f>
        <v>17</v>
      </c>
      <c r="F93" s="56" t="str">
        <f aca="false">IFERROR(AVERAGEIFS(E_Measurements!$N$5:$N$546,E_Measurements!$B$5:$B$546,$A93,E_Measurements!$D$5:$D$546,"D1"),"")</f>
        <v/>
      </c>
      <c r="G93" s="56" t="str">
        <f aca="false">IFERROR(AVERAGEIFS(E_Measurements!$N$5:$N$546,E_Measurements!$B$5:$B$546,$A93,E_Measurements!$D$5:$D$546,"D2"),"")</f>
        <v/>
      </c>
      <c r="H93" s="56" t="str">
        <f aca="false">IFERROR(AVERAGEIFS(E_Measurements!$N$5:$N$546,E_Measurements!$B$5:$B$546,$A93,E_Measurements!$D$5:$D$546,"D3"),"")</f>
        <v/>
      </c>
      <c r="I93" s="56" t="str">
        <f aca="false">IFERROR(AVERAGEIFS(E_Measurements!$N$5:$N$546,E_Measurements!$B$5:$B$546,$A93,E_Measurements!$D$5:$D$546,"D4"),"")</f>
        <v/>
      </c>
      <c r="J93" s="56" t="str">
        <f aca="false">IFERROR(AVERAGEIFS(E_Measurements!$N$5:$N$546,E_Measurements!$B$5:$B$546,$A93,E_Measurements!$D$5:$D$546,"D5"),"")</f>
        <v/>
      </c>
      <c r="K93" s="56" t="str">
        <f aca="false">IFERROR(AVERAGEIFS(E_Measurements!$N$5:$N$546,E_Measurements!$B$5:$B$546,$A93,E_Measurements!$D$5:$D$546,"D6"),"")</f>
        <v/>
      </c>
      <c r="L93" s="69" t="str">
        <f aca="false">IF(COUNT(F93:K93)&lt;6,"",F93*A_Scoring_Model!$C$5+G93*A_Scoring_Model!$C$6+H93*A_Scoring_Model!$C$7+I93*A_Scoring_Model!$C$8+J93*A_Scoring_Model!$C$9+K93*A_Scoring_Model!$C$10)</f>
        <v/>
      </c>
      <c r="M93" s="70"/>
      <c r="N93" s="70"/>
      <c r="O93" s="70"/>
      <c r="P93" s="70"/>
      <c r="Q93" s="21" t="str">
        <f aca="false">IF(F93="","",IF(COUNTIFS(E_Measurements!$B$5:$B$546,A93,E_Measurements!$D$5:$D$546,"D1",E_Measurements!$N$5:$N$546,0)&gt;0,"N","Y"))</f>
        <v/>
      </c>
      <c r="R93" s="70"/>
      <c r="S93" s="13" t="str">
        <f aca="false">IF(COUNTIF(M93:R93,"Y")=6,"Y","N")</f>
        <v>N</v>
      </c>
      <c r="T93" s="13" t="str">
        <f aca="false">IF(L93="","",IF(OR(S93&lt;&gt;"Y",L93&lt;A_Scoring_Model!$C$33),"Not eligible",IF(L93&gt;=A_Scoring_Model!$C$30,"Tier 1 · Certified",IF(L93&gt;=A_Scoring_Model!$C$31,"Tier 2 · Conditional",IF(L93&gt;=A_Scoring_Model!$C$32,"Tier 3 · Group-local","Tier 4 · Rework")))))</f>
        <v/>
      </c>
      <c r="U93" s="13" t="str">
        <f aca="false">IF(OR(L93="",S93&lt;&gt;"Y"),"",COUNTIFS($A$5:$A$95,A93,$S$5:$S$95,"Y",$L$5:$L$95,"&gt;"&amp;L93)+1)</f>
        <v/>
      </c>
      <c r="V93" s="21" t="str">
        <f aca="false">A93&amp;"|"&amp;U93</f>
        <v>10.c|</v>
      </c>
    </row>
    <row r="94" customFormat="false" ht="15" hidden="false" customHeight="false" outlineLevel="0" collapsed="false">
      <c r="A94" s="68" t="s">
        <v>408</v>
      </c>
      <c r="B94" s="39" t="s">
        <v>409</v>
      </c>
      <c r="C94" s="68" t="s">
        <v>1350</v>
      </c>
      <c r="D94" s="21" t="n">
        <f aca="false">COUNTIFS(E_Measurements!$B$5:$B$546,A94,E_Measurements!$K$5:$K$546,"&lt;&gt;")</f>
        <v>0</v>
      </c>
      <c r="E94" s="21" t="n">
        <f aca="false">COUNTIF(E_Measurements!$B$5:$B$546,A94)</f>
        <v>17</v>
      </c>
      <c r="F94" s="56" t="str">
        <f aca="false">IFERROR(AVERAGEIFS(E_Measurements!$O$5:$O$546,E_Measurements!$B$5:$B$546,$A94,E_Measurements!$D$5:$D$546,"D1"),"")</f>
        <v/>
      </c>
      <c r="G94" s="56" t="str">
        <f aca="false">IFERROR(AVERAGEIFS(E_Measurements!$O$5:$O$546,E_Measurements!$B$5:$B$546,$A94,E_Measurements!$D$5:$D$546,"D2"),"")</f>
        <v/>
      </c>
      <c r="H94" s="56" t="str">
        <f aca="false">IFERROR(AVERAGEIFS(E_Measurements!$O$5:$O$546,E_Measurements!$B$5:$B$546,$A94,E_Measurements!$D$5:$D$546,"D3"),"")</f>
        <v/>
      </c>
      <c r="I94" s="56" t="str">
        <f aca="false">IFERROR(AVERAGEIFS(E_Measurements!$O$5:$O$546,E_Measurements!$B$5:$B$546,$A94,E_Measurements!$D$5:$D$546,"D4"),"")</f>
        <v/>
      </c>
      <c r="J94" s="56" t="str">
        <f aca="false">IFERROR(AVERAGEIFS(E_Measurements!$O$5:$O$546,E_Measurements!$B$5:$B$546,$A94,E_Measurements!$D$5:$D$546,"D5"),"")</f>
        <v/>
      </c>
      <c r="K94" s="56" t="str">
        <f aca="false">IFERROR(AVERAGEIFS(E_Measurements!$O$5:$O$546,E_Measurements!$B$5:$B$546,$A94,E_Measurements!$D$5:$D$546,"D6"),"")</f>
        <v/>
      </c>
      <c r="L94" s="69" t="str">
        <f aca="false">IF(COUNT(F94:K94)&lt;6,"",F94*A_Scoring_Model!$C$5+G94*A_Scoring_Model!$C$6+H94*A_Scoring_Model!$C$7+I94*A_Scoring_Model!$C$8+J94*A_Scoring_Model!$C$9+K94*A_Scoring_Model!$C$10)</f>
        <v/>
      </c>
      <c r="M94" s="70"/>
      <c r="N94" s="70"/>
      <c r="O94" s="70"/>
      <c r="P94" s="70"/>
      <c r="Q94" s="21" t="str">
        <f aca="false">IF(F94="","",IF(COUNTIFS(E_Measurements!$B$5:$B$546,A94,E_Measurements!$D$5:$D$546,"D1",E_Measurements!$O$5:$O$546,0)&gt;0,"N","Y"))</f>
        <v/>
      </c>
      <c r="R94" s="70"/>
      <c r="S94" s="13" t="str">
        <f aca="false">IF(COUNTIF(M94:R94,"Y")=6,"Y","N")</f>
        <v>N</v>
      </c>
      <c r="T94" s="13" t="str">
        <f aca="false">IF(L94="","",IF(OR(S94&lt;&gt;"Y",L94&lt;A_Scoring_Model!$C$33),"Not eligible",IF(L94&gt;=A_Scoring_Model!$C$30,"Tier 1 · Certified",IF(L94&gt;=A_Scoring_Model!$C$31,"Tier 2 · Conditional",IF(L94&gt;=A_Scoring_Model!$C$32,"Tier 3 · Group-local","Tier 4 · Rework")))))</f>
        <v/>
      </c>
      <c r="U94" s="13" t="str">
        <f aca="false">IF(OR(L94="",S94&lt;&gt;"Y"),"",COUNTIFS($A$5:$A$95,A94,$S$5:$S$95,"Y",$L$5:$L$95,"&gt;"&amp;L94)+1)</f>
        <v/>
      </c>
      <c r="V94" s="21" t="str">
        <f aca="false">A94&amp;"|"&amp;U94</f>
        <v>10.c|</v>
      </c>
    </row>
    <row r="95" customFormat="false" ht="15" hidden="false" customHeight="false" outlineLevel="0" collapsed="false">
      <c r="A95" s="68" t="s">
        <v>408</v>
      </c>
      <c r="B95" s="39" t="s">
        <v>409</v>
      </c>
      <c r="C95" s="68" t="s">
        <v>1351</v>
      </c>
      <c r="D95" s="21" t="n">
        <f aca="false">COUNTIFS(E_Measurements!$B$5:$B$546,A95,E_Measurements!$L$5:$L$546,"&lt;&gt;")</f>
        <v>0</v>
      </c>
      <c r="E95" s="21" t="n">
        <f aca="false">COUNTIF(E_Measurements!$B$5:$B$546,A95)</f>
        <v>17</v>
      </c>
      <c r="F95" s="56" t="str">
        <f aca="false">IFERROR(AVERAGEIFS(E_Measurements!$P$5:$P$546,E_Measurements!$B$5:$B$546,$A95,E_Measurements!$D$5:$D$546,"D1"),"")</f>
        <v/>
      </c>
      <c r="G95" s="56" t="str">
        <f aca="false">IFERROR(AVERAGEIFS(E_Measurements!$P$5:$P$546,E_Measurements!$B$5:$B$546,$A95,E_Measurements!$D$5:$D$546,"D2"),"")</f>
        <v/>
      </c>
      <c r="H95" s="56" t="str">
        <f aca="false">IFERROR(AVERAGEIFS(E_Measurements!$P$5:$P$546,E_Measurements!$B$5:$B$546,$A95,E_Measurements!$D$5:$D$546,"D3"),"")</f>
        <v/>
      </c>
      <c r="I95" s="56" t="str">
        <f aca="false">IFERROR(AVERAGEIFS(E_Measurements!$P$5:$P$546,E_Measurements!$B$5:$B$546,$A95,E_Measurements!$D$5:$D$546,"D4"),"")</f>
        <v/>
      </c>
      <c r="J95" s="56" t="str">
        <f aca="false">IFERROR(AVERAGEIFS(E_Measurements!$P$5:$P$546,E_Measurements!$B$5:$B$546,$A95,E_Measurements!$D$5:$D$546,"D5"),"")</f>
        <v/>
      </c>
      <c r="K95" s="56" t="str">
        <f aca="false">IFERROR(AVERAGEIFS(E_Measurements!$P$5:$P$546,E_Measurements!$B$5:$B$546,$A95,E_Measurements!$D$5:$D$546,"D6"),"")</f>
        <v/>
      </c>
      <c r="L95" s="69" t="str">
        <f aca="false">IF(COUNT(F95:K95)&lt;6,"",F95*A_Scoring_Model!$C$5+G95*A_Scoring_Model!$C$6+H95*A_Scoring_Model!$C$7+I95*A_Scoring_Model!$C$8+J95*A_Scoring_Model!$C$9+K95*A_Scoring_Model!$C$10)</f>
        <v/>
      </c>
      <c r="M95" s="70"/>
      <c r="N95" s="70"/>
      <c r="O95" s="70"/>
      <c r="P95" s="70"/>
      <c r="Q95" s="21" t="str">
        <f aca="false">IF(F95="","",IF(COUNTIFS(E_Measurements!$B$5:$B$546,A95,E_Measurements!$D$5:$D$546,"D1",E_Measurements!$P$5:$P$546,0)&gt;0,"N","Y"))</f>
        <v/>
      </c>
      <c r="R95" s="70"/>
      <c r="S95" s="13" t="str">
        <f aca="false">IF(COUNTIF(M95:R95,"Y")=6,"Y","N")</f>
        <v>N</v>
      </c>
      <c r="T95" s="13" t="str">
        <f aca="false">IF(L95="","",IF(OR(S95&lt;&gt;"Y",L95&lt;A_Scoring_Model!$C$33),"Not eligible",IF(L95&gt;=A_Scoring_Model!$C$30,"Tier 1 · Certified",IF(L95&gt;=A_Scoring_Model!$C$31,"Tier 2 · Conditional",IF(L95&gt;=A_Scoring_Model!$C$32,"Tier 3 · Group-local","Tier 4 · Rework")))))</f>
        <v/>
      </c>
      <c r="U95" s="13" t="str">
        <f aca="false">IF(OR(L95="",S95&lt;&gt;"Y"),"",COUNTIFS($A$5:$A$95,A95,$S$5:$S$95,"Y",$L$5:$L$95,"&gt;"&amp;L95)+1)</f>
        <v/>
      </c>
      <c r="V95" s="21" t="str">
        <f aca="false">A95&amp;"|"&amp;U95</f>
        <v>10.c|</v>
      </c>
    </row>
    <row r="97" customFormat="false" ht="15" hidden="false" customHeight="false" outlineLevel="0" collapsed="false">
      <c r="A97" s="2" t="s">
        <v>1354</v>
      </c>
    </row>
  </sheetData>
  <autoFilter ref="A4:V95"/>
  <conditionalFormatting sqref="T5:T95">
    <cfRule type="cellIs" priority="2" operator="equal" aboveAverage="0" equalAverage="0" bottom="0" percent="0" rank="0" text="" dxfId="21">
      <formula>"Tier 1 · Certified"</formula>
    </cfRule>
    <cfRule type="cellIs" priority="3" operator="equal" aboveAverage="0" equalAverage="0" bottom="0" percent="0" rank="0" text="" dxfId="25">
      <formula>"Tier 2 · Conditional"</formula>
    </cfRule>
    <cfRule type="cellIs" priority="4" operator="equal" aboveAverage="0" equalAverage="0" bottom="0" percent="0" rank="0" text="" dxfId="26">
      <formula>"Tier 3 · Group-local"</formula>
    </cfRule>
    <cfRule type="cellIs" priority="5" operator="equal" aboveAverage="0" equalAverage="0" bottom="0" percent="0" rank="0" text="" dxfId="27">
      <formula>"Tier 4 · Rework"</formula>
    </cfRule>
    <cfRule type="cellIs" priority="6" operator="equal" aboveAverage="0" equalAverage="0" bottom="0" percent="0" rank="0" text="" dxfId="20">
      <formula>"Not eligible"</formula>
    </cfRule>
  </conditionalFormatting>
  <conditionalFormatting sqref="S5:S95">
    <cfRule type="cellIs" priority="7" operator="equal" aboveAverage="0" equalAverage="0" bottom="0" percent="0" rank="0" text="" dxfId="28">
      <formula>"N"</formula>
    </cfRule>
  </conditionalFormatting>
  <conditionalFormatting sqref="Q5:Q95">
    <cfRule type="cellIs" priority="8" operator="equal" aboveAverage="0" equalAverage="0" bottom="0" percent="0" rank="0" text="" dxfId="28">
      <formula>"N"</formula>
    </cfRule>
  </conditionalFormatting>
  <dataValidations count="1">
    <dataValidation allowBlank="true" errorStyle="stop" operator="between" showDropDown="false" showErrorMessage="false" showInputMessage="false" sqref="M5:P95 R5:R9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97316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8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60"/>
  </cols>
  <sheetData>
    <row r="1" customFormat="false" ht="19.7" hidden="false" customHeight="false" outlineLevel="0" collapsed="false">
      <c r="A1" s="1" t="s">
        <v>1355</v>
      </c>
    </row>
    <row r="2" customFormat="false" ht="15" hidden="false" customHeight="false" outlineLevel="0" collapsed="false">
      <c r="A2" s="2" t="s">
        <v>1356</v>
      </c>
    </row>
    <row r="4" customFormat="false" ht="15" hidden="false" customHeight="false" outlineLevel="0" collapsed="false">
      <c r="B4" s="71" t="s">
        <v>1357</v>
      </c>
      <c r="D4" s="71" t="s">
        <v>1358</v>
      </c>
      <c r="F4" s="71" t="s">
        <v>1359</v>
      </c>
      <c r="H4" s="71" t="s">
        <v>120</v>
      </c>
      <c r="I4" s="71" t="s">
        <v>1360</v>
      </c>
    </row>
    <row r="5" customFormat="false" ht="22.05" hidden="false" customHeight="false" outlineLevel="0" collapsed="false">
      <c r="B5" s="72" t="n">
        <f aca="false">COUNTIF(H9:H39,"Tier 1 · Certified")</f>
        <v>1</v>
      </c>
      <c r="D5" s="72" t="n">
        <f aca="false">COUNTIF(H9:H39,"Tier 2 · Conditional")</f>
        <v>0</v>
      </c>
      <c r="F5" s="72" t="n">
        <f aca="false">COUNTIF(H9:H39,"Tier 3 · Group-local")+COUNTIF(H9:H39,"Tier 4 · Rework")</f>
        <v>0</v>
      </c>
      <c r="H5" s="72" t="n">
        <f aca="false">COUNTIF(H9:H39,"Not eligible")</f>
        <v>1</v>
      </c>
      <c r="I5" s="72" t="n">
        <f aca="false">COUNTIF(H9:H39,"Not yet benchmarked")</f>
        <v>29</v>
      </c>
    </row>
    <row r="8" customFormat="false" ht="23.85" hidden="false" customHeight="false" outlineLevel="0" collapsed="false">
      <c r="A8" s="12" t="s">
        <v>177</v>
      </c>
      <c r="B8" s="12" t="s">
        <v>178</v>
      </c>
      <c r="C8" s="12" t="s">
        <v>179</v>
      </c>
      <c r="D8" s="12" t="s">
        <v>180</v>
      </c>
      <c r="E8" s="12" t="s">
        <v>1361</v>
      </c>
      <c r="F8" s="12" t="s">
        <v>1362</v>
      </c>
      <c r="G8" s="12" t="s">
        <v>1363</v>
      </c>
      <c r="H8" s="12" t="s">
        <v>103</v>
      </c>
      <c r="I8" s="12" t="s">
        <v>1364</v>
      </c>
    </row>
    <row r="9" customFormat="false" ht="23.85" hidden="false" customHeight="false" outlineLevel="0" collapsed="false">
      <c r="A9" s="27" t="n">
        <v>1</v>
      </c>
      <c r="B9" s="16" t="s">
        <v>190</v>
      </c>
      <c r="C9" s="13" t="s">
        <v>191</v>
      </c>
      <c r="D9" s="14" t="s">
        <v>192</v>
      </c>
      <c r="E9" s="21" t="n">
        <f aca="false">COUNTIFS(E_Scorecard!$A$5:$A$95,C9,E_Scorecard!$L$5:$L$95,"&gt;=0")</f>
        <v>3</v>
      </c>
      <c r="F9" s="73" t="str">
        <f aca="false">IFERROR(INDEX(E_Scorecard!$C$5:$C$95,MATCH(C9&amp;"|1",E_Scorecard!$V$5:$V$95,0)),"—")</f>
        <v>grp3</v>
      </c>
      <c r="G9" s="65" t="n">
        <f aca="false">IFERROR(INDEX(E_Scorecard!$L$5:$L$95,MATCH(C9&amp;"|1",E_Scorecard!$V$5:$V$95,0)),"")</f>
        <v>95.2756722689076</v>
      </c>
      <c r="H9" s="73" t="str">
        <f aca="false">IFERROR(INDEX(E_Scorecard!$T$5:$T$95,MATCH(C9&amp;"|1",E_Scorecard!$V$5:$V$95,0)),IF(E9&gt;0,"Not eligible","Not yet benchmarked"))</f>
        <v>Tier 1 · Certified</v>
      </c>
      <c r="I9" s="16" t="str">
        <f aca="false">IF(H9="Tier 1 · Certified","Adopt "&amp;F9&amp;" solution as the Sol PE standard; stop parallel builds",IF(H9="Tier 2 · Conditional","Reuse "&amp;F9&amp;" solution with an improvement plan; re-benchmark next quarter",IF(H9="Tier 3 · Group-local","Group-local use only; merge efforts toward Tier 2",IF(H9="Tier 4 · Rework","Rework; merge efforts into the leading solution",IF(H9="Not eligible","No submission passes all gates; fix gates and resubmit","Register and benchmark submissions")))))</f>
        <v>Adopt grp3 solution as the Sol PE standard; stop parallel builds</v>
      </c>
    </row>
    <row r="10" customFormat="false" ht="23.85" hidden="false" customHeight="false" outlineLevel="0" collapsed="false">
      <c r="A10" s="27" t="n">
        <v>1</v>
      </c>
      <c r="B10" s="16" t="s">
        <v>190</v>
      </c>
      <c r="C10" s="13" t="s">
        <v>199</v>
      </c>
      <c r="D10" s="14" t="s">
        <v>200</v>
      </c>
      <c r="E10" s="21" t="n">
        <f aca="false">COUNTIFS(E_Scorecard!$A$5:$A$95,C10,E_Scorecard!$L$5:$L$95,"&gt;=0")</f>
        <v>0</v>
      </c>
      <c r="F10" s="73" t="str">
        <f aca="false">IFERROR(INDEX(E_Scorecard!$C$5:$C$95,MATCH(C10&amp;"|1",E_Scorecard!$V$5:$V$95,0)),"—")</f>
        <v>—</v>
      </c>
      <c r="G10" s="65" t="str">
        <f aca="false">IFERROR(INDEX(E_Scorecard!$L$5:$L$95,MATCH(C10&amp;"|1",E_Scorecard!$V$5:$V$95,0)),"")</f>
        <v/>
      </c>
      <c r="H10" s="73" t="str">
        <f aca="false">IFERROR(INDEX(E_Scorecard!$T$5:$T$95,MATCH(C10&amp;"|1",E_Scorecard!$V$5:$V$95,0)),IF(E10&gt;0,"Not eligible","Not yet benchmarked"))</f>
        <v>Not yet benchmarked</v>
      </c>
      <c r="I10" s="16" t="str">
        <f aca="false">IF(H10="Tier 1 · Certified","Adopt "&amp;F10&amp;" solution as the Sol PE standard; stop parallel builds",IF(H10="Tier 2 · Conditional","Reuse "&amp;F10&amp;" solution with an improvement plan; re-benchmark next quarter",IF(H10="Tier 3 · Group-local","Group-local use only; merge efforts toward Tier 2",IF(H10="Tier 4 · Rework","Rework; merge efforts into the leading solution",IF(H10="Not eligible","No submission passes all gates; fix gates and resubmit","Register and benchmark submissions")))))</f>
        <v>Register and benchmark submissions</v>
      </c>
    </row>
    <row r="11" customFormat="false" ht="23.85" hidden="false" customHeight="false" outlineLevel="0" collapsed="false">
      <c r="A11" s="27" t="n">
        <v>1</v>
      </c>
      <c r="B11" s="16" t="s">
        <v>190</v>
      </c>
      <c r="C11" s="13" t="s">
        <v>206</v>
      </c>
      <c r="D11" s="14" t="s">
        <v>207</v>
      </c>
      <c r="E11" s="21" t="n">
        <f aca="false">COUNTIFS(E_Scorecard!$A$5:$A$95,C11,E_Scorecard!$L$5:$L$95,"&gt;=0")</f>
        <v>0</v>
      </c>
      <c r="F11" s="73" t="str">
        <f aca="false">IFERROR(INDEX(E_Scorecard!$C$5:$C$95,MATCH(C11&amp;"|1",E_Scorecard!$V$5:$V$95,0)),"—")</f>
        <v>—</v>
      </c>
      <c r="G11" s="65" t="str">
        <f aca="false">IFERROR(INDEX(E_Scorecard!$L$5:$L$95,MATCH(C11&amp;"|1",E_Scorecard!$V$5:$V$95,0)),"")</f>
        <v/>
      </c>
      <c r="H11" s="73" t="str">
        <f aca="false">IFERROR(INDEX(E_Scorecard!$T$5:$T$95,MATCH(C11&amp;"|1",E_Scorecard!$V$5:$V$95,0)),IF(E11&gt;0,"Not eligible","Not yet benchmarked"))</f>
        <v>Not yet benchmarked</v>
      </c>
      <c r="I11" s="16" t="str">
        <f aca="false">IF(H11="Tier 1 · Certified","Adopt "&amp;F11&amp;" solution as the Sol PE standard; stop parallel builds",IF(H11="Tier 2 · Conditional","Reuse "&amp;F11&amp;" solution with an improvement plan; re-benchmark next quarter",IF(H11="Tier 3 · Group-local","Group-local use only; merge efforts toward Tier 2",IF(H11="Tier 4 · Rework","Rework; merge efforts into the leading solution",IF(H11="Not eligible","No submission passes all gates; fix gates and resubmit","Register and benchmark submissions")))))</f>
        <v>Register and benchmark submissions</v>
      </c>
    </row>
    <row r="12" customFormat="false" ht="15" hidden="false" customHeight="false" outlineLevel="0" collapsed="false">
      <c r="A12" s="28" t="n">
        <v>2</v>
      </c>
      <c r="B12" s="16" t="s">
        <v>213</v>
      </c>
      <c r="C12" s="13" t="s">
        <v>214</v>
      </c>
      <c r="D12" s="14" t="s">
        <v>215</v>
      </c>
      <c r="E12" s="21" t="n">
        <f aca="false">COUNTIFS(E_Scorecard!$A$5:$A$95,C12,E_Scorecard!$L$5:$L$95,"&gt;=0")</f>
        <v>0</v>
      </c>
      <c r="F12" s="73" t="str">
        <f aca="false">IFERROR(INDEX(E_Scorecard!$C$5:$C$95,MATCH(C12&amp;"|1",E_Scorecard!$V$5:$V$95,0)),"—")</f>
        <v>—</v>
      </c>
      <c r="G12" s="65" t="str">
        <f aca="false">IFERROR(INDEX(E_Scorecard!$L$5:$L$95,MATCH(C12&amp;"|1",E_Scorecard!$V$5:$V$95,0)),"")</f>
        <v/>
      </c>
      <c r="H12" s="73" t="str">
        <f aca="false">IFERROR(INDEX(E_Scorecard!$T$5:$T$95,MATCH(C12&amp;"|1",E_Scorecard!$V$5:$V$95,0)),IF(E12&gt;0,"Not eligible","Not yet benchmarked"))</f>
        <v>Not yet benchmarked</v>
      </c>
      <c r="I12" s="16" t="str">
        <f aca="false">IF(H12="Tier 1 · Certified","Adopt "&amp;F12&amp;" solution as the Sol PE standard; stop parallel builds",IF(H12="Tier 2 · Conditional","Reuse "&amp;F12&amp;" solution with an improvement plan; re-benchmark next quarter",IF(H12="Tier 3 · Group-local","Group-local use only; merge efforts toward Tier 2",IF(H12="Tier 4 · Rework","Rework; merge efforts into the leading solution",IF(H12="Not eligible","No submission passes all gates; fix gates and resubmit","Register and benchmark submissions")))))</f>
        <v>Register and benchmark submissions</v>
      </c>
    </row>
    <row r="13" customFormat="false" ht="15" hidden="false" customHeight="false" outlineLevel="0" collapsed="false">
      <c r="A13" s="28" t="n">
        <v>2</v>
      </c>
      <c r="B13" s="16" t="s">
        <v>213</v>
      </c>
      <c r="C13" s="13" t="s">
        <v>222</v>
      </c>
      <c r="D13" s="14" t="s">
        <v>223</v>
      </c>
      <c r="E13" s="21" t="n">
        <f aca="false">COUNTIFS(E_Scorecard!$A$5:$A$95,C13,E_Scorecard!$L$5:$L$95,"&gt;=0")</f>
        <v>0</v>
      </c>
      <c r="F13" s="73" t="str">
        <f aca="false">IFERROR(INDEX(E_Scorecard!$C$5:$C$95,MATCH(C13&amp;"|1",E_Scorecard!$V$5:$V$95,0)),"—")</f>
        <v>—</v>
      </c>
      <c r="G13" s="65" t="str">
        <f aca="false">IFERROR(INDEX(E_Scorecard!$L$5:$L$95,MATCH(C13&amp;"|1",E_Scorecard!$V$5:$V$95,0)),"")</f>
        <v/>
      </c>
      <c r="H13" s="73" t="str">
        <f aca="false">IFERROR(INDEX(E_Scorecard!$T$5:$T$95,MATCH(C13&amp;"|1",E_Scorecard!$V$5:$V$95,0)),IF(E13&gt;0,"Not eligible","Not yet benchmarked"))</f>
        <v>Not yet benchmarked</v>
      </c>
      <c r="I13" s="16" t="str">
        <f aca="false">IF(H13="Tier 1 · Certified","Adopt "&amp;F13&amp;" solution as the Sol PE standard; stop parallel builds",IF(H13="Tier 2 · Conditional","Reuse "&amp;F13&amp;" solution with an improvement plan; re-benchmark next quarter",IF(H13="Tier 3 · Group-local","Group-local use only; merge efforts toward Tier 2",IF(H13="Tier 4 · Rework","Rework; merge efforts into the leading solution",IF(H13="Not eligible","No submission passes all gates; fix gates and resubmit","Register and benchmark submissions")))))</f>
        <v>Register and benchmark submissions</v>
      </c>
    </row>
    <row r="14" customFormat="false" ht="15" hidden="false" customHeight="false" outlineLevel="0" collapsed="false">
      <c r="A14" s="28" t="n">
        <v>2</v>
      </c>
      <c r="B14" s="16" t="s">
        <v>213</v>
      </c>
      <c r="C14" s="13" t="s">
        <v>230</v>
      </c>
      <c r="D14" s="14" t="s">
        <v>231</v>
      </c>
      <c r="E14" s="21" t="n">
        <f aca="false">COUNTIFS(E_Scorecard!$A$5:$A$95,C14,E_Scorecard!$L$5:$L$95,"&gt;=0")</f>
        <v>0</v>
      </c>
      <c r="F14" s="73" t="str">
        <f aca="false">IFERROR(INDEX(E_Scorecard!$C$5:$C$95,MATCH(C14&amp;"|1",E_Scorecard!$V$5:$V$95,0)),"—")</f>
        <v>—</v>
      </c>
      <c r="G14" s="65" t="str">
        <f aca="false">IFERROR(INDEX(E_Scorecard!$L$5:$L$95,MATCH(C14&amp;"|1",E_Scorecard!$V$5:$V$95,0)),"")</f>
        <v/>
      </c>
      <c r="H14" s="73" t="str">
        <f aca="false">IFERROR(INDEX(E_Scorecard!$T$5:$T$95,MATCH(C14&amp;"|1",E_Scorecard!$V$5:$V$95,0)),IF(E14&gt;0,"Not eligible","Not yet benchmarked"))</f>
        <v>Not yet benchmarked</v>
      </c>
      <c r="I14" s="16" t="str">
        <f aca="false">IF(H14="Tier 1 · Certified","Adopt "&amp;F14&amp;" solution as the Sol PE standard; stop parallel builds",IF(H14="Tier 2 · Conditional","Reuse "&amp;F14&amp;" solution with an improvement plan; re-benchmark next quarter",IF(H14="Tier 3 · Group-local","Group-local use only; merge efforts toward Tier 2",IF(H14="Tier 4 · Rework","Rework; merge efforts into the leading solution",IF(H14="Not eligible","No submission passes all gates; fix gates and resubmit","Register and benchmark submissions")))))</f>
        <v>Register and benchmark submissions</v>
      </c>
    </row>
    <row r="15" customFormat="false" ht="15" hidden="false" customHeight="false" outlineLevel="0" collapsed="false">
      <c r="A15" s="29" t="n">
        <v>3</v>
      </c>
      <c r="B15" s="16" t="s">
        <v>238</v>
      </c>
      <c r="C15" s="13" t="s">
        <v>239</v>
      </c>
      <c r="D15" s="14" t="s">
        <v>240</v>
      </c>
      <c r="E15" s="21" t="n">
        <f aca="false">COUNTIFS(E_Scorecard!$A$5:$A$95,C15,E_Scorecard!$L$5:$L$95,"&gt;=0")</f>
        <v>0</v>
      </c>
      <c r="F15" s="73" t="str">
        <f aca="false">IFERROR(INDEX(E_Scorecard!$C$5:$C$95,MATCH(C15&amp;"|1",E_Scorecard!$V$5:$V$95,0)),"—")</f>
        <v>—</v>
      </c>
      <c r="G15" s="65" t="str">
        <f aca="false">IFERROR(INDEX(E_Scorecard!$L$5:$L$95,MATCH(C15&amp;"|1",E_Scorecard!$V$5:$V$95,0)),"")</f>
        <v/>
      </c>
      <c r="H15" s="73" t="str">
        <f aca="false">IFERROR(INDEX(E_Scorecard!$T$5:$T$95,MATCH(C15&amp;"|1",E_Scorecard!$V$5:$V$95,0)),IF(E15&gt;0,"Not eligible","Not yet benchmarked"))</f>
        <v>Not yet benchmarked</v>
      </c>
      <c r="I15" s="16" t="str">
        <f aca="false">IF(H15="Tier 1 · Certified","Adopt "&amp;F15&amp;" solution as the Sol PE standard; stop parallel builds",IF(H15="Tier 2 · Conditional","Reuse "&amp;F15&amp;" solution with an improvement plan; re-benchmark next quarter",IF(H15="Tier 3 · Group-local","Group-local use only; merge efforts toward Tier 2",IF(H15="Tier 4 · Rework","Rework; merge efforts into the leading solution",IF(H15="Not eligible","No submission passes all gates; fix gates and resubmit","Register and benchmark submissions")))))</f>
        <v>Register and benchmark submissions</v>
      </c>
    </row>
    <row r="16" customFormat="false" ht="15" hidden="false" customHeight="false" outlineLevel="0" collapsed="false">
      <c r="A16" s="29" t="n">
        <v>3</v>
      </c>
      <c r="B16" s="16" t="s">
        <v>238</v>
      </c>
      <c r="C16" s="13" t="s">
        <v>246</v>
      </c>
      <c r="D16" s="14" t="s">
        <v>247</v>
      </c>
      <c r="E16" s="21" t="n">
        <f aca="false">COUNTIFS(E_Scorecard!$A$5:$A$95,C16,E_Scorecard!$L$5:$L$95,"&gt;=0")</f>
        <v>0</v>
      </c>
      <c r="F16" s="73" t="str">
        <f aca="false">IFERROR(INDEX(E_Scorecard!$C$5:$C$95,MATCH(C16&amp;"|1",E_Scorecard!$V$5:$V$95,0)),"—")</f>
        <v>—</v>
      </c>
      <c r="G16" s="65" t="str">
        <f aca="false">IFERROR(INDEX(E_Scorecard!$L$5:$L$95,MATCH(C16&amp;"|1",E_Scorecard!$V$5:$V$95,0)),"")</f>
        <v/>
      </c>
      <c r="H16" s="73" t="str">
        <f aca="false">IFERROR(INDEX(E_Scorecard!$T$5:$T$95,MATCH(C16&amp;"|1",E_Scorecard!$V$5:$V$95,0)),IF(E16&gt;0,"Not eligible","Not yet benchmarked"))</f>
        <v>Not yet benchmarked</v>
      </c>
      <c r="I16" s="16" t="str">
        <f aca="false">IF(H16="Tier 1 · Certified","Adopt "&amp;F16&amp;" solution as the Sol PE standard; stop parallel builds",IF(H16="Tier 2 · Conditional","Reuse "&amp;F16&amp;" solution with an improvement plan; re-benchmark next quarter",IF(H16="Tier 3 · Group-local","Group-local use only; merge efforts toward Tier 2",IF(H16="Tier 4 · Rework","Rework; merge efforts into the leading solution",IF(H16="Not eligible","No submission passes all gates; fix gates and resubmit","Register and benchmark submissions")))))</f>
        <v>Register and benchmark submissions</v>
      </c>
    </row>
    <row r="17" customFormat="false" ht="15" hidden="false" customHeight="false" outlineLevel="0" collapsed="false">
      <c r="A17" s="29" t="n">
        <v>3</v>
      </c>
      <c r="B17" s="16" t="s">
        <v>238</v>
      </c>
      <c r="C17" s="13" t="s">
        <v>253</v>
      </c>
      <c r="D17" s="14" t="s">
        <v>254</v>
      </c>
      <c r="E17" s="21" t="n">
        <f aca="false">COUNTIFS(E_Scorecard!$A$5:$A$95,C17,E_Scorecard!$L$5:$L$95,"&gt;=0")</f>
        <v>0</v>
      </c>
      <c r="F17" s="73" t="str">
        <f aca="false">IFERROR(INDEX(E_Scorecard!$C$5:$C$95,MATCH(C17&amp;"|1",E_Scorecard!$V$5:$V$95,0)),"—")</f>
        <v>—</v>
      </c>
      <c r="G17" s="65" t="str">
        <f aca="false">IFERROR(INDEX(E_Scorecard!$L$5:$L$95,MATCH(C17&amp;"|1",E_Scorecard!$V$5:$V$95,0)),"")</f>
        <v/>
      </c>
      <c r="H17" s="73" t="str">
        <f aca="false">IFERROR(INDEX(E_Scorecard!$T$5:$T$95,MATCH(C17&amp;"|1",E_Scorecard!$V$5:$V$95,0)),IF(E17&gt;0,"Not eligible","Not yet benchmarked"))</f>
        <v>Not yet benchmarked</v>
      </c>
      <c r="I17" s="16" t="str">
        <f aca="false">IF(H17="Tier 1 · Certified","Adopt "&amp;F17&amp;" solution as the Sol PE standard; stop parallel builds",IF(H17="Tier 2 · Conditional","Reuse "&amp;F17&amp;" solution with an improvement plan; re-benchmark next quarter",IF(H17="Tier 3 · Group-local","Group-local use only; merge efforts toward Tier 2",IF(H17="Tier 4 · Rework","Rework; merge efforts into the leading solution",IF(H17="Not eligible","No submission passes all gates; fix gates and resubmit","Register and benchmark submissions")))))</f>
        <v>Register and benchmark submissions</v>
      </c>
    </row>
    <row r="18" customFormat="false" ht="15" hidden="false" customHeight="false" outlineLevel="0" collapsed="false">
      <c r="A18" s="29" t="n">
        <v>3</v>
      </c>
      <c r="B18" s="16" t="s">
        <v>238</v>
      </c>
      <c r="C18" s="13" t="s">
        <v>260</v>
      </c>
      <c r="D18" s="14" t="s">
        <v>261</v>
      </c>
      <c r="E18" s="21" t="n">
        <f aca="false">COUNTIFS(E_Scorecard!$A$5:$A$95,C18,E_Scorecard!$L$5:$L$95,"&gt;=0")</f>
        <v>1</v>
      </c>
      <c r="F18" s="73" t="str">
        <f aca="false">IFERROR(INDEX(E_Scorecard!$C$5:$C$95,MATCH(C18&amp;"|1",E_Scorecard!$V$5:$V$95,0)),"—")</f>
        <v>—</v>
      </c>
      <c r="G18" s="65" t="str">
        <f aca="false">IFERROR(INDEX(E_Scorecard!$L$5:$L$95,MATCH(C18&amp;"|1",E_Scorecard!$V$5:$V$95,0)),"")</f>
        <v/>
      </c>
      <c r="H18" s="73" t="str">
        <f aca="false">IFERROR(INDEX(E_Scorecard!$T$5:$T$95,MATCH(C18&amp;"|1",E_Scorecard!$V$5:$V$95,0)),IF(E18&gt;0,"Not eligible","Not yet benchmarked"))</f>
        <v>Not eligible</v>
      </c>
      <c r="I18" s="16" t="str">
        <f aca="false">IF(H18="Tier 1 · Certified","Adopt "&amp;F18&amp;" solution as the Sol PE standard; stop parallel builds",IF(H18="Tier 2 · Conditional","Reuse "&amp;F18&amp;" solution with an improvement plan; re-benchmark next quarter",IF(H18="Tier 3 · Group-local","Group-local use only; merge efforts toward Tier 2",IF(H18="Tier 4 · Rework","Rework; merge efforts into the leading solution",IF(H18="Not eligible","No submission passes all gates; fix gates and resubmit","Register and benchmark submissions")))))</f>
        <v>No submission passes all gates; fix gates and resubmit</v>
      </c>
    </row>
    <row r="19" customFormat="false" ht="15" hidden="false" customHeight="false" outlineLevel="0" collapsed="false">
      <c r="A19" s="30" t="n">
        <v>4</v>
      </c>
      <c r="B19" s="16" t="s">
        <v>267</v>
      </c>
      <c r="C19" s="13" t="s">
        <v>268</v>
      </c>
      <c r="D19" s="14" t="s">
        <v>269</v>
      </c>
      <c r="E19" s="21" t="n">
        <f aca="false">COUNTIFS(E_Scorecard!$A$5:$A$95,C19,E_Scorecard!$L$5:$L$95,"&gt;=0")</f>
        <v>0</v>
      </c>
      <c r="F19" s="73" t="str">
        <f aca="false">IFERROR(INDEX(E_Scorecard!$C$5:$C$95,MATCH(C19&amp;"|1",E_Scorecard!$V$5:$V$95,0)),"—")</f>
        <v>—</v>
      </c>
      <c r="G19" s="65" t="str">
        <f aca="false">IFERROR(INDEX(E_Scorecard!$L$5:$L$95,MATCH(C19&amp;"|1",E_Scorecard!$V$5:$V$95,0)),"")</f>
        <v/>
      </c>
      <c r="H19" s="73" t="str">
        <f aca="false">IFERROR(INDEX(E_Scorecard!$T$5:$T$95,MATCH(C19&amp;"|1",E_Scorecard!$V$5:$V$95,0)),IF(E19&gt;0,"Not eligible","Not yet benchmarked"))</f>
        <v>Not yet benchmarked</v>
      </c>
      <c r="I19" s="16" t="str">
        <f aca="false">IF(H19="Tier 1 · Certified","Adopt "&amp;F19&amp;" solution as the Sol PE standard; stop parallel builds",IF(H19="Tier 2 · Conditional","Reuse "&amp;F19&amp;" solution with an improvement plan; re-benchmark next quarter",IF(H19="Tier 3 · Group-local","Group-local use only; merge efforts toward Tier 2",IF(H19="Tier 4 · Rework","Rework; merge efforts into the leading solution",IF(H19="Not eligible","No submission passes all gates; fix gates and resubmit","Register and benchmark submissions")))))</f>
        <v>Register and benchmark submissions</v>
      </c>
    </row>
    <row r="20" customFormat="false" ht="15" hidden="false" customHeight="false" outlineLevel="0" collapsed="false">
      <c r="A20" s="30" t="n">
        <v>4</v>
      </c>
      <c r="B20" s="16" t="s">
        <v>267</v>
      </c>
      <c r="C20" s="13" t="s">
        <v>276</v>
      </c>
      <c r="D20" s="14" t="s">
        <v>277</v>
      </c>
      <c r="E20" s="21" t="n">
        <f aca="false">COUNTIFS(E_Scorecard!$A$5:$A$95,C20,E_Scorecard!$L$5:$L$95,"&gt;=0")</f>
        <v>0</v>
      </c>
      <c r="F20" s="73" t="str">
        <f aca="false">IFERROR(INDEX(E_Scorecard!$C$5:$C$95,MATCH(C20&amp;"|1",E_Scorecard!$V$5:$V$95,0)),"—")</f>
        <v>—</v>
      </c>
      <c r="G20" s="65" t="str">
        <f aca="false">IFERROR(INDEX(E_Scorecard!$L$5:$L$95,MATCH(C20&amp;"|1",E_Scorecard!$V$5:$V$95,0)),"")</f>
        <v/>
      </c>
      <c r="H20" s="73" t="str">
        <f aca="false">IFERROR(INDEX(E_Scorecard!$T$5:$T$95,MATCH(C20&amp;"|1",E_Scorecard!$V$5:$V$95,0)),IF(E20&gt;0,"Not eligible","Not yet benchmarked"))</f>
        <v>Not yet benchmarked</v>
      </c>
      <c r="I20" s="16" t="str">
        <f aca="false">IF(H20="Tier 1 · Certified","Adopt "&amp;F20&amp;" solution as the Sol PE standard; stop parallel builds",IF(H20="Tier 2 · Conditional","Reuse "&amp;F20&amp;" solution with an improvement plan; re-benchmark next quarter",IF(H20="Tier 3 · Group-local","Group-local use only; merge efforts toward Tier 2",IF(H20="Tier 4 · Rework","Rework; merge efforts into the leading solution",IF(H20="Not eligible","No submission passes all gates; fix gates and resubmit","Register and benchmark submissions")))))</f>
        <v>Register and benchmark submissions</v>
      </c>
    </row>
    <row r="21" customFormat="false" ht="15" hidden="false" customHeight="false" outlineLevel="0" collapsed="false">
      <c r="A21" s="30" t="n">
        <v>4</v>
      </c>
      <c r="B21" s="16" t="s">
        <v>267</v>
      </c>
      <c r="C21" s="13" t="s">
        <v>284</v>
      </c>
      <c r="D21" s="14" t="s">
        <v>285</v>
      </c>
      <c r="E21" s="21" t="n">
        <f aca="false">COUNTIFS(E_Scorecard!$A$5:$A$95,C21,E_Scorecard!$L$5:$L$95,"&gt;=0")</f>
        <v>0</v>
      </c>
      <c r="F21" s="73" t="str">
        <f aca="false">IFERROR(INDEX(E_Scorecard!$C$5:$C$95,MATCH(C21&amp;"|1",E_Scorecard!$V$5:$V$95,0)),"—")</f>
        <v>—</v>
      </c>
      <c r="G21" s="65" t="str">
        <f aca="false">IFERROR(INDEX(E_Scorecard!$L$5:$L$95,MATCH(C21&amp;"|1",E_Scorecard!$V$5:$V$95,0)),"")</f>
        <v/>
      </c>
      <c r="H21" s="73" t="str">
        <f aca="false">IFERROR(INDEX(E_Scorecard!$T$5:$T$95,MATCH(C21&amp;"|1",E_Scorecard!$V$5:$V$95,0)),IF(E21&gt;0,"Not eligible","Not yet benchmarked"))</f>
        <v>Not yet benchmarked</v>
      </c>
      <c r="I21" s="16" t="str">
        <f aca="false">IF(H21="Tier 1 · Certified","Adopt "&amp;F21&amp;" solution as the Sol PE standard; stop parallel builds",IF(H21="Tier 2 · Conditional","Reuse "&amp;F21&amp;" solution with an improvement plan; re-benchmark next quarter",IF(H21="Tier 3 · Group-local","Group-local use only; merge efforts toward Tier 2",IF(H21="Tier 4 · Rework","Rework; merge efforts into the leading solution",IF(H21="Not eligible","No submission passes all gates; fix gates and resubmit","Register and benchmark submissions")))))</f>
        <v>Register and benchmark submissions</v>
      </c>
    </row>
    <row r="22" customFormat="false" ht="15" hidden="false" customHeight="false" outlineLevel="0" collapsed="false">
      <c r="A22" s="31" t="n">
        <v>5</v>
      </c>
      <c r="B22" s="16" t="s">
        <v>291</v>
      </c>
      <c r="C22" s="13" t="s">
        <v>292</v>
      </c>
      <c r="D22" s="14" t="s">
        <v>293</v>
      </c>
      <c r="E22" s="21" t="n">
        <f aca="false">COUNTIFS(E_Scorecard!$A$5:$A$95,C22,E_Scorecard!$L$5:$L$95,"&gt;=0")</f>
        <v>0</v>
      </c>
      <c r="F22" s="73" t="str">
        <f aca="false">IFERROR(INDEX(E_Scorecard!$C$5:$C$95,MATCH(C22&amp;"|1",E_Scorecard!$V$5:$V$95,0)),"—")</f>
        <v>—</v>
      </c>
      <c r="G22" s="65" t="str">
        <f aca="false">IFERROR(INDEX(E_Scorecard!$L$5:$L$95,MATCH(C22&amp;"|1",E_Scorecard!$V$5:$V$95,0)),"")</f>
        <v/>
      </c>
      <c r="H22" s="73" t="str">
        <f aca="false">IFERROR(INDEX(E_Scorecard!$T$5:$T$95,MATCH(C22&amp;"|1",E_Scorecard!$V$5:$V$95,0)),IF(E22&gt;0,"Not eligible","Not yet benchmarked"))</f>
        <v>Not yet benchmarked</v>
      </c>
      <c r="I22" s="16" t="str">
        <f aca="false">IF(H22="Tier 1 · Certified","Adopt "&amp;F22&amp;" solution as the Sol PE standard; stop parallel builds",IF(H22="Tier 2 · Conditional","Reuse "&amp;F22&amp;" solution with an improvement plan; re-benchmark next quarter",IF(H22="Tier 3 · Group-local","Group-local use only; merge efforts toward Tier 2",IF(H22="Tier 4 · Rework","Rework; merge efforts into the leading solution",IF(H22="Not eligible","No submission passes all gates; fix gates and resubmit","Register and benchmark submissions")))))</f>
        <v>Register and benchmark submissions</v>
      </c>
    </row>
    <row r="23" customFormat="false" ht="15" hidden="false" customHeight="false" outlineLevel="0" collapsed="false">
      <c r="A23" s="31" t="n">
        <v>5</v>
      </c>
      <c r="B23" s="16" t="s">
        <v>291</v>
      </c>
      <c r="C23" s="13" t="s">
        <v>299</v>
      </c>
      <c r="D23" s="14" t="s">
        <v>300</v>
      </c>
      <c r="E23" s="21" t="n">
        <f aca="false">COUNTIFS(E_Scorecard!$A$5:$A$95,C23,E_Scorecard!$L$5:$L$95,"&gt;=0")</f>
        <v>0</v>
      </c>
      <c r="F23" s="73" t="str">
        <f aca="false">IFERROR(INDEX(E_Scorecard!$C$5:$C$95,MATCH(C23&amp;"|1",E_Scorecard!$V$5:$V$95,0)),"—")</f>
        <v>—</v>
      </c>
      <c r="G23" s="65" t="str">
        <f aca="false">IFERROR(INDEX(E_Scorecard!$L$5:$L$95,MATCH(C23&amp;"|1",E_Scorecard!$V$5:$V$95,0)),"")</f>
        <v/>
      </c>
      <c r="H23" s="73" t="str">
        <f aca="false">IFERROR(INDEX(E_Scorecard!$T$5:$T$95,MATCH(C23&amp;"|1",E_Scorecard!$V$5:$V$95,0)),IF(E23&gt;0,"Not eligible","Not yet benchmarked"))</f>
        <v>Not yet benchmarked</v>
      </c>
      <c r="I23" s="16" t="str">
        <f aca="false">IF(H23="Tier 1 · Certified","Adopt "&amp;F23&amp;" solution as the Sol PE standard; stop parallel builds",IF(H23="Tier 2 · Conditional","Reuse "&amp;F23&amp;" solution with an improvement plan; re-benchmark next quarter",IF(H23="Tier 3 · Group-local","Group-local use only; merge efforts toward Tier 2",IF(H23="Tier 4 · Rework","Rework; merge efforts into the leading solution",IF(H23="Not eligible","No submission passes all gates; fix gates and resubmit","Register and benchmark submissions")))))</f>
        <v>Register and benchmark submissions</v>
      </c>
    </row>
    <row r="24" customFormat="false" ht="15" hidden="false" customHeight="false" outlineLevel="0" collapsed="false">
      <c r="A24" s="31" t="n">
        <v>5</v>
      </c>
      <c r="B24" s="16" t="s">
        <v>291</v>
      </c>
      <c r="C24" s="13" t="s">
        <v>305</v>
      </c>
      <c r="D24" s="14" t="s">
        <v>306</v>
      </c>
      <c r="E24" s="21" t="n">
        <f aca="false">COUNTIFS(E_Scorecard!$A$5:$A$95,C24,E_Scorecard!$L$5:$L$95,"&gt;=0")</f>
        <v>0</v>
      </c>
      <c r="F24" s="73" t="str">
        <f aca="false">IFERROR(INDEX(E_Scorecard!$C$5:$C$95,MATCH(C24&amp;"|1",E_Scorecard!$V$5:$V$95,0)),"—")</f>
        <v>—</v>
      </c>
      <c r="G24" s="65" t="str">
        <f aca="false">IFERROR(INDEX(E_Scorecard!$L$5:$L$95,MATCH(C24&amp;"|1",E_Scorecard!$V$5:$V$95,0)),"")</f>
        <v/>
      </c>
      <c r="H24" s="73" t="str">
        <f aca="false">IFERROR(INDEX(E_Scorecard!$T$5:$T$95,MATCH(C24&amp;"|1",E_Scorecard!$V$5:$V$95,0)),IF(E24&gt;0,"Not eligible","Not yet benchmarked"))</f>
        <v>Not yet benchmarked</v>
      </c>
      <c r="I24" s="16" t="str">
        <f aca="false">IF(H24="Tier 1 · Certified","Adopt "&amp;F24&amp;" solution as the Sol PE standard; stop parallel builds",IF(H24="Tier 2 · Conditional","Reuse "&amp;F24&amp;" solution with an improvement plan; re-benchmark next quarter",IF(H24="Tier 3 · Group-local","Group-local use only; merge efforts toward Tier 2",IF(H24="Tier 4 · Rework","Rework; merge efforts into the leading solution",IF(H24="Not eligible","No submission passes all gates; fix gates and resubmit","Register and benchmark submissions")))))</f>
        <v>Register and benchmark submissions</v>
      </c>
    </row>
    <row r="25" customFormat="false" ht="15" hidden="false" customHeight="false" outlineLevel="0" collapsed="false">
      <c r="A25" s="32" t="n">
        <v>6</v>
      </c>
      <c r="B25" s="16" t="s">
        <v>312</v>
      </c>
      <c r="C25" s="13" t="s">
        <v>313</v>
      </c>
      <c r="D25" s="14" t="s">
        <v>314</v>
      </c>
      <c r="E25" s="21" t="n">
        <f aca="false">COUNTIFS(E_Scorecard!$A$5:$A$95,C25,E_Scorecard!$L$5:$L$95,"&gt;=0")</f>
        <v>0</v>
      </c>
      <c r="F25" s="73" t="str">
        <f aca="false">IFERROR(INDEX(E_Scorecard!$C$5:$C$95,MATCH(C25&amp;"|1",E_Scorecard!$V$5:$V$95,0)),"—")</f>
        <v>—</v>
      </c>
      <c r="G25" s="65" t="str">
        <f aca="false">IFERROR(INDEX(E_Scorecard!$L$5:$L$95,MATCH(C25&amp;"|1",E_Scorecard!$V$5:$V$95,0)),"")</f>
        <v/>
      </c>
      <c r="H25" s="73" t="str">
        <f aca="false">IFERROR(INDEX(E_Scorecard!$T$5:$T$95,MATCH(C25&amp;"|1",E_Scorecard!$V$5:$V$95,0)),IF(E25&gt;0,"Not eligible","Not yet benchmarked"))</f>
        <v>Not yet benchmarked</v>
      </c>
      <c r="I25" s="16" t="str">
        <f aca="false">IF(H25="Tier 1 · Certified","Adopt "&amp;F25&amp;" solution as the Sol PE standard; stop parallel builds",IF(H25="Tier 2 · Conditional","Reuse "&amp;F25&amp;" solution with an improvement plan; re-benchmark next quarter",IF(H25="Tier 3 · Group-local","Group-local use only; merge efforts toward Tier 2",IF(H25="Tier 4 · Rework","Rework; merge efforts into the leading solution",IF(H25="Not eligible","No submission passes all gates; fix gates and resubmit","Register and benchmark submissions")))))</f>
        <v>Register and benchmark submissions</v>
      </c>
    </row>
    <row r="26" customFormat="false" ht="15" hidden="false" customHeight="false" outlineLevel="0" collapsed="false">
      <c r="A26" s="32" t="n">
        <v>6</v>
      </c>
      <c r="B26" s="16" t="s">
        <v>312</v>
      </c>
      <c r="C26" s="13" t="s">
        <v>321</v>
      </c>
      <c r="D26" s="14" t="s">
        <v>322</v>
      </c>
      <c r="E26" s="21" t="n">
        <f aca="false">COUNTIFS(E_Scorecard!$A$5:$A$95,C26,E_Scorecard!$L$5:$L$95,"&gt;=0")</f>
        <v>0</v>
      </c>
      <c r="F26" s="73" t="str">
        <f aca="false">IFERROR(INDEX(E_Scorecard!$C$5:$C$95,MATCH(C26&amp;"|1",E_Scorecard!$V$5:$V$95,0)),"—")</f>
        <v>—</v>
      </c>
      <c r="G26" s="65" t="str">
        <f aca="false">IFERROR(INDEX(E_Scorecard!$L$5:$L$95,MATCH(C26&amp;"|1",E_Scorecard!$V$5:$V$95,0)),"")</f>
        <v/>
      </c>
      <c r="H26" s="73" t="str">
        <f aca="false">IFERROR(INDEX(E_Scorecard!$T$5:$T$95,MATCH(C26&amp;"|1",E_Scorecard!$V$5:$V$95,0)),IF(E26&gt;0,"Not eligible","Not yet benchmarked"))</f>
        <v>Not yet benchmarked</v>
      </c>
      <c r="I26" s="16" t="str">
        <f aca="false">IF(H26="Tier 1 · Certified","Adopt "&amp;F26&amp;" solution as the Sol PE standard; stop parallel builds",IF(H26="Tier 2 · Conditional","Reuse "&amp;F26&amp;" solution with an improvement plan; re-benchmark next quarter",IF(H26="Tier 3 · Group-local","Group-local use only; merge efforts toward Tier 2",IF(H26="Tier 4 · Rework","Rework; merge efforts into the leading solution",IF(H26="Not eligible","No submission passes all gates; fix gates and resubmit","Register and benchmark submissions")))))</f>
        <v>Register and benchmark submissions</v>
      </c>
    </row>
    <row r="27" customFormat="false" ht="15" hidden="false" customHeight="false" outlineLevel="0" collapsed="false">
      <c r="A27" s="32" t="n">
        <v>6</v>
      </c>
      <c r="B27" s="16" t="s">
        <v>312</v>
      </c>
      <c r="C27" s="13" t="s">
        <v>328</v>
      </c>
      <c r="D27" s="14" t="s">
        <v>329</v>
      </c>
      <c r="E27" s="21" t="n">
        <f aca="false">COUNTIFS(E_Scorecard!$A$5:$A$95,C27,E_Scorecard!$L$5:$L$95,"&gt;=0")</f>
        <v>0</v>
      </c>
      <c r="F27" s="73" t="str">
        <f aca="false">IFERROR(INDEX(E_Scorecard!$C$5:$C$95,MATCH(C27&amp;"|1",E_Scorecard!$V$5:$V$95,0)),"—")</f>
        <v>—</v>
      </c>
      <c r="G27" s="65" t="str">
        <f aca="false">IFERROR(INDEX(E_Scorecard!$L$5:$L$95,MATCH(C27&amp;"|1",E_Scorecard!$V$5:$V$95,0)),"")</f>
        <v/>
      </c>
      <c r="H27" s="73" t="str">
        <f aca="false">IFERROR(INDEX(E_Scorecard!$T$5:$T$95,MATCH(C27&amp;"|1",E_Scorecard!$V$5:$V$95,0)),IF(E27&gt;0,"Not eligible","Not yet benchmarked"))</f>
        <v>Not yet benchmarked</v>
      </c>
      <c r="I27" s="16" t="str">
        <f aca="false">IF(H27="Tier 1 · Certified","Adopt "&amp;F27&amp;" solution as the Sol PE standard; stop parallel builds",IF(H27="Tier 2 · Conditional","Reuse "&amp;F27&amp;" solution with an improvement plan; re-benchmark next quarter",IF(H27="Tier 3 · Group-local","Group-local use only; merge efforts toward Tier 2",IF(H27="Tier 4 · Rework","Rework; merge efforts into the leading solution",IF(H27="Not eligible","No submission passes all gates; fix gates and resubmit","Register and benchmark submissions")))))</f>
        <v>Register and benchmark submissions</v>
      </c>
    </row>
    <row r="28" customFormat="false" ht="15" hidden="false" customHeight="false" outlineLevel="0" collapsed="false">
      <c r="A28" s="33" t="n">
        <v>7</v>
      </c>
      <c r="B28" s="16" t="s">
        <v>335</v>
      </c>
      <c r="C28" s="13" t="s">
        <v>336</v>
      </c>
      <c r="D28" s="14" t="s">
        <v>337</v>
      </c>
      <c r="E28" s="21" t="n">
        <f aca="false">COUNTIFS(E_Scorecard!$A$5:$A$95,C28,E_Scorecard!$L$5:$L$95,"&gt;=0")</f>
        <v>0</v>
      </c>
      <c r="F28" s="73" t="str">
        <f aca="false">IFERROR(INDEX(E_Scorecard!$C$5:$C$95,MATCH(C28&amp;"|1",E_Scorecard!$V$5:$V$95,0)),"—")</f>
        <v>—</v>
      </c>
      <c r="G28" s="65" t="str">
        <f aca="false">IFERROR(INDEX(E_Scorecard!$L$5:$L$95,MATCH(C28&amp;"|1",E_Scorecard!$V$5:$V$95,0)),"")</f>
        <v/>
      </c>
      <c r="H28" s="73" t="str">
        <f aca="false">IFERROR(INDEX(E_Scorecard!$T$5:$T$95,MATCH(C28&amp;"|1",E_Scorecard!$V$5:$V$95,0)),IF(E28&gt;0,"Not eligible","Not yet benchmarked"))</f>
        <v>Not yet benchmarked</v>
      </c>
      <c r="I28" s="16" t="str">
        <f aca="false">IF(H28="Tier 1 · Certified","Adopt "&amp;F28&amp;" solution as the Sol PE standard; stop parallel builds",IF(H28="Tier 2 · Conditional","Reuse "&amp;F28&amp;" solution with an improvement plan; re-benchmark next quarter",IF(H28="Tier 3 · Group-local","Group-local use only; merge efforts toward Tier 2",IF(H28="Tier 4 · Rework","Rework; merge efforts into the leading solution",IF(H28="Not eligible","No submission passes all gates; fix gates and resubmit","Register and benchmark submissions")))))</f>
        <v>Register and benchmark submissions</v>
      </c>
    </row>
    <row r="29" customFormat="false" ht="15" hidden="false" customHeight="false" outlineLevel="0" collapsed="false">
      <c r="A29" s="33" t="n">
        <v>7</v>
      </c>
      <c r="B29" s="16" t="s">
        <v>335</v>
      </c>
      <c r="C29" s="13" t="s">
        <v>342</v>
      </c>
      <c r="D29" s="14" t="s">
        <v>343</v>
      </c>
      <c r="E29" s="21" t="n">
        <f aca="false">COUNTIFS(E_Scorecard!$A$5:$A$95,C29,E_Scorecard!$L$5:$L$95,"&gt;=0")</f>
        <v>0</v>
      </c>
      <c r="F29" s="73" t="str">
        <f aca="false">IFERROR(INDEX(E_Scorecard!$C$5:$C$95,MATCH(C29&amp;"|1",E_Scorecard!$V$5:$V$95,0)),"—")</f>
        <v>—</v>
      </c>
      <c r="G29" s="65" t="str">
        <f aca="false">IFERROR(INDEX(E_Scorecard!$L$5:$L$95,MATCH(C29&amp;"|1",E_Scorecard!$V$5:$V$95,0)),"")</f>
        <v/>
      </c>
      <c r="H29" s="73" t="str">
        <f aca="false">IFERROR(INDEX(E_Scorecard!$T$5:$T$95,MATCH(C29&amp;"|1",E_Scorecard!$V$5:$V$95,0)),IF(E29&gt;0,"Not eligible","Not yet benchmarked"))</f>
        <v>Not yet benchmarked</v>
      </c>
      <c r="I29" s="16" t="str">
        <f aca="false">IF(H29="Tier 1 · Certified","Adopt "&amp;F29&amp;" solution as the Sol PE standard; stop parallel builds",IF(H29="Tier 2 · Conditional","Reuse "&amp;F29&amp;" solution with an improvement plan; re-benchmark next quarter",IF(H29="Tier 3 · Group-local","Group-local use only; merge efforts toward Tier 2",IF(H29="Tier 4 · Rework","Rework; merge efforts into the leading solution",IF(H29="Not eligible","No submission passes all gates; fix gates and resubmit","Register and benchmark submissions")))))</f>
        <v>Register and benchmark submissions</v>
      </c>
    </row>
    <row r="30" customFormat="false" ht="15" hidden="false" customHeight="false" outlineLevel="0" collapsed="false">
      <c r="A30" s="33" t="n">
        <v>7</v>
      </c>
      <c r="B30" s="16" t="s">
        <v>335</v>
      </c>
      <c r="C30" s="13" t="s">
        <v>348</v>
      </c>
      <c r="D30" s="14" t="s">
        <v>349</v>
      </c>
      <c r="E30" s="21" t="n">
        <f aca="false">COUNTIFS(E_Scorecard!$A$5:$A$95,C30,E_Scorecard!$L$5:$L$95,"&gt;=0")</f>
        <v>0</v>
      </c>
      <c r="F30" s="73" t="str">
        <f aca="false">IFERROR(INDEX(E_Scorecard!$C$5:$C$95,MATCH(C30&amp;"|1",E_Scorecard!$V$5:$V$95,0)),"—")</f>
        <v>—</v>
      </c>
      <c r="G30" s="65" t="str">
        <f aca="false">IFERROR(INDEX(E_Scorecard!$L$5:$L$95,MATCH(C30&amp;"|1",E_Scorecard!$V$5:$V$95,0)),"")</f>
        <v/>
      </c>
      <c r="H30" s="73" t="str">
        <f aca="false">IFERROR(INDEX(E_Scorecard!$T$5:$T$95,MATCH(C30&amp;"|1",E_Scorecard!$V$5:$V$95,0)),IF(E30&gt;0,"Not eligible","Not yet benchmarked"))</f>
        <v>Not yet benchmarked</v>
      </c>
      <c r="I30" s="16" t="str">
        <f aca="false">IF(H30="Tier 1 · Certified","Adopt "&amp;F30&amp;" solution as the Sol PE standard; stop parallel builds",IF(H30="Tier 2 · Conditional","Reuse "&amp;F30&amp;" solution with an improvement plan; re-benchmark next quarter",IF(H30="Tier 3 · Group-local","Group-local use only; merge efforts toward Tier 2",IF(H30="Tier 4 · Rework","Rework; merge efforts into the leading solution",IF(H30="Not eligible","No submission passes all gates; fix gates and resubmit","Register and benchmark submissions")))))</f>
        <v>Register and benchmark submissions</v>
      </c>
    </row>
    <row r="31" customFormat="false" ht="15" hidden="false" customHeight="false" outlineLevel="0" collapsed="false">
      <c r="A31" s="34" t="n">
        <v>8</v>
      </c>
      <c r="B31" s="16" t="s">
        <v>355</v>
      </c>
      <c r="C31" s="13" t="s">
        <v>356</v>
      </c>
      <c r="D31" s="14" t="s">
        <v>357</v>
      </c>
      <c r="E31" s="21" t="n">
        <f aca="false">COUNTIFS(E_Scorecard!$A$5:$A$95,C31,E_Scorecard!$L$5:$L$95,"&gt;=0")</f>
        <v>0</v>
      </c>
      <c r="F31" s="73" t="str">
        <f aca="false">IFERROR(INDEX(E_Scorecard!$C$5:$C$95,MATCH(C31&amp;"|1",E_Scorecard!$V$5:$V$95,0)),"—")</f>
        <v>—</v>
      </c>
      <c r="G31" s="65" t="str">
        <f aca="false">IFERROR(INDEX(E_Scorecard!$L$5:$L$95,MATCH(C31&amp;"|1",E_Scorecard!$V$5:$V$95,0)),"")</f>
        <v/>
      </c>
      <c r="H31" s="73" t="str">
        <f aca="false">IFERROR(INDEX(E_Scorecard!$T$5:$T$95,MATCH(C31&amp;"|1",E_Scorecard!$V$5:$V$95,0)),IF(E31&gt;0,"Not eligible","Not yet benchmarked"))</f>
        <v>Not yet benchmarked</v>
      </c>
      <c r="I31" s="16" t="str">
        <f aca="false">IF(H31="Tier 1 · Certified","Adopt "&amp;F31&amp;" solution as the Sol PE standard; stop parallel builds",IF(H31="Tier 2 · Conditional","Reuse "&amp;F31&amp;" solution with an improvement plan; re-benchmark next quarter",IF(H31="Tier 3 · Group-local","Group-local use only; merge efforts toward Tier 2",IF(H31="Tier 4 · Rework","Rework; merge efforts into the leading solution",IF(H31="Not eligible","No submission passes all gates; fix gates and resubmit","Register and benchmark submissions")))))</f>
        <v>Register and benchmark submissions</v>
      </c>
    </row>
    <row r="32" customFormat="false" ht="15" hidden="false" customHeight="false" outlineLevel="0" collapsed="false">
      <c r="A32" s="34" t="n">
        <v>8</v>
      </c>
      <c r="B32" s="16" t="s">
        <v>355</v>
      </c>
      <c r="C32" s="13" t="s">
        <v>362</v>
      </c>
      <c r="D32" s="14" t="s">
        <v>363</v>
      </c>
      <c r="E32" s="21" t="n">
        <f aca="false">COUNTIFS(E_Scorecard!$A$5:$A$95,C32,E_Scorecard!$L$5:$L$95,"&gt;=0")</f>
        <v>0</v>
      </c>
      <c r="F32" s="73" t="str">
        <f aca="false">IFERROR(INDEX(E_Scorecard!$C$5:$C$95,MATCH(C32&amp;"|1",E_Scorecard!$V$5:$V$95,0)),"—")</f>
        <v>—</v>
      </c>
      <c r="G32" s="65" t="str">
        <f aca="false">IFERROR(INDEX(E_Scorecard!$L$5:$L$95,MATCH(C32&amp;"|1",E_Scorecard!$V$5:$V$95,0)),"")</f>
        <v/>
      </c>
      <c r="H32" s="73" t="str">
        <f aca="false">IFERROR(INDEX(E_Scorecard!$T$5:$T$95,MATCH(C32&amp;"|1",E_Scorecard!$V$5:$V$95,0)),IF(E32&gt;0,"Not eligible","Not yet benchmarked"))</f>
        <v>Not yet benchmarked</v>
      </c>
      <c r="I32" s="16" t="str">
        <f aca="false">IF(H32="Tier 1 · Certified","Adopt "&amp;F32&amp;" solution as the Sol PE standard; stop parallel builds",IF(H32="Tier 2 · Conditional","Reuse "&amp;F32&amp;" solution with an improvement plan; re-benchmark next quarter",IF(H32="Tier 3 · Group-local","Group-local use only; merge efforts toward Tier 2",IF(H32="Tier 4 · Rework","Rework; merge efforts into the leading solution",IF(H32="Not eligible","No submission passes all gates; fix gates and resubmit","Register and benchmark submissions")))))</f>
        <v>Register and benchmark submissions</v>
      </c>
    </row>
    <row r="33" customFormat="false" ht="15" hidden="false" customHeight="false" outlineLevel="0" collapsed="false">
      <c r="A33" s="34" t="n">
        <v>8</v>
      </c>
      <c r="B33" s="16" t="s">
        <v>355</v>
      </c>
      <c r="C33" s="13" t="s">
        <v>369</v>
      </c>
      <c r="D33" s="14" t="s">
        <v>370</v>
      </c>
      <c r="E33" s="21" t="n">
        <f aca="false">COUNTIFS(E_Scorecard!$A$5:$A$95,C33,E_Scorecard!$L$5:$L$95,"&gt;=0")</f>
        <v>0</v>
      </c>
      <c r="F33" s="73" t="str">
        <f aca="false">IFERROR(INDEX(E_Scorecard!$C$5:$C$95,MATCH(C33&amp;"|1",E_Scorecard!$V$5:$V$95,0)),"—")</f>
        <v>—</v>
      </c>
      <c r="G33" s="65" t="str">
        <f aca="false">IFERROR(INDEX(E_Scorecard!$L$5:$L$95,MATCH(C33&amp;"|1",E_Scorecard!$V$5:$V$95,0)),"")</f>
        <v/>
      </c>
      <c r="H33" s="73" t="str">
        <f aca="false">IFERROR(INDEX(E_Scorecard!$T$5:$T$95,MATCH(C33&amp;"|1",E_Scorecard!$V$5:$V$95,0)),IF(E33&gt;0,"Not eligible","Not yet benchmarked"))</f>
        <v>Not yet benchmarked</v>
      </c>
      <c r="I33" s="16" t="str">
        <f aca="false">IF(H33="Tier 1 · Certified","Adopt "&amp;F33&amp;" solution as the Sol PE standard; stop parallel builds",IF(H33="Tier 2 · Conditional","Reuse "&amp;F33&amp;" solution with an improvement plan; re-benchmark next quarter",IF(H33="Tier 3 · Group-local","Group-local use only; merge efforts toward Tier 2",IF(H33="Tier 4 · Rework","Rework; merge efforts into the leading solution",IF(H33="Not eligible","No submission passes all gates; fix gates and resubmit","Register and benchmark submissions")))))</f>
        <v>Register and benchmark submissions</v>
      </c>
    </row>
    <row r="34" customFormat="false" ht="15" hidden="false" customHeight="false" outlineLevel="0" collapsed="false">
      <c r="A34" s="35" t="n">
        <v>9</v>
      </c>
      <c r="B34" s="16" t="s">
        <v>375</v>
      </c>
      <c r="C34" s="13" t="s">
        <v>376</v>
      </c>
      <c r="D34" s="14" t="s">
        <v>377</v>
      </c>
      <c r="E34" s="21" t="n">
        <f aca="false">COUNTIFS(E_Scorecard!$A$5:$A$95,C34,E_Scorecard!$L$5:$L$95,"&gt;=0")</f>
        <v>0</v>
      </c>
      <c r="F34" s="73" t="str">
        <f aca="false">IFERROR(INDEX(E_Scorecard!$C$5:$C$95,MATCH(C34&amp;"|1",E_Scorecard!$V$5:$V$95,0)),"—")</f>
        <v>—</v>
      </c>
      <c r="G34" s="65" t="str">
        <f aca="false">IFERROR(INDEX(E_Scorecard!$L$5:$L$95,MATCH(C34&amp;"|1",E_Scorecard!$V$5:$V$95,0)),"")</f>
        <v/>
      </c>
      <c r="H34" s="73" t="str">
        <f aca="false">IFERROR(INDEX(E_Scorecard!$T$5:$T$95,MATCH(C34&amp;"|1",E_Scorecard!$V$5:$V$95,0)),IF(E34&gt;0,"Not eligible","Not yet benchmarked"))</f>
        <v>Not yet benchmarked</v>
      </c>
      <c r="I34" s="16" t="str">
        <f aca="false">IF(H34="Tier 1 · Certified","Adopt "&amp;F34&amp;" solution as the Sol PE standard; stop parallel builds",IF(H34="Tier 2 · Conditional","Reuse "&amp;F34&amp;" solution with an improvement plan; re-benchmark next quarter",IF(H34="Tier 3 · Group-local","Group-local use only; merge efforts toward Tier 2",IF(H34="Tier 4 · Rework","Rework; merge efforts into the leading solution",IF(H34="Not eligible","No submission passes all gates; fix gates and resubmit","Register and benchmark submissions")))))</f>
        <v>Register and benchmark submissions</v>
      </c>
    </row>
    <row r="35" customFormat="false" ht="15" hidden="false" customHeight="false" outlineLevel="0" collapsed="false">
      <c r="A35" s="35" t="n">
        <v>9</v>
      </c>
      <c r="B35" s="16" t="s">
        <v>375</v>
      </c>
      <c r="C35" s="13" t="s">
        <v>383</v>
      </c>
      <c r="D35" s="14" t="s">
        <v>384</v>
      </c>
      <c r="E35" s="21" t="n">
        <f aca="false">COUNTIFS(E_Scorecard!$A$5:$A$95,C35,E_Scorecard!$L$5:$L$95,"&gt;=0")</f>
        <v>0</v>
      </c>
      <c r="F35" s="73" t="str">
        <f aca="false">IFERROR(INDEX(E_Scorecard!$C$5:$C$95,MATCH(C35&amp;"|1",E_Scorecard!$V$5:$V$95,0)),"—")</f>
        <v>—</v>
      </c>
      <c r="G35" s="65" t="str">
        <f aca="false">IFERROR(INDEX(E_Scorecard!$L$5:$L$95,MATCH(C35&amp;"|1",E_Scorecard!$V$5:$V$95,0)),"")</f>
        <v/>
      </c>
      <c r="H35" s="73" t="str">
        <f aca="false">IFERROR(INDEX(E_Scorecard!$T$5:$T$95,MATCH(C35&amp;"|1",E_Scorecard!$V$5:$V$95,0)),IF(E35&gt;0,"Not eligible","Not yet benchmarked"))</f>
        <v>Not yet benchmarked</v>
      </c>
      <c r="I35" s="16" t="str">
        <f aca="false">IF(H35="Tier 1 · Certified","Adopt "&amp;F35&amp;" solution as the Sol PE standard; stop parallel builds",IF(H35="Tier 2 · Conditional","Reuse "&amp;F35&amp;" solution with an improvement plan; re-benchmark next quarter",IF(H35="Tier 3 · Group-local","Group-local use only; merge efforts toward Tier 2",IF(H35="Tier 4 · Rework","Rework; merge efforts into the leading solution",IF(H35="Not eligible","No submission passes all gates; fix gates and resubmit","Register and benchmark submissions")))))</f>
        <v>Register and benchmark submissions</v>
      </c>
    </row>
    <row r="36" customFormat="false" ht="15" hidden="false" customHeight="false" outlineLevel="0" collapsed="false">
      <c r="A36" s="35" t="n">
        <v>9</v>
      </c>
      <c r="B36" s="16" t="s">
        <v>375</v>
      </c>
      <c r="C36" s="13" t="s">
        <v>389</v>
      </c>
      <c r="D36" s="14" t="s">
        <v>390</v>
      </c>
      <c r="E36" s="21" t="n">
        <f aca="false">COUNTIFS(E_Scorecard!$A$5:$A$95,C36,E_Scorecard!$L$5:$L$95,"&gt;=0")</f>
        <v>0</v>
      </c>
      <c r="F36" s="73" t="str">
        <f aca="false">IFERROR(INDEX(E_Scorecard!$C$5:$C$95,MATCH(C36&amp;"|1",E_Scorecard!$V$5:$V$95,0)),"—")</f>
        <v>—</v>
      </c>
      <c r="G36" s="65" t="str">
        <f aca="false">IFERROR(INDEX(E_Scorecard!$L$5:$L$95,MATCH(C36&amp;"|1",E_Scorecard!$V$5:$V$95,0)),"")</f>
        <v/>
      </c>
      <c r="H36" s="73" t="str">
        <f aca="false">IFERROR(INDEX(E_Scorecard!$T$5:$T$95,MATCH(C36&amp;"|1",E_Scorecard!$V$5:$V$95,0)),IF(E36&gt;0,"Not eligible","Not yet benchmarked"))</f>
        <v>Not yet benchmarked</v>
      </c>
      <c r="I36" s="16" t="str">
        <f aca="false">IF(H36="Tier 1 · Certified","Adopt "&amp;F36&amp;" solution as the Sol PE standard; stop parallel builds",IF(H36="Tier 2 · Conditional","Reuse "&amp;F36&amp;" solution with an improvement plan; re-benchmark next quarter",IF(H36="Tier 3 · Group-local","Group-local use only; merge efforts toward Tier 2",IF(H36="Tier 4 · Rework","Rework; merge efforts into the leading solution",IF(H36="Not eligible","No submission passes all gates; fix gates and resubmit","Register and benchmark submissions")))))</f>
        <v>Register and benchmark submissions</v>
      </c>
    </row>
    <row r="37" customFormat="false" ht="23.85" hidden="false" customHeight="false" outlineLevel="0" collapsed="false">
      <c r="A37" s="36" t="n">
        <v>10</v>
      </c>
      <c r="B37" s="16" t="s">
        <v>395</v>
      </c>
      <c r="C37" s="13" t="s">
        <v>396</v>
      </c>
      <c r="D37" s="14" t="s">
        <v>397</v>
      </c>
      <c r="E37" s="21" t="n">
        <f aca="false">COUNTIFS(E_Scorecard!$A$5:$A$95,C37,E_Scorecard!$L$5:$L$95,"&gt;=0")</f>
        <v>0</v>
      </c>
      <c r="F37" s="73" t="str">
        <f aca="false">IFERROR(INDEX(E_Scorecard!$C$5:$C$95,MATCH(C37&amp;"|1",E_Scorecard!$V$5:$V$95,0)),"—")</f>
        <v>—</v>
      </c>
      <c r="G37" s="65" t="str">
        <f aca="false">IFERROR(INDEX(E_Scorecard!$L$5:$L$95,MATCH(C37&amp;"|1",E_Scorecard!$V$5:$V$95,0)),"")</f>
        <v/>
      </c>
      <c r="H37" s="73" t="str">
        <f aca="false">IFERROR(INDEX(E_Scorecard!$T$5:$T$95,MATCH(C37&amp;"|1",E_Scorecard!$V$5:$V$95,0)),IF(E37&gt;0,"Not eligible","Not yet benchmarked"))</f>
        <v>Not yet benchmarked</v>
      </c>
      <c r="I37" s="16" t="str">
        <f aca="false">IF(H37="Tier 1 · Certified","Adopt "&amp;F37&amp;" solution as the Sol PE standard; stop parallel builds",IF(H37="Tier 2 · Conditional","Reuse "&amp;F37&amp;" solution with an improvement plan; re-benchmark next quarter",IF(H37="Tier 3 · Group-local","Group-local use only; merge efforts toward Tier 2",IF(H37="Tier 4 · Rework","Rework; merge efforts into the leading solution",IF(H37="Not eligible","No submission passes all gates; fix gates and resubmit","Register and benchmark submissions")))))</f>
        <v>Register and benchmark submissions</v>
      </c>
    </row>
    <row r="38" customFormat="false" ht="23.85" hidden="false" customHeight="false" outlineLevel="0" collapsed="false">
      <c r="A38" s="36" t="n">
        <v>10</v>
      </c>
      <c r="B38" s="16" t="s">
        <v>395</v>
      </c>
      <c r="C38" s="13" t="s">
        <v>402</v>
      </c>
      <c r="D38" s="14" t="s">
        <v>403</v>
      </c>
      <c r="E38" s="21" t="n">
        <f aca="false">COUNTIFS(E_Scorecard!$A$5:$A$95,C38,E_Scorecard!$L$5:$L$95,"&gt;=0")</f>
        <v>0</v>
      </c>
      <c r="F38" s="73" t="str">
        <f aca="false">IFERROR(INDEX(E_Scorecard!$C$5:$C$95,MATCH(C38&amp;"|1",E_Scorecard!$V$5:$V$95,0)),"—")</f>
        <v>—</v>
      </c>
      <c r="G38" s="65" t="str">
        <f aca="false">IFERROR(INDEX(E_Scorecard!$L$5:$L$95,MATCH(C38&amp;"|1",E_Scorecard!$V$5:$V$95,0)),"")</f>
        <v/>
      </c>
      <c r="H38" s="73" t="str">
        <f aca="false">IFERROR(INDEX(E_Scorecard!$T$5:$T$95,MATCH(C38&amp;"|1",E_Scorecard!$V$5:$V$95,0)),IF(E38&gt;0,"Not eligible","Not yet benchmarked"))</f>
        <v>Not yet benchmarked</v>
      </c>
      <c r="I38" s="16" t="str">
        <f aca="false">IF(H38="Tier 1 · Certified","Adopt "&amp;F38&amp;" solution as the Sol PE standard; stop parallel builds",IF(H38="Tier 2 · Conditional","Reuse "&amp;F38&amp;" solution with an improvement plan; re-benchmark next quarter",IF(H38="Tier 3 · Group-local","Group-local use only; merge efforts toward Tier 2",IF(H38="Tier 4 · Rework","Rework; merge efforts into the leading solution",IF(H38="Not eligible","No submission passes all gates; fix gates and resubmit","Register and benchmark submissions")))))</f>
        <v>Register and benchmark submissions</v>
      </c>
    </row>
    <row r="39" customFormat="false" ht="23.85" hidden="false" customHeight="false" outlineLevel="0" collapsed="false">
      <c r="A39" s="36" t="n">
        <v>10</v>
      </c>
      <c r="B39" s="16" t="s">
        <v>395</v>
      </c>
      <c r="C39" s="13" t="s">
        <v>408</v>
      </c>
      <c r="D39" s="14" t="s">
        <v>409</v>
      </c>
      <c r="E39" s="21" t="n">
        <f aca="false">COUNTIFS(E_Scorecard!$A$5:$A$95,C39,E_Scorecard!$L$5:$L$95,"&gt;=0")</f>
        <v>0</v>
      </c>
      <c r="F39" s="73" t="str">
        <f aca="false">IFERROR(INDEX(E_Scorecard!$C$5:$C$95,MATCH(C39&amp;"|1",E_Scorecard!$V$5:$V$95,0)),"—")</f>
        <v>—</v>
      </c>
      <c r="G39" s="65" t="str">
        <f aca="false">IFERROR(INDEX(E_Scorecard!$L$5:$L$95,MATCH(C39&amp;"|1",E_Scorecard!$V$5:$V$95,0)),"")</f>
        <v/>
      </c>
      <c r="H39" s="73" t="str">
        <f aca="false">IFERROR(INDEX(E_Scorecard!$T$5:$T$95,MATCH(C39&amp;"|1",E_Scorecard!$V$5:$V$95,0)),IF(E39&gt;0,"Not eligible","Not yet benchmarked"))</f>
        <v>Not yet benchmarked</v>
      </c>
      <c r="I39" s="16" t="str">
        <f aca="false">IF(H39="Tier 1 · Certified","Adopt "&amp;F39&amp;" solution as the Sol PE standard; stop parallel builds",IF(H39="Tier 2 · Conditional","Reuse "&amp;F39&amp;" solution with an improvement plan; re-benchmark next quarter",IF(H39="Tier 3 · Group-local","Group-local use only; merge efforts toward Tier 2",IF(H39="Tier 4 · Rework","Rework; merge efforts into the leading solution",IF(H39="Not eligible","No submission passes all gates; fix gates and resubmit","Register and benchmark submissions")))))</f>
        <v>Register and benchmark submissions</v>
      </c>
    </row>
  </sheetData>
  <conditionalFormatting sqref="H9:H39">
    <cfRule type="cellIs" priority="2" operator="equal" aboveAverage="0" equalAverage="0" bottom="0" percent="0" rank="0" text="" dxfId="21">
      <formula>"Tier 1 · Certified"</formula>
    </cfRule>
    <cfRule type="cellIs" priority="3" operator="equal" aboveAverage="0" equalAverage="0" bottom="0" percent="0" rank="0" text="" dxfId="25">
      <formula>"Tier 2 · Conditional"</formula>
    </cfRule>
    <cfRule type="cellIs" priority="4" operator="equal" aboveAverage="0" equalAverage="0" bottom="0" percent="0" rank="0" text="" dxfId="26">
      <formula>"Tier 3 · Group-local"</formula>
    </cfRule>
    <cfRule type="cellIs" priority="5" operator="equal" aboveAverage="0" equalAverage="0" bottom="0" percent="0" rank="0" text="" dxfId="27">
      <formula>"Tier 4 · Rework"</formula>
    </cfRule>
    <cfRule type="cellIs" priority="6" operator="equal" aboveAverage="0" equalAverage="0" bottom="0" percent="0" rank="0" text="" dxfId="20">
      <formula>"Not eligible"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2026-09-30T01:35:13Z</dcterms:created>
  <dc:creator>openpyxl</dc:creator>
  <dc:description/>
  <dc:language>en-US</dc:language>
  <cp:lastModifiedBy/>
  <dcterms:modified xsi:type="dcterms:W3CDTF">2026-09-30T01:35:15Z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