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_Summary" sheetId="1" state="visible" r:id="rId3"/>
    <sheet name="A_Scoring_Model" sheetId="2" state="visible" r:id="rId4"/>
    <sheet name="B_Process_Readiness" sheetId="3" state="visible" r:id="rId5"/>
    <sheet name="C_Capability_Profile" sheetId="4" state="visible" r:id="rId6"/>
    <sheet name="C_KPI_Evaluation" sheetId="5" state="visible" r:id="rId7"/>
    <sheet name="D_Shared_Services" sheetId="6" state="visible" r:id="rId8"/>
    <sheet name="E_Scorecard" sheetId="7" state="visible" r:id="rId9"/>
    <sheet name="E_Gaps_Actions" sheetId="8" state="visible" r:id="rId10"/>
    <sheet name="G_Tier1_Roadmap" sheetId="9" state="visible" r:id="rId11"/>
    <sheet name="F_Evidence_Log" sheetId="10" state="visible" r:id="rId12"/>
  </sheets>
  <definedNames>
    <definedName function="false" hidden="true" localSheetId="4" name="_xlnm._FilterDatabase" vbProcedure="false">C_KPI_Evaluation!$A$4:$R$38</definedName>
    <definedName function="false" hidden="true" localSheetId="7" name="_xlnm._FilterDatabase" vbProcedure="false">E_Gaps_Actions!$A$4:$H$18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<sst xmlns="http://schemas.openxmlformats.org/spreadsheetml/2006/main" count="971" uniqueCount="582">
  <si>
    <t xml:space="preserve">Review Shield — evaluation against the L3 Agent benchmark KPIs</t>
  </si>
  <si>
    <t xml:space="preserve">Capability L3-3.d · AI Code Review Agent (new) · Owner: Sol PE platform (cross-group) · Evaluated 30 September 2026</t>
  </si>
  <si>
    <t xml:space="preserve">Composite score now</t>
  </si>
  <si>
    <t xml:space="preserve">Eligibility tier</t>
  </si>
  <si>
    <t xml:space="preserve">Gates passed</t>
  </si>
  <si>
    <t xml:space="preserve">Composite after gap actions</t>
  </si>
  <si>
    <t xml:space="preserve">Tier after gap actions</t>
  </si>
  <si>
    <t xml:space="preserve">Verdict</t>
  </si>
  <si>
    <t xml:space="preserve">Review Shield is a working, valuable tool with a strong speed and effort-saving story, but on the benchmark it is not yet eligible for cross-group certification. Four of six gates fail, and the biggest single reason is that no golden set exists, so every efficacy figure here is an estimate rather than a measurement.</t>
  </si>
  <si>
    <t xml:space="preserve">What scores well</t>
  </si>
  <si>
    <t xml:space="preserve">Speed</t>
  </si>
  <si>
    <t xml:space="preserve">2 minutes average AI review time against 11–62 minutes of manual effort; the target is ≤5 minutes.</t>
  </si>
  <si>
    <t xml:space="preserve">Effort saving</t>
  </si>
  <si>
    <t xml:space="preserve">97.7% average human effort saving and 50 engineer-hours saved in 7 days, both well past target.</t>
  </si>
  <si>
    <t xml:space="preserve">Output discipline</t>
  </si>
  <si>
    <t xml:space="preserve">The v2 system prompt mandates exact file, line, severity, issue and concrete fix for every comment — full marks on traceability.</t>
  </si>
  <si>
    <t xml:space="preserve">Configurability</t>
  </si>
  <si>
    <t xml:space="preserve">Per-repository feature toggles (code review summary, SAM score, Pylint, comment ratio, static analysis) with no code change.</t>
  </si>
  <si>
    <t xml:space="preserve">Ownership</t>
  </si>
  <si>
    <t xml:space="preserve">Named owner, versioned and documented system prompt, advisory-only comments with human merge control.</t>
  </si>
  <si>
    <t xml:space="preserve">What holds it back</t>
  </si>
  <si>
    <t xml:space="preserve">Acceptance is zero</t>
  </si>
  <si>
    <t xml:space="preserve">0 of 56 issues found in merged PRs were resolved. Whatever the cause, engineers are currently merging past the findings — this alone caps the business-value dimension and undermines the effort-saving claim.</t>
  </si>
  <si>
    <t xml:space="preserve">Severity inflation</t>
  </si>
  <si>
    <t xml:space="preserve">96% of findings are Critical or High. The v2 prompt's severity rubric is designed to fix this and does not appear to be deployed yet.</t>
  </si>
  <si>
    <t xml:space="preserve">Out-of-scope comments</t>
  </si>
  <si>
    <t xml:space="preserve">About 64% of findings (suggestion, code quality, documentation) fall outside the six defect categories the v2 prompt whitelists — the noise that drives the acceptance problem.</t>
  </si>
  <si>
    <t xml:space="preserve">No benchmark evidence</t>
  </si>
  <si>
    <t xml:space="preserve">No seeded-defect golden set and no scripted harness, so recall, precision and hallucination rate cannot be stated as fact (gate G2).</t>
  </si>
  <si>
    <t xml:space="preserve">Narrow reach</t>
  </si>
  <si>
    <t xml:space="preserve">Bitbucket only, 11 of 58 repositories onboarded, 81% of reviews from a single team, and C++ — the firmware domain the prompt is tuned for — is only 6% of reviewed code.</t>
  </si>
  <si>
    <t xml:space="preserve">Not on shared services</t>
  </si>
  <si>
    <t xml:space="preserve">Its own Graph RAG index (148.55 MB per repo) and its own LLM path instead of the shared embedding service and LLM gateway.</t>
  </si>
  <si>
    <t xml:space="preserve">The path to Tier 1</t>
  </si>
  <si>
    <t xml:space="preserve">1</t>
  </si>
  <si>
    <t xml:space="preserve">Deploy system prompt v2 and measure the change in category mix and severity spread.</t>
  </si>
  <si>
    <t xml:space="preserve">2</t>
  </si>
  <si>
    <t xml:space="preserve">Build the seeded-defect golden set and the scripted harness, then re-run this evaluation on measured values.</t>
  </si>
  <si>
    <t xml:space="preserve">3</t>
  </si>
  <si>
    <t xml:space="preserve">Instrument resolve / dismiss / false-positive on every comment so precision and acceptance become real numbers.</t>
  </si>
  <si>
    <t xml:space="preserve">4</t>
  </si>
  <si>
    <t xml:space="preserve">Register L3-3.d and Review Shield in the Capability Registry and complete the documentation pack.</t>
  </si>
  <si>
    <t xml:space="preserve">5</t>
  </si>
  <si>
    <t xml:space="preserve">Broaden reach: SCM adapters, C/C++ firmware repositories first, and shared-service adoption.</t>
  </si>
  <si>
    <t xml:space="preserve">Caveat</t>
  </si>
  <si>
    <t xml:space="preserve">Assessed values in C_KPI_Evaluation are estimates except where the confidence column says High. They were set from the 7-day dashboard, the v2 system prompt and the issue taxonomy. The review board should treat this as a provisional self-assessment until the harness runs.</t>
  </si>
  <si>
    <t xml:space="preserve">A · Scoring model applied in this evaluation</t>
  </si>
  <si>
    <t xml:space="preserve">Identical to L3_Agent_Benchmark_KPIs_A-E.xlsx — six weighted dimensions, six mandatory gates, five tiers</t>
  </si>
  <si>
    <t xml:space="preserve">Dim</t>
  </si>
  <si>
    <t xml:space="preserve">Dimension</t>
  </si>
  <si>
    <t xml:space="preserve">Weight</t>
  </si>
  <si>
    <t xml:space="preserve">What it measures</t>
  </si>
  <si>
    <t xml:space="preserve">D1</t>
  </si>
  <si>
    <t xml:space="preserve">Functional efficacy</t>
  </si>
  <si>
    <t xml:space="preserve">Component KPIs on the golden set; every D1 KPI must be at or above its Min floor (gate G5)</t>
  </si>
  <si>
    <t xml:space="preserve">D2</t>
  </si>
  <si>
    <t xml:space="preserve">Reuse &amp; genericity</t>
  </si>
  <si>
    <t xml:space="preserve">Portability across product lines and platforms, config over code, use of shared services, adoption across groups</t>
  </si>
  <si>
    <t xml:space="preserve">D3</t>
  </si>
  <si>
    <t xml:space="preserve">Scalability &amp; performance</t>
  </si>
  <si>
    <t xml:space="preserve">Latency, throughput, cost per run, behaviour at 10× load, on-prem footprint</t>
  </si>
  <si>
    <t xml:space="preserve">D4</t>
  </si>
  <si>
    <t xml:space="preserve">Reliability &amp; trust</t>
  </si>
  <si>
    <t xml:space="preserve">Consistency, hallucination rate, evidence on every output, availability, human-in-the-loop</t>
  </si>
  <si>
    <t xml:space="preserve">D5</t>
  </si>
  <si>
    <t xml:space="preserve">Business value</t>
  </si>
  <si>
    <t xml:space="preserve">Effort saved, acceptance by engineers, cycle-time reduction, adoption breadth</t>
  </si>
  <si>
    <t xml:space="preserve">D6</t>
  </si>
  <si>
    <t xml:space="preserve">Governance &amp; maintainability</t>
  </si>
  <si>
    <t xml:space="preserve">Test coverage, security findings, documentation pack, model/prompt registry, named owner and SLA</t>
  </si>
  <si>
    <t xml:space="preserve">Total</t>
  </si>
  <si>
    <t xml:space="preserve">Scoring parameters</t>
  </si>
  <si>
    <t xml:space="preserve">Score at or beyond Target</t>
  </si>
  <si>
    <t xml:space="preserve">Score at the Min floor</t>
  </si>
  <si>
    <t xml:space="preserve">Default tolerance for KPIs without a Min</t>
  </si>
  <si>
    <t xml:space="preserve">Eligibility tiers</t>
  </si>
  <si>
    <t xml:space="preserve">Tier</t>
  </si>
  <si>
    <t xml:space="preserve">Tier name</t>
  </si>
  <si>
    <t xml:space="preserve">Min composite</t>
  </si>
  <si>
    <t xml:space="preserve">Consequence</t>
  </si>
  <si>
    <t xml:space="preserve">T1</t>
  </si>
  <si>
    <t xml:space="preserve">Tier 1 · Certified</t>
  </si>
  <si>
    <t xml:space="preserve">Platform standard; mandatory reuse across grp1/grp2/grp3.</t>
  </si>
  <si>
    <t xml:space="preserve">T2</t>
  </si>
  <si>
    <t xml:space="preserve">Tier 2 · Conditional</t>
  </si>
  <si>
    <t xml:space="preserve">Reusable with a named improvement plan; re-benchmark in one quarter.</t>
  </si>
  <si>
    <t xml:space="preserve">T3</t>
  </si>
  <si>
    <t xml:space="preserve">Tier 3 · Group-local</t>
  </si>
  <si>
    <t xml:space="preserve">Owning group only; not in the shared catalog.</t>
  </si>
  <si>
    <t xml:space="preserve">T4</t>
  </si>
  <si>
    <t xml:space="preserve">Tier 4 · Rework</t>
  </si>
  <si>
    <t xml:space="preserve">Not for production reuse; close the gaps and resubmit.</t>
  </si>
  <si>
    <t xml:space="preserve">—</t>
  </si>
  <si>
    <t xml:space="preserve">Not eligible</t>
  </si>
  <si>
    <t xml:space="preserve">Below the Tier 4 minimum, or any gate failed.</t>
  </si>
  <si>
    <t xml:space="preserve">Composite = 0.30·D1 + 0.20·D2 + 0.15·D3 + 0.10·D4 + 0.15·D5 + 0.10·D6   ·   KPI score: 100 at/beyond Target, 60 at Min, linear between, 0 beyond Min</t>
  </si>
  <si>
    <t xml:space="preserve">B · Evaluation-process readiness</t>
  </si>
  <si>
    <t xml:space="preserve">Where Review Shield stands on the eight benchmark steps</t>
  </si>
  <si>
    <t xml:space="preserve">Step</t>
  </si>
  <si>
    <t xml:space="preserve">Name</t>
  </si>
  <si>
    <t xml:space="preserve">Status</t>
  </si>
  <si>
    <t xml:space="preserve">Assessment</t>
  </si>
  <si>
    <t xml:space="preserve">Next action</t>
  </si>
  <si>
    <t xml:space="preserve">Register intent</t>
  </si>
  <si>
    <t xml:space="preserve">Not done</t>
  </si>
  <si>
    <t xml:space="preserve">Built before the registry existed.</t>
  </si>
  <si>
    <t xml:space="preserve">Register L3-3.d and Review Shield retrospectively</t>
  </si>
  <si>
    <t xml:space="preserve">Duplicate check</t>
  </si>
  <si>
    <t xml:space="preserve">Partial</t>
  </si>
  <si>
    <t xml:space="preserve">No competing code-review solution is known in grp1/grp2/grp3, but no formal registry check exists.</t>
  </si>
  <si>
    <t xml:space="preserve">Run the duplicate check and record the result</t>
  </si>
  <si>
    <t xml:space="preserve">Build to contract</t>
  </si>
  <si>
    <t xml:space="preserve">Working product with per-repo feature configuration, but no published versioned I/O contract and no use of shared services.</t>
  </si>
  <si>
    <t xml:space="preserve">Publish the OpenAPI / JSON Schema contract; adopt the shared LLM gateway and embedding service</t>
  </si>
  <si>
    <t xml:space="preserve">Benchmark run</t>
  </si>
  <si>
    <t xml:space="preserve">No golden set, no scripted harness, no KPI report.</t>
  </si>
  <si>
    <t xml:space="preserve">Create the seeded-defect golden set and the harness</t>
  </si>
  <si>
    <t xml:space="preserve">Score &amp; gate</t>
  </si>
  <si>
    <t xml:space="preserve">In progress</t>
  </si>
  <si>
    <t xml:space="preserve">This evaluation is the first scoring pass, on estimates rather than measurements.</t>
  </si>
  <si>
    <t xml:space="preserve">Re-run on measured values after the first harness run</t>
  </si>
  <si>
    <t xml:space="preserve">Cross-group review</t>
  </si>
  <si>
    <t xml:space="preserve">Scores have not been validated by grp1/grp2/grp3 leads.</t>
  </si>
  <si>
    <t xml:space="preserve">Table this report at the review board</t>
  </si>
  <si>
    <t xml:space="preserve">Rank &amp; publish</t>
  </si>
  <si>
    <t xml:space="preserve">No tier assigned yet.</t>
  </si>
  <si>
    <t xml:space="preserve">Assign a tier after the measured benchmark</t>
  </si>
  <si>
    <t xml:space="preserve">Quarterly re-benchmark</t>
  </si>
  <si>
    <t xml:space="preserve">Not started</t>
  </si>
  <si>
    <t xml:space="preserve">No champion/challenger cycle for this capability.</t>
  </si>
  <si>
    <t xml:space="preserve">Schedule from the first measured round</t>
  </si>
  <si>
    <t xml:space="preserve">C · Capability profile — L3-3.d AI Code Review Agent (proposed)</t>
  </si>
  <si>
    <t xml:space="preserve">New L3 capability in STLC phase 3, alongside 3.a Test Case Gen, 3.b BDD/Data Synth and 3.c Script Dev/Review &amp; Coverage</t>
  </si>
  <si>
    <t xml:space="preserve">Capability ID</t>
  </si>
  <si>
    <t xml:space="preserve">L3-3.d (proposed — to be registered)</t>
  </si>
  <si>
    <t xml:space="preserve">Capability name</t>
  </si>
  <si>
    <t xml:space="preserve">AI Code Review Agent</t>
  </si>
  <si>
    <t xml:space="preserve">STLC phase</t>
  </si>
  <si>
    <t xml:space="preserve">3 · Test Design &amp; Development (extends to all engineering repositories, not only test scripts)</t>
  </si>
  <si>
    <t xml:space="preserve">Layer</t>
  </si>
  <si>
    <t xml:space="preserve">L3 Agent (Controller) — AI agent + heuristics + core business logic</t>
  </si>
  <si>
    <t xml:space="preserve">Relationship to L3-3.c</t>
  </si>
  <si>
    <t xml:space="preserve">3.c reviews and generates TEST automation scripts and coverage gaps. 3.d reviews PRODUCT and firmware code in merge requests. They share lint rules and the log/static-analysis parser but have different inputs, outputs and golden sets.</t>
  </si>
  <si>
    <t xml:space="preserve">Evaluated solution</t>
  </si>
  <si>
    <t xml:space="preserve">Review Shield (deployed, Bitbucket, 11 repositories onboarded)</t>
  </si>
  <si>
    <t xml:space="preserve">Owner</t>
  </si>
  <si>
    <t xml:space="preserve">Sol PE platform (cross-group)</t>
  </si>
  <si>
    <t xml:space="preserve">Technique</t>
  </si>
  <si>
    <t xml:space="preserve">LLM reviewer over the MR diff with Graph RAG context of the destination branch, layered on SAM static analysis, Pylint / cpplint and a comment-ratio analyser</t>
  </si>
  <si>
    <t xml:space="preserve">Input (contract)</t>
  </si>
  <si>
    <t xml:space="preserve">MR diff with changed-line summary; destination-branch Graph RAG context; pre-run static analysis output (SAM, linters); per-repo feature configuration</t>
  </si>
  <si>
    <t xml:space="preserve">Output (contract)</t>
  </si>
  <si>
    <t xml:space="preserve">Summary (risk level, top concern, counts by severity) + review comments {file, line, severity, type, issue, fix}, capped per review</t>
  </si>
  <si>
    <t xml:space="preserve">Defect categories in scope</t>
  </si>
  <si>
    <t xml:space="preserve">Memory safety · Concurrency · Data integrity and protocol correctness · Security · Functional bugs · Performance (measurable only)</t>
  </si>
  <si>
    <t xml:space="preserve">Explicitly out of scope</t>
  </si>
  <si>
    <t xml:space="preserve">Style, naming, formatting, comment quality (linters own these); complexity, duplication, module size (SAM owns these); speculative observations</t>
  </si>
  <si>
    <t xml:space="preserve">Golden benchmark set required</t>
  </si>
  <si>
    <t xml:space="preserve">≥200 labelled defects seeded across C/C++ firmware, Python backend and TypeScript/Angular frontend repositories, with SME severity labels and a set of clean diffs to measure false positives</t>
  </si>
  <si>
    <t xml:space="preserve">Shared services expected</t>
  </si>
  <si>
    <t xml:space="preserve">LLM gateway and prompt registry · Embedding / semantic similarity service · Log and static-analysis parser · Report generator · MLOps registry for prompt+model versions · Golden dataset harness</t>
  </si>
  <si>
    <t xml:space="preserve">Scale target</t>
  </si>
  <si>
    <t xml:space="preserve">~400 developers, ~100 MRs per day; current throughput 4.6 reviews per day</t>
  </si>
  <si>
    <t xml:space="preserve">C · KPI-by-KPI evaluation of Review Shield against L3-3.d</t>
  </si>
  <si>
    <t xml:space="preserve">Assessed values are ESTIMATES unless the confidence column says High. Target state = the value expected once the gap actions in E_Gaps_Actions are done.</t>
  </si>
  <si>
    <t xml:space="preserve">KPI ID</t>
  </si>
  <si>
    <t xml:space="preserve">Scope</t>
  </si>
  <si>
    <t xml:space="preserve">KPI</t>
  </si>
  <si>
    <t xml:space="preserve">Unit</t>
  </si>
  <si>
    <t xml:space="preserve">Direction</t>
  </si>
  <si>
    <t xml:space="preserve">Target (Tier 1)</t>
  </si>
  <si>
    <t xml:space="preserve">Min floor</t>
  </si>
  <si>
    <t xml:space="preserve">Assessed value</t>
  </si>
  <si>
    <t xml:space="preserve">Score</t>
  </si>
  <si>
    <t xml:space="preserve">Confidence</t>
  </si>
  <si>
    <t xml:space="preserve">Tier-1 value</t>
  </si>
  <si>
    <t xml:space="preserve">Tier-1 score</t>
  </si>
  <si>
    <t xml:space="preserve">Evidence and reasoning</t>
  </si>
  <si>
    <t xml:space="preserve">Stage-1 value</t>
  </si>
  <si>
    <t xml:space="preserve">Stage-1 score</t>
  </si>
  <si>
    <t xml:space="preserve">3.d-D1-01</t>
  </si>
  <si>
    <t xml:space="preserve">L3-3.d</t>
  </si>
  <si>
    <t xml:space="preserve">Critical/High defect detection recall on a seeded-defect golden set</t>
  </si>
  <si>
    <t xml:space="preserve">recall</t>
  </si>
  <si>
    <t xml:space="preserve">Higher is better</t>
  </si>
  <si>
    <t xml:space="preserve">Low</t>
  </si>
  <si>
    <t xml:space="preserve">No golden set exists yet, so no measured recall. Estimated from the finding mix (92 Critical, 102 High over 49K LOC in 7 days) with no ground truth to compare against.</t>
  </si>
  <si>
    <t xml:space="preserve">3.d-D1-02</t>
  </si>
  <si>
    <t xml:space="preserve">Comment precision (comments that are real, actionable defects)</t>
  </si>
  <si>
    <t xml:space="preserve">precision</t>
  </si>
  <si>
    <t xml:space="preserve">Dashboard acceptance ratio 0% — 0 of 56 issues found in merged PRs were resolved. Strong indicator that developers do not treat most comments as real defects.</t>
  </si>
  <si>
    <t xml:space="preserve">3.d-D1-03</t>
  </si>
  <si>
    <t xml:space="preserve">Severity classification agreement with the SME rubric</t>
  </si>
  <si>
    <t xml:space="preserve">agreement</t>
  </si>
  <si>
    <t xml:space="preserve">96% of findings are Critical (46%) or High (50%) — severity inflation. The v2 system prompt adds a severity rubric that is not reflected in the deployed output.</t>
  </si>
  <si>
    <t xml:space="preserve">3.d-D1-04</t>
  </si>
  <si>
    <t xml:space="preserve">Scope compliance: comments inside the allowed defect categories</t>
  </si>
  <si>
    <t xml:space="preserve">%</t>
  </si>
  <si>
    <t xml:space="preserve">Medium</t>
  </si>
  <si>
    <t xml:space="preserve">Issue categories: suggestion 51%, code_quality 11%, documentation 2% ≈ 64% outside the v2 whitelist (memory, concurrency, data integrity, security, functional, performance).</t>
  </si>
  <si>
    <t xml:space="preserve">3.d-D1-05</t>
  </si>
  <si>
    <t xml:space="preserve">Changed-line coverage (all changed files and lines analysed)</t>
  </si>
  <si>
    <t xml:space="preserve">Pipeline reviews the whole MR diff; a 706-LOC MR was reviewed in 2 minutes. Not verified on very large MRs or binary-heavy diffs.</t>
  </si>
  <si>
    <t xml:space="preserve">3.d-D1-06</t>
  </si>
  <si>
    <t xml:space="preserve">Duplicate or repeated comments within one review</t>
  </si>
  <si>
    <t xml:space="preserve">Lower is better</t>
  </si>
  <si>
    <t xml:space="preserve">v1 prompt duplicated every inline comment in an ACTION ITEMS table; v2 removes it. Estimated for the currently deployed behaviour.</t>
  </si>
  <si>
    <t xml:space="preserve">3.d-D1-07</t>
  </si>
  <si>
    <t xml:space="preserve">Findings carrying a concrete fix (code or explicit instruction)</t>
  </si>
  <si>
    <t xml:space="preserve">System prompt v2 mandates a Fix field with corrected code when ≤6 lines; dashboard shows fix suggestions for SAM, Pylint and comment-ratio features.</t>
  </si>
  <si>
    <t xml:space="preserve">3.d-D2-01</t>
  </si>
  <si>
    <t xml:space="preserve">SCM platforms supported (Bitbucket, GitHub, GitLab)</t>
  </si>
  <si>
    <t xml:space="preserve">count</t>
  </si>
  <si>
    <t xml:space="preserve">High</t>
  </si>
  <si>
    <t xml:space="preserve">Platform distribution: Bitbucket 100% (32 of 32 reviews). No GitHub or GitLab adapter evidenced.</t>
  </si>
  <si>
    <t xml:space="preserve">3.d-D2-02</t>
  </si>
  <si>
    <t xml:space="preserve">Languages covered with domain-aware rules</t>
  </si>
  <si>
    <t xml:space="preserve">Language distribution in period: Angular/TypeScript 41%, Python 38%, JavaScript 16%, C++ 6%.</t>
  </si>
  <si>
    <t xml:space="preserve">3.d-D2-03</t>
  </si>
  <si>
    <t xml:space="preserve">Per-repository feature configuration without code change</t>
  </si>
  <si>
    <t xml:space="preserve">Yes/No</t>
  </si>
  <si>
    <t xml:space="preserve">Configure Features dialog exposes 5 independent toggles per repo (Code Review Summary, SAM Score, Pylint, Comment Ratio, Static Code Analysis).</t>
  </si>
  <si>
    <t xml:space="preserve">3.d-D2-04</t>
  </si>
  <si>
    <t xml:space="preserve">Sol PE groups with active usage</t>
  </si>
  <si>
    <t xml:space="preserve">groups</t>
  </si>
  <si>
    <t xml:space="preserve">Four teams appear (MQPEAS 81%, QVP 9%, MQEMMC 6%, NVMETS 3%) but usage is concentrated in one team; group-level mapping not confirmed.</t>
  </si>
  <si>
    <t xml:space="preserve">3.d-D2-05</t>
  </si>
  <si>
    <t xml:space="preserve">Generic</t>
  </si>
  <si>
    <t xml:space="preserve">Product lines / repo domains supported with ≤10% efficacy drop</t>
  </si>
  <si>
    <t xml:space="preserve">Firmware (eMMC, NVMe test suites), backend services and frontend repos are all onboarded; no per-domain efficacy measurement exists.</t>
  </si>
  <si>
    <t xml:space="preserve">3.d-D2-06</t>
  </si>
  <si>
    <t xml:space="preserve">Uses Zion shared services instead of re-implementing them</t>
  </si>
  <si>
    <t xml:space="preserve">Maintains its own Graph RAG index (148.55 MB) and its own LLM calling path; not registered as a consumer of the shared embedding service or LLM gateway.</t>
  </si>
  <si>
    <t xml:space="preserve">3.d-D3-01</t>
  </si>
  <si>
    <t xml:space="preserve">Average AI review latency per MR</t>
  </si>
  <si>
    <t xml:space="preserve">min</t>
  </si>
  <si>
    <t xml:space="preserve">Dashboard: average review time 2 minutes; recent reviews show 2–3 minutes against 11–62 minutes of manual effort.</t>
  </si>
  <si>
    <t xml:space="preserve">3.d-D3-02</t>
  </si>
  <si>
    <t xml:space="preserve">Sustained review throughput</t>
  </si>
  <si>
    <t xml:space="preserve">reviews/day</t>
  </si>
  <si>
    <t xml:space="preserve">32 reviews in the last 7 days ≈ 4.6 per day, against a target developer base of ~400 engineers and ~100 MRs per day.</t>
  </si>
  <si>
    <t xml:space="preserve">3.d-D3-03</t>
  </si>
  <si>
    <t xml:space="preserve">LLM tokens consumed per review</t>
  </si>
  <si>
    <t xml:space="preserve">tokens</t>
  </si>
  <si>
    <t xml:space="preserve">2.8M tokens over 32 reviews = 87.5K per review; 270 LLM calls = 8.4 calls per review at 10K tokens per call.</t>
  </si>
  <si>
    <t xml:space="preserve">3.d-D3-04</t>
  </si>
  <si>
    <t xml:space="preserve">Graph RAG index size per repository</t>
  </si>
  <si>
    <t xml:space="preserve">MB</t>
  </si>
  <si>
    <t xml:space="preserve">Dashboard: Graph RAG size 148.55 MB average dependency size. At 92 repositories this projects to roughly 13.7 GB.</t>
  </si>
  <si>
    <t xml:space="preserve">3.d-D3-05</t>
  </si>
  <si>
    <t xml:space="preserve">Latency degradation at 10× load</t>
  </si>
  <si>
    <t xml:space="preserve">No load test evidenced. Estimated from the current 4.6 reviews/day baseline versus the ~100 MRs/day target.</t>
  </si>
  <si>
    <t xml:space="preserve">3.d-D4-01</t>
  </si>
  <si>
    <t xml:space="preserve">Hallucinated findings (non-existent code, fields or APIs)</t>
  </si>
  <si>
    <t xml:space="preserve">Not measured. Estimated: Graph RAG context reduces hallucination, but 0% issue resolution suggests a material share of findings do not hold up.</t>
  </si>
  <si>
    <t xml:space="preserve">3.d-D4-02</t>
  </si>
  <si>
    <t xml:space="preserve">Findings carrying exact file, line and severity</t>
  </si>
  <si>
    <t xml:space="preserve">System prompt v2 requires exact relative path and a single integer line for every comment; dashboard renders per-PR inline comments.</t>
  </si>
  <si>
    <t xml:space="preserve">3.d-D4-03</t>
  </si>
  <si>
    <t xml:space="preserve">Run-to-run consistency on the same MR</t>
  </si>
  <si>
    <t xml:space="preserve">Not measured. LLM temperature and seed handling not evidenced in the system prompt or pipeline documentation.</t>
  </si>
  <si>
    <t xml:space="preserve">3.d-D4-04</t>
  </si>
  <si>
    <t xml:space="preserve">Human approves every merge (advisory comments only)</t>
  </si>
  <si>
    <t xml:space="preserve">Review Shield posts comments on MRs; merge and resolution stay with the developer and reviewer (PR state OPEN / MERGED shown in the dashboard).</t>
  </si>
  <si>
    <t xml:space="preserve">3.d-D4-05</t>
  </si>
  <si>
    <t xml:space="preserve">Service availability</t>
  </si>
  <si>
    <t xml:space="preserve">No SLA dashboard or uptime report evidenced; estimated from continuous operation across 11 onboarded repositories.</t>
  </si>
  <si>
    <t xml:space="preserve">3.d-D5-01</t>
  </si>
  <si>
    <t xml:space="preserve">Human review effort saved per MR</t>
  </si>
  <si>
    <t xml:space="preserve">Dashboard: 97.7% average human effort saving; e.g. 2 min AI vs 62 min manual on a 706-LOC PR. Derived from an effort model, not a controlled study.</t>
  </si>
  <si>
    <t xml:space="preserve">3.d-D5-02</t>
  </si>
  <si>
    <t xml:space="preserve">Engineer-hours saved per week</t>
  </si>
  <si>
    <t xml:space="preserve">hours</t>
  </si>
  <si>
    <t xml:space="preserve">Dashboard: 50 hours saved in the last 7 days across 32 reviews.</t>
  </si>
  <si>
    <t xml:space="preserve">3.d-D5-03</t>
  </si>
  <si>
    <t xml:space="preserve">Issue resolution rate in merged PRs</t>
  </si>
  <si>
    <t xml:space="preserve">Dashboard acceptance ratio: 0% — 0 resolved out of 56 issues found in merged PRs. The single most damaging metric in this evaluation.</t>
  </si>
  <si>
    <t xml:space="preserve">3.d-D5-04</t>
  </si>
  <si>
    <t xml:space="preserve">Repositories onboarded (share of active repositories)</t>
  </si>
  <si>
    <t xml:space="preserve">Dashboard: 11 of 58 repositories onboarded (19%); project view shows 92 total repositories, 28 active in the past 3 months.</t>
  </si>
  <si>
    <t xml:space="preserve">3.d-D6-01</t>
  </si>
  <si>
    <t xml:space="preserve">Solution code test coverage</t>
  </si>
  <si>
    <t xml:space="preserve">No CI coverage report evidenced for the Review Shield codebase itself.</t>
  </si>
  <si>
    <t xml:space="preserve">3.d-D6-02</t>
  </si>
  <si>
    <t xml:space="preserve">Review Shield critical findings on its own codebase</t>
  </si>
  <si>
    <t xml:space="preserve">Self-review assumed clean; no published self-review report.</t>
  </si>
  <si>
    <t xml:space="preserve">3.d-D6-03</t>
  </si>
  <si>
    <t xml:space="preserve">SAST high findings and exposed secrets</t>
  </si>
  <si>
    <t xml:space="preserve">No SAST report evidenced; assumed clean pending confirmation.</t>
  </si>
  <si>
    <t xml:space="preserve">3.d-D6-04</t>
  </si>
  <si>
    <t xml:space="preserve">Documentation pack complete (README, I/O contract, model card, runbook)</t>
  </si>
  <si>
    <t xml:space="preserve">System prompt v2, issue-category taxonomy and a leadership deck exist. Missing: versioned I/O contract, model card, operations runbook and a benchmark report.</t>
  </si>
  <si>
    <t xml:space="preserve">3.d-D6-05</t>
  </si>
  <si>
    <t xml:space="preserve">Named owner and support SLA</t>
  </si>
  <si>
    <t xml:space="preserve">Owned by Sol PE platform (Satish, Technical Director); repositories carry named owners in the project management view.</t>
  </si>
  <si>
    <t xml:space="preserve">3.d-D6-06</t>
  </si>
  <si>
    <t xml:space="preserve">Prompt and configuration versioned and change-controlled</t>
  </si>
  <si>
    <t xml:space="preserve">System prompt is documented and versioned (v2 with a documented rationale for each change).</t>
  </si>
  <si>
    <t xml:space="preserve">3.d-D6-07</t>
  </si>
  <si>
    <t xml:space="preserve">Golden set and reproducible benchmark harness in place</t>
  </si>
  <si>
    <t xml:space="preserve">No seeded-defect golden set, no scripted benchmark run. This also fails gate G2.</t>
  </si>
  <si>
    <t xml:space="preserve">Confidence: High = taken from the dashboard, the system prompt or the deployed configuration · Medium = derived from those with an assumption · Low = judgement, no measurement available. Every Low and Medium row becomes a measurement once the golden set and harness exist (gate G2).</t>
  </si>
  <si>
    <t xml:space="preserve">D · Shared services — what Review Shield uses today</t>
  </si>
  <si>
    <t xml:space="preserve">A component that re-implements a shared service scores 0 on the D2 'uses shared services' KPI</t>
  </si>
  <si>
    <t xml:space="preserve">Code</t>
  </si>
  <si>
    <t xml:space="preserve">Shared service</t>
  </si>
  <si>
    <t xml:space="preserve">Uses it?</t>
  </si>
  <si>
    <t xml:space="preserve">What Review Shield does today</t>
  </si>
  <si>
    <t xml:space="preserve">Action</t>
  </si>
  <si>
    <t xml:space="preserve">LLM</t>
  </si>
  <si>
    <t xml:space="preserve">LLM gateway &amp; prompt registry</t>
  </si>
  <si>
    <t xml:space="preserve">Own LLM calling path; prompt versioned in a document, not in the shared registry</t>
  </si>
  <si>
    <t xml:space="preserve">Register prompts; route calls through the Zion LLM gateway for token metering and confidentiality filtering</t>
  </si>
  <si>
    <t xml:space="preserve">EMB</t>
  </si>
  <si>
    <t xml:space="preserve">Embedding &amp; semantic similarity service</t>
  </si>
  <si>
    <t xml:space="preserve">No</t>
  </si>
  <si>
    <t xml:space="preserve">Own Graph RAG index per repository (148.55 MB average)</t>
  </si>
  <si>
    <t xml:space="preserve">Migrate the index to the shared embedding service; keep the code-graph layer as a Review Shield extension</t>
  </si>
  <si>
    <t xml:space="preserve">SPEC</t>
  </si>
  <si>
    <t xml:space="preserve">Spec &amp; document ingestion</t>
  </si>
  <si>
    <t xml:space="preserve">n/a</t>
  </si>
  <si>
    <t xml:space="preserve">Not used — input is code diffs, not specs</t>
  </si>
  <si>
    <t xml:space="preserve">Not required</t>
  </si>
  <si>
    <t xml:space="preserve">RULE</t>
  </si>
  <si>
    <t xml:space="preserve">Rule &amp; policy engine</t>
  </si>
  <si>
    <t xml:space="preserve">Severity rubric and DO-NOT-REPORT scope live inside the prompt text</t>
  </si>
  <si>
    <t xml:space="preserve">Externalise the severity rubric and scope whitelist as shared policy config</t>
  </si>
  <si>
    <t xml:space="preserve">RISK</t>
  </si>
  <si>
    <t xml:space="preserve">Risk scoring library</t>
  </si>
  <si>
    <t xml:space="preserve">No risk scoring of MRs</t>
  </si>
  <si>
    <t xml:space="preserve">Optional: score MR risk to prioritise review depth</t>
  </si>
  <si>
    <t xml:space="preserve">ANOM</t>
  </si>
  <si>
    <t xml:space="preserve">Time-series anomaly core</t>
  </si>
  <si>
    <t xml:space="preserve">Not used</t>
  </si>
  <si>
    <t xml:space="preserve">LOG</t>
  </si>
  <si>
    <t xml:space="preserve">Log parser &amp; signature library</t>
  </si>
  <si>
    <t xml:space="preserve">Consumes SAM, Pylint, cpplint output in its own format</t>
  </si>
  <si>
    <t xml:space="preserve">Adopt the shared parser output schema</t>
  </si>
  <si>
    <t xml:space="preserve">DOC</t>
  </si>
  <si>
    <t xml:space="preserve">Report &amp; document generator</t>
  </si>
  <si>
    <t xml:space="preserve">Own Export Report function on the dashboard</t>
  </si>
  <si>
    <t xml:space="preserve">Reuse the shared report generator for management reports</t>
  </si>
  <si>
    <t xml:space="preserve">MLOPS</t>
  </si>
  <si>
    <t xml:space="preserve">MLOps pipeline &amp; model registry</t>
  </si>
  <si>
    <t xml:space="preserve">No model registry entry, no drift monitoring, no champion/challenger</t>
  </si>
  <si>
    <t xml:space="preserve">Register the prompt+model combination and add regression gating on the golden set</t>
  </si>
  <si>
    <t xml:space="preserve">GOLD</t>
  </si>
  <si>
    <t xml:space="preserve">Golden dataset &amp; benchmark harness</t>
  </si>
  <si>
    <t xml:space="preserve">None</t>
  </si>
  <si>
    <t xml:space="preserve">Build a seeded-defect golden set from closed defects across firmware, backend and frontend repos</t>
  </si>
  <si>
    <t xml:space="preserve">Services used fully</t>
  </si>
  <si>
    <t xml:space="preserve">Partial / not used (excluding n/a)</t>
  </si>
  <si>
    <t xml:space="preserve">E · Scorecard — Review Shield as solution for L3-3.d (AI Code Review Agent)</t>
  </si>
  <si>
    <t xml:space="preserve">Owner: Sol PE platform (cross-group) · Evaluation date 30 September 2026 · Based on 7-day dashboard data and the v2 system prompt</t>
  </si>
  <si>
    <t xml:space="preserve">KPIs</t>
  </si>
  <si>
    <t xml:space="preserve">Score now</t>
  </si>
  <si>
    <t xml:space="preserve">Weighted now</t>
  </si>
  <si>
    <t xml:space="preserve">Target-state score</t>
  </si>
  <si>
    <t xml:space="preserve">Weighted target</t>
  </si>
  <si>
    <t xml:space="preserve">Gap (points)</t>
  </si>
  <si>
    <t xml:space="preserve">Composite</t>
  </si>
  <si>
    <t xml:space="preserve">Mandatory gates</t>
  </si>
  <si>
    <t xml:space="preserve">Gate</t>
  </si>
  <si>
    <t xml:space="preserve">Action to pass</t>
  </si>
  <si>
    <t xml:space="preserve">G1</t>
  </si>
  <si>
    <t xml:space="preserve">Registered first</t>
  </si>
  <si>
    <t xml:space="preserve">N</t>
  </si>
  <si>
    <t xml:space="preserve">Review Shield predates the Zion Capability Registry. Retrospective registration as the reference solution for L3-3.d is recommended; the review board can waive the pre-development timing.</t>
  </si>
  <si>
    <t xml:space="preserve">Retrospective registration + board waiver</t>
  </si>
  <si>
    <t xml:space="preserve">G2</t>
  </si>
  <si>
    <t xml:space="preserve">Reproducible benchmark</t>
  </si>
  <si>
    <t xml:space="preserve">No seeded-defect golden set and no scripted harness; all efficacy figures in this report are estimates, not measurements.</t>
  </si>
  <si>
    <t xml:space="preserve">Build the golden set and harness (highest priority)</t>
  </si>
  <si>
    <t xml:space="preserve">G3</t>
  </si>
  <si>
    <t xml:space="preserve">Data stays on-prem</t>
  </si>
  <si>
    <t xml:space="preserve">Y</t>
  </si>
  <si>
    <t xml:space="preserve">Deployed inside the Samsung network against internal Bitbucket (ssirbitbucketsec.samsungds.net); confirm the LLM endpoint is the approved on-prem gateway.</t>
  </si>
  <si>
    <t xml:space="preserve">Confirm and document the LLM endpoint</t>
  </si>
  <si>
    <t xml:space="preserve">G4</t>
  </si>
  <si>
    <t xml:space="preserve">Human in the loop</t>
  </si>
  <si>
    <t xml:space="preserve">Comments are advisory; developers and reviewers decide on every merge and resolution.</t>
  </si>
  <si>
    <t xml:space="preserve">G5</t>
  </si>
  <si>
    <t xml:space="preserve">Efficacy floors met</t>
  </si>
  <si>
    <t xml:space="preserve">Four of seven D1 KPIs sit below their Min floor on current estimates (recall, precision, severity agreement, scope compliance).</t>
  </si>
  <si>
    <t xml:space="preserve">Deploy prompt v2, then re-benchmark</t>
  </si>
  <si>
    <t xml:space="preserve">G6</t>
  </si>
  <si>
    <t xml:space="preserve">Documentation complete</t>
  </si>
  <si>
    <t xml:space="preserve">Model card, versioned I/O contract, runbook and benchmark report are missing.</t>
  </si>
  <si>
    <t xml:space="preserve">Complete the documentation pack</t>
  </si>
  <si>
    <t xml:space="preserve">All gates pass</t>
  </si>
  <si>
    <t xml:space="preserve">Result</t>
  </si>
  <si>
    <t xml:space="preserve">Tier by score (gates ignored)</t>
  </si>
  <si>
    <t xml:space="preserve">Eligibility tier (gates applied)</t>
  </si>
  <si>
    <t xml:space="preserve">Composite after the gap actions</t>
  </si>
  <si>
    <t xml:space="preserve">Tier after the gap actions</t>
  </si>
  <si>
    <t xml:space="preserve">The tier with gates applied is the official result. Gate G2 (no reproducible benchmark) means the current composite rests on estimates; it is a statement of evidence, not of product quality.</t>
  </si>
  <si>
    <t xml:space="preserve">E · Gap list and actions to reach Tier 1</t>
  </si>
  <si>
    <t xml:space="preserve">Ordered by priority; expected impact is the score movement if the action lands at the target-state value in C_KPI_Evaluation</t>
  </si>
  <si>
    <t xml:space="preserve">#</t>
  </si>
  <si>
    <t xml:space="preserve">Priority</t>
  </si>
  <si>
    <t xml:space="preserve">Dim / gate</t>
  </si>
  <si>
    <t xml:space="preserve">Gap</t>
  </si>
  <si>
    <t xml:space="preserve">Effort</t>
  </si>
  <si>
    <t xml:space="preserve">Expected impact</t>
  </si>
  <si>
    <t xml:space="preserve">Critical</t>
  </si>
  <si>
    <t xml:space="preserve">G2 / D1</t>
  </si>
  <si>
    <t xml:space="preserve">No golden set or benchmark harness</t>
  </si>
  <si>
    <t xml:space="preserve">Build a seeded-defect golden set (target ≥200 labelled defects across C/C++ firmware, Python backend, TypeScript frontend) plus a scripted harness producing the KPI report</t>
  </si>
  <si>
    <t xml:space="preserve">Golden-set owner + Review Shield team</t>
  </si>
  <si>
    <t xml:space="preserve">4–6 weeks</t>
  </si>
  <si>
    <t xml:space="preserve">Unlocks gate G2 and turns every D1 estimate into a measurement</t>
  </si>
  <si>
    <t xml:space="preserve">Issue resolution rate is 0% — no finding in a merged PR was resolved</t>
  </si>
  <si>
    <t xml:space="preserve">Instrument resolve / dismiss / false-positive actions on every comment, make resolution visible in the MR, and review the reasons weekly</t>
  </si>
  <si>
    <t xml:space="preserve">Review Shield team + pilot team leads</t>
  </si>
  <si>
    <t xml:space="preserve">3–4 weeks</t>
  </si>
  <si>
    <t xml:space="preserve">D5 +25 points; also supplies the precision evidence D1 needs</t>
  </si>
  <si>
    <t xml:space="preserve">96% of findings are Critical or High; 64% fall outside the allowed defect categories</t>
  </si>
  <si>
    <t xml:space="preserve">Deploy system prompt v2 (category whitelist, comment cap, severity rubric, confidence gate) and verify on the golden set</t>
  </si>
  <si>
    <t xml:space="preserve">Review Shield team</t>
  </si>
  <si>
    <t xml:space="preserve">2 weeks</t>
  </si>
  <si>
    <t xml:space="preserve">D1 +40 points and the main lever for gate G5</t>
  </si>
  <si>
    <t xml:space="preserve">Bitbucket only; no GitHub or GitLab adapter</t>
  </si>
  <si>
    <t xml:space="preserve">Add an SCM adapter layer so the same agent serves other platforms</t>
  </si>
  <si>
    <t xml:space="preserve">4 weeks</t>
  </si>
  <si>
    <t xml:space="preserve">D2 +17 points</t>
  </si>
  <si>
    <t xml:space="preserve">Own Graph RAG index and own LLM path instead of shared services</t>
  </si>
  <si>
    <t xml:space="preserve">Register as a consumer of the shared LLM gateway and embedding service; keep the code-graph layer as an extension</t>
  </si>
  <si>
    <t xml:space="preserve">Review Shield team + Zion platform</t>
  </si>
  <si>
    <t xml:space="preserve">6 weeks</t>
  </si>
  <si>
    <t xml:space="preserve">D2 +17 points; cuts duplicated infrastructure</t>
  </si>
  <si>
    <t xml:space="preserve">Only 11 of 58 repositories onboarded (19%)</t>
  </si>
  <si>
    <t xml:space="preserve">Onboarding campaign targeting the 28 active repositories, with C/C++ firmware repos first</t>
  </si>
  <si>
    <t xml:space="preserve">Group leads</t>
  </si>
  <si>
    <t xml:space="preserve">1 quarter</t>
  </si>
  <si>
    <t xml:space="preserve">D5 +25 points; broadens the evidence base</t>
  </si>
  <si>
    <t xml:space="preserve">G6 / D6</t>
  </si>
  <si>
    <t xml:space="preserve">Documentation pack incomplete</t>
  </si>
  <si>
    <t xml:space="preserve">Write the versioned I/O contract, model card, operations runbook and benchmark report</t>
  </si>
  <si>
    <t xml:space="preserve">3 weeks</t>
  </si>
  <si>
    <t xml:space="preserve">Unlocks gate G6</t>
  </si>
  <si>
    <t xml:space="preserve">87.5K tokens per review, above the 50K target</t>
  </si>
  <si>
    <t xml:space="preserve">Trim the prompt (v2 saves 40–50% of output tokens), cache the repository context, and cap comments</t>
  </si>
  <si>
    <t xml:space="preserve">D3 +20 points and a direct cost saving</t>
  </si>
  <si>
    <t xml:space="preserve">4.6 reviews per day against a ~100 MR/day target</t>
  </si>
  <si>
    <t xml:space="preserve">Scale with onboarding; load-test the pipeline at 100 MRs/day</t>
  </si>
  <si>
    <t xml:space="preserve">D3 +20 points</t>
  </si>
  <si>
    <t xml:space="preserve">Run-to-run consistency not measured</t>
  </si>
  <si>
    <t xml:space="preserve">Fix temperature and seed, then run the same MR 10 times in the harness</t>
  </si>
  <si>
    <t xml:space="preserve">1 week</t>
  </si>
  <si>
    <t xml:space="preserve">D4 +20 points</t>
  </si>
  <si>
    <t xml:space="preserve">Hallucination rate not measured</t>
  </si>
  <si>
    <t xml:space="preserve">Add a verification pass that checks every cited file, line and symbol exists in the diff</t>
  </si>
  <si>
    <t xml:space="preserve">Graph RAG index is 148.55 MB per repo (≈13.7 GB at 92 repos)</t>
  </si>
  <si>
    <t xml:space="preserve">Prune the dependency graph and share embeddings across repos in the same project</t>
  </si>
  <si>
    <t xml:space="preserve">D3 +8 points; storage saving</t>
  </si>
  <si>
    <t xml:space="preserve">Not in the Capability Registry</t>
  </si>
  <si>
    <t xml:space="preserve">Register L3-3.d and Review Shield; request a board waiver for the pre-development timing</t>
  </si>
  <si>
    <t xml:space="preserve">Sol PE platform</t>
  </si>
  <si>
    <t xml:space="preserve">Unlocks gate G1</t>
  </si>
  <si>
    <t xml:space="preserve">Solution test coverage not evidenced</t>
  </si>
  <si>
    <t xml:space="preserve">Publish CI coverage, Review Shield self-review and SAST reports</t>
  </si>
  <si>
    <t xml:space="preserve">D6 +6 points</t>
  </si>
  <si>
    <t xml:space="preserve">G · What it takes to become eligible and reach Tier 1</t>
  </si>
  <si>
    <t xml:space="preserve">Two stages. Stage 1 closes the gates and makes the evidence real; Stage 2 earns the score. Composites below are live — change any stage value and they move.</t>
  </si>
  <si>
    <t xml:space="preserve">Stage</t>
  </si>
  <si>
    <t xml:space="preserve">Goal</t>
  </si>
  <si>
    <t xml:space="preserve">Duration</t>
  </si>
  <si>
    <t xml:space="preserve">What must be done</t>
  </si>
  <si>
    <t xml:space="preserve">Gates closed</t>
  </si>
  <si>
    <t xml:space="preserve">Exit criterion</t>
  </si>
  <si>
    <t xml:space="preserve">Stage 1</t>
  </si>
  <si>
    <t xml:space="preserve">Evidence &amp; discipline</t>
  </si>
  <si>
    <t xml:space="preserve">8 weeks</t>
  </si>
  <si>
    <t xml:space="preserve">Sol PE platform + Review Shield team</t>
  </si>
  <si>
    <t xml:space="preserve">Register L3-3.d and Review Shield in the Capability Registry (board waiver for pre-development timing) · Deploy system prompt v2 and verify the category mix and severity spread · Build the seeded-defect golden set and the scripted harness · Instrument resolve / dismiss / false-positive on every comment · Complete the documentation pack (I/O contract, model card, runbook, benchmark report)</t>
  </si>
  <si>
    <t xml:space="preserve">G1, G2, G5, G6</t>
  </si>
  <si>
    <t xml:space="preserve">All six gates pass; efficacy measured rather than estimated; acceptance above 50%</t>
  </si>
  <si>
    <t xml:space="preserve">Eligible at Tier 2 · Conditional</t>
  </si>
  <si>
    <t xml:space="preserve">Stage 2</t>
  </si>
  <si>
    <t xml:space="preserve">Reach &amp; platform fit</t>
  </si>
  <si>
    <t xml:space="preserve">1–2 quarters</t>
  </si>
  <si>
    <t xml:space="preserve">Review Shield team + Zion platform + group leads</t>
  </si>
  <si>
    <t xml:space="preserve">Add GitHub / GitLab adapters · Move to the shared LLM gateway and embedding service, keeping the code graph as an extension · Onboard the active repositories, C/C++ firmware first · Cut tokens per review and load-test at scale · Fix temperature and seed for consistency; add a citation-verification pass · Publish CI coverage, self-review and SAST reports</t>
  </si>
  <si>
    <t xml:space="preserve">None outstanding</t>
  </si>
  <si>
    <t xml:space="preserve">Composite at or above 85 with every gate green and two or more groups in active use</t>
  </si>
  <si>
    <t xml:space="preserve">Tier 1 · Certified — Sol PE standard for code review</t>
  </si>
  <si>
    <t xml:space="preserve">Score trajectory</t>
  </si>
  <si>
    <t xml:space="preserve">Gain now → Tier 1</t>
  </si>
  <si>
    <t xml:space="preserve">Eligibility</t>
  </si>
  <si>
    <t xml:space="preserve">Eligibility checklist — the six gates</t>
  </si>
  <si>
    <t xml:space="preserve">Now</t>
  </si>
  <si>
    <t xml:space="preserve">What closes it</t>
  </si>
  <si>
    <t xml:space="preserve">Already passing — keep the evidence current</t>
  </si>
  <si>
    <t xml:space="preserve">Biggest score levers, weighted (now → Tier 1)</t>
  </si>
  <si>
    <t xml:space="preserve">Rank</t>
  </si>
  <si>
    <t xml:space="preserve">Tier 1</t>
  </si>
  <si>
    <t xml:space="preserve">Weighted points gained</t>
  </si>
  <si>
    <t xml:space="preserve">Weighted points = (Tier-1 score − score now) × dimension weight ÷ number of KPIs in that dimension. It is the contribution of that single KPI to the composite, so the column adds up to the total gain.</t>
  </si>
  <si>
    <t xml:space="preserve">Decisions needed from the review board</t>
  </si>
  <si>
    <t xml:space="preserve">Decision</t>
  </si>
  <si>
    <t xml:space="preserve">Why it matters</t>
  </si>
  <si>
    <t xml:space="preserve">Register L3-3.d as a new L3 capability</t>
  </si>
  <si>
    <t xml:space="preserve">AI code review of product and firmware code is not covered by 3.a–3.c. Approve it as a capability so Review Shield and any future solution are benchmarked against the same bar.</t>
  </si>
  <si>
    <t xml:space="preserve">Grant a retrospective registration waiver for gate G1</t>
  </si>
  <si>
    <t xml:space="preserve">Review Shield predates the Capability Registry. Without a waiver it can never pass G1, whatever it scores.</t>
  </si>
  <si>
    <t xml:space="preserve">Fund the golden set</t>
  </si>
  <si>
    <t xml:space="preserve">≥200 seeded, SME-labelled defects across firmware, backend and frontend, plus clean diffs. This is the single blocking dependency for every efficacy KPI and for gate G2.</t>
  </si>
  <si>
    <t xml:space="preserve">Name the golden-set owner and the reviewing SMEs</t>
  </si>
  <si>
    <t xml:space="preserve">Labelling quality decides whether the measured scores mean anything.</t>
  </si>
  <si>
    <t xml:space="preserve">Approve the shared-service migration</t>
  </si>
  <si>
    <t xml:space="preserve">Moving to the shared LLM gateway and embedding service costs Review Shield time now and removes duplicated infrastructure across Sol PE later.</t>
  </si>
  <si>
    <t xml:space="preserve">Set the re-benchmark date</t>
  </si>
  <si>
    <t xml:space="preserve">Stage 1 exit is the first measured run; fix the date so the tier is assigned on evidence.</t>
  </si>
  <si>
    <t xml:space="preserve">Risks to the plan: acceptance may stay low even after prompt v2 if developers are not required to resolve or dismiss findings; a golden set labelled only from past defects can overstate recall on new code; and shared-service migration depends on Zion platform capacity outside this team's control.</t>
  </si>
  <si>
    <t xml:space="preserve">F · Evidence log</t>
  </si>
  <si>
    <t xml:space="preserve">Everything the assessed values were derived from. Dashboard figures cover the last 7 days as shown on 30 September 2026.</t>
  </si>
  <si>
    <t xml:space="preserve">Evidence item</t>
  </si>
  <si>
    <t xml:space="preserve">Value</t>
  </si>
  <si>
    <t xml:space="preserve">Source</t>
  </si>
  <si>
    <t xml:space="preserve">Date / period</t>
  </si>
  <si>
    <t xml:space="preserve">AI reviews completed</t>
  </si>
  <si>
    <t xml:space="preserve">32</t>
  </si>
  <si>
    <t xml:space="preserve">Summary dashboard, last 7 days</t>
  </si>
  <si>
    <t xml:space="preserve">2026-09-30</t>
  </si>
  <si>
    <t xml:space="preserve">Lines of code analysed</t>
  </si>
  <si>
    <t xml:space="preserve">49,000</t>
  </si>
  <si>
    <t xml:space="preserve">Issues found</t>
  </si>
  <si>
    <t xml:space="preserve">202</t>
  </si>
  <si>
    <t xml:space="preserve">Human review effort saved</t>
  </si>
  <si>
    <t xml:space="preserve">50 hours</t>
  </si>
  <si>
    <t xml:space="preserve">Average AI review time</t>
  </si>
  <si>
    <t xml:space="preserve">2 minutes</t>
  </si>
  <si>
    <t xml:space="preserve">Acceptance ratio</t>
  </si>
  <si>
    <t xml:space="preserve">0% (0 resolved of 56 issues in merged PRs)</t>
  </si>
  <si>
    <t xml:space="preserve">Human effort saving</t>
  </si>
  <si>
    <t xml:space="preserve">97.7% average</t>
  </si>
  <si>
    <t xml:space="preserve">Repositories onboarded</t>
  </si>
  <si>
    <t xml:space="preserve">11 of 58</t>
  </si>
  <si>
    <t xml:space="preserve">Summary dashboard</t>
  </si>
  <si>
    <t xml:space="preserve">LLM tokens processed</t>
  </si>
  <si>
    <t xml:space="preserve">2.8M</t>
  </si>
  <si>
    <t xml:space="preserve">AI compute metrics</t>
  </si>
  <si>
    <t xml:space="preserve">LLM calls</t>
  </si>
  <si>
    <t xml:space="preserve">270 (10K average tokens per call)</t>
  </si>
  <si>
    <t xml:space="preserve">Graph RAG size</t>
  </si>
  <si>
    <t xml:space="preserve">148.55 MB average dependency size</t>
  </si>
  <si>
    <t xml:space="preserve">Issue categories</t>
  </si>
  <si>
    <t xml:space="preserve">Suggestion 104 (51%), Security 103 (51%), Code quality 23 (11%), Documentation 5 (2%), Performance 4 (2%)</t>
  </si>
  <si>
    <t xml:space="preserve">Issue categories panel</t>
  </si>
  <si>
    <t xml:space="preserve">Issue severity</t>
  </si>
  <si>
    <t xml:space="preserve">High 102 (50%), Critical 92 (46%), Medium 31 (15%), Low 14 (7%)</t>
  </si>
  <si>
    <t xml:space="preserve">Issue severity panel</t>
  </si>
  <si>
    <t xml:space="preserve">Platform distribution</t>
  </si>
  <si>
    <t xml:space="preserve">Bitbucket 32 (100%)</t>
  </si>
  <si>
    <t xml:space="preserve">Platform distribution panel</t>
  </si>
  <si>
    <t xml:space="preserve">Team adoption</t>
  </si>
  <si>
    <t xml:space="preserve">MQPEAS 26 (81%), QVP 3 (9%), MQEMMC 2 (6%), NVMETS 1 (3%)</t>
  </si>
  <si>
    <t xml:space="preserve">Teams adoption panel</t>
  </si>
  <si>
    <t xml:space="preserve">Language distribution</t>
  </si>
  <si>
    <t xml:space="preserve">Angular 13 (41%), Python 12 (38%), JavaScript 5 (16%), C++ 2 (6%)</t>
  </si>
  <si>
    <t xml:space="preserve">Language distribution panel</t>
  </si>
  <si>
    <t xml:space="preserve">Repository estate</t>
  </si>
  <si>
    <t xml:space="preserve">92 repositories, 16 projects, 28 active in the past 3 months</t>
  </si>
  <si>
    <t xml:space="preserve">Project management tab</t>
  </si>
  <si>
    <t xml:space="preserve">Per-repo features</t>
  </si>
  <si>
    <t xml:space="preserve">Code Review Summary, SAM Score Analysis, Pylint Analysis, Comment Ratio Analysis, Static Code Analysis (toggles)</t>
  </si>
  <si>
    <t xml:space="preserve">Configure Features dialog (qvp)</t>
  </si>
  <si>
    <t xml:space="preserve">Example review effort</t>
  </si>
  <si>
    <t xml:space="preserve">706-LOC PR: 2 min AI effort vs 62 min manual effort</t>
  </si>
  <si>
    <t xml:space="preserve">Recent reviews table</t>
  </si>
  <si>
    <t xml:space="preserve">Review scope and rubric</t>
  </si>
  <si>
    <t xml:space="preserve">Whitelist of 6 defect categories, comment cap, severity rubric, confidence gate, fixed output structure</t>
  </si>
  <si>
    <t xml:space="preserve">ReviewShield_System_Prompt_v2.md</t>
  </si>
  <si>
    <t xml:space="preserve">Project folder</t>
  </si>
  <si>
    <t xml:space="preserve">Issue taxonomy</t>
  </si>
  <si>
    <t xml:space="preserve">Memory safety, concurrency, security, web/application security, performance and further categories with language examples</t>
  </si>
  <si>
    <t xml:space="preserve">ReviewShield_Issue_Categories.md</t>
  </si>
  <si>
    <t xml:space="preserve">Target scale</t>
  </si>
  <si>
    <t xml:space="preserve">~400 developers, ~100 MRs/PRs per day</t>
  </si>
  <si>
    <t xml:space="preserve">Review Shield leadership context</t>
  </si>
  <si>
    <t xml:space="preserve">Prior sessions</t>
  </si>
  <si>
    <t xml:space="preserve">Dashboard percentages for issue categories and severity sum to more than 100%, so a finding can carry more than one category label. This was taken into account when estimating scope compliance.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</si>
</sst>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%"/>
    <numFmt numFmtId="167" formatCode="0"/>
    <numFmt numFmtId="168" formatCode="0.00"/>
    <numFmt numFmtId="169" formatCode="0.0%"/>
    <numFmt numFmtId="170" formatCode="#,##0.##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C1842"/>
      <name val="Arial"/>
      <family val="0"/>
      <charset val="1"/>
    </font>
    <font>
      <i val="true"/>
      <sz val="10"/>
      <color rgb="FF4B4868"/>
      <name val="Arial"/>
      <family val="0"/>
      <charset val="1"/>
    </font>
    <font>
      <b val="true"/>
      <sz val="9"/>
      <color rgb="FF4B4868"/>
      <name val="Arial"/>
      <family val="0"/>
      <charset val="1"/>
    </font>
    <font>
      <b val="true"/>
      <sz val="14"/>
      <color rgb="FF6D4AE0"/>
      <name val="Arial"/>
      <family val="0"/>
      <charset val="1"/>
    </font>
    <font>
      <b val="true"/>
      <sz val="10"/>
      <color rgb="FF1C1842"/>
      <name val="Arial"/>
      <family val="0"/>
      <charset val="1"/>
    </font>
    <font>
      <sz val="10"/>
      <color rgb="FF1C184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C1842"/>
      <name val="Arial"/>
      <family val="0"/>
      <charset val="1"/>
    </font>
    <font>
      <sz val="10"/>
      <color rgb="FF008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DE8FC"/>
        <bgColor rgb="FFF5F4FA"/>
      </patternFill>
    </fill>
    <fill>
      <patternFill patternType="solid">
        <fgColor rgb="FF1C1842"/>
        <bgColor rgb="FF003366"/>
      </patternFill>
    </fill>
    <fill>
      <patternFill patternType="solid">
        <fgColor rgb="FFDCFCE7"/>
        <bgColor rgb="FFE0F2FE"/>
      </patternFill>
    </fill>
    <fill>
      <patternFill patternType="solid">
        <fgColor rgb="FFE0F2FE"/>
        <bgColor rgb="FFF1F5F9"/>
      </patternFill>
    </fill>
    <fill>
      <patternFill patternType="solid">
        <fgColor rgb="FFFEF3C7"/>
        <bgColor rgb="FFFFEDD5"/>
      </patternFill>
    </fill>
    <fill>
      <patternFill patternType="solid">
        <fgColor rgb="FFFFEDD5"/>
        <bgColor rgb="FFFEF3C7"/>
      </patternFill>
    </fill>
    <fill>
      <patternFill patternType="solid">
        <fgColor rgb="FFFEE2E2"/>
        <bgColor rgb="FFFFEDD5"/>
      </patternFill>
    </fill>
    <fill>
      <patternFill patternType="solid">
        <fgColor rgb="FFF5F4FA"/>
        <bgColor rgb="FFF1F5F9"/>
      </patternFill>
    </fill>
    <fill>
      <patternFill patternType="solid">
        <fgColor rgb="FFFFFF00"/>
        <bgColor rgb="FFFFFF00"/>
      </patternFill>
    </fill>
    <fill>
      <patternFill patternType="solid">
        <fgColor rgb="FFF1F5F9"/>
        <bgColor rgb="FFF5F4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E3"/>
      </left>
      <right style="thin">
        <color rgb="FFD0CCE3"/>
      </right>
      <top style="thin">
        <color rgb="FFD0CCE3"/>
      </top>
      <bottom style="thin">
        <color rgb="FFD0C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C1842"/>
          <bgColor rgb="FF000000"/>
        </patternFill>
      </fill>
    </dxf>
    <dxf>
      <fill>
        <patternFill patternType="solid">
          <fgColor rgb="FFF5F4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E0F2FE"/>
        </patternFill>
      </fill>
    </dxf>
    <dxf>
      <fill>
        <patternFill>
          <bgColor rgb="FFFFEDD5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FFEDD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8F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0C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F2FE"/>
      <rgbColor rgb="FFF1F5F9"/>
      <rgbColor rgb="FFFFEDD5"/>
      <rgbColor rgb="FFF5F4FA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97316"/>
      <rgbColor rgb="FF6D4AE0"/>
      <rgbColor rgb="FF969696"/>
      <rgbColor rgb="FF003366"/>
      <rgbColor rgb="FF339966"/>
      <rgbColor rgb="FF003300"/>
      <rgbColor rgb="FF333300"/>
      <rgbColor rgb="FF993300"/>
      <rgbColor rgb="FF993366"/>
      <rgbColor rgb="FF4B4868"/>
      <rgbColor rgb="FF1C18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7" min="3" style="0" width="2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7.35" hidden="false" customHeight="false" outlineLevel="0" collapsed="false">
      <c r="A5" s="4" t="n">
        <f aca="false">ROUND(E_Scorecard!F11,1)</f>
        <v>49.2</v>
      </c>
      <c r="B5" s="5" t="str">
        <f aca="false">E_Scorecard!C26</f>
        <v>Not eligible</v>
      </c>
      <c r="C5" s="5" t="str">
        <f aca="false">COUNTIF(E_Scorecard!C15:C20,"Y")&amp;" of 6"</f>
        <v>2 of 6</v>
      </c>
      <c r="D5" s="4" t="n">
        <f aca="false">ROUND(E_Scorecard!H11,1)</f>
        <v>92.8</v>
      </c>
      <c r="E5" s="5" t="str">
        <f aca="false">E_Scorecard!C28</f>
        <v>Tier 1 · Certified</v>
      </c>
    </row>
    <row r="8" customFormat="false" ht="23.85" hidden="false" customHeight="true" outlineLevel="0" collapsed="false">
      <c r="A8" s="6" t="s">
        <v>7</v>
      </c>
      <c r="B8" s="7" t="s">
        <v>8</v>
      </c>
      <c r="C8" s="7"/>
      <c r="D8" s="7"/>
      <c r="E8" s="7"/>
      <c r="F8" s="7"/>
      <c r="G8" s="7"/>
    </row>
    <row r="9" customFormat="false" ht="15" hidden="false" customHeight="false" outlineLevel="0" collapsed="false">
      <c r="A9" s="6"/>
      <c r="B9" s="7"/>
      <c r="C9" s="7"/>
      <c r="D9" s="7"/>
      <c r="E9" s="7"/>
      <c r="F9" s="7"/>
      <c r="G9" s="7"/>
    </row>
    <row r="10" customFormat="false" ht="15" hidden="false" customHeight="false" outlineLevel="0" collapsed="false">
      <c r="A10" s="8" t="s">
        <v>9</v>
      </c>
      <c r="B10" s="9"/>
      <c r="C10" s="9"/>
      <c r="D10" s="9"/>
      <c r="E10" s="9"/>
      <c r="F10" s="9"/>
      <c r="G10" s="9"/>
    </row>
    <row r="11" customFormat="false" ht="15" hidden="false" customHeight="true" outlineLevel="0" collapsed="false">
      <c r="A11" s="6" t="s">
        <v>10</v>
      </c>
      <c r="B11" s="7" t="s">
        <v>11</v>
      </c>
      <c r="C11" s="7"/>
      <c r="D11" s="7"/>
      <c r="E11" s="7"/>
      <c r="F11" s="7"/>
      <c r="G11" s="7"/>
    </row>
    <row r="12" customFormat="false" ht="15" hidden="false" customHeight="true" outlineLevel="0" collapsed="false">
      <c r="A12" s="6" t="s">
        <v>12</v>
      </c>
      <c r="B12" s="7" t="s">
        <v>13</v>
      </c>
      <c r="C12" s="7"/>
      <c r="D12" s="7"/>
      <c r="E12" s="7"/>
      <c r="F12" s="7"/>
      <c r="G12" s="7"/>
    </row>
    <row r="13" customFormat="false" ht="15" hidden="false" customHeight="true" outlineLevel="0" collapsed="false">
      <c r="A13" s="6" t="s">
        <v>14</v>
      </c>
      <c r="B13" s="7" t="s">
        <v>15</v>
      </c>
      <c r="C13" s="7"/>
      <c r="D13" s="7"/>
      <c r="E13" s="7"/>
      <c r="F13" s="7"/>
      <c r="G13" s="7"/>
    </row>
    <row r="14" customFormat="false" ht="15" hidden="false" customHeight="true" outlineLevel="0" collapsed="false">
      <c r="A14" s="6" t="s">
        <v>16</v>
      </c>
      <c r="B14" s="7" t="s">
        <v>17</v>
      </c>
      <c r="C14" s="7"/>
      <c r="D14" s="7"/>
      <c r="E14" s="7"/>
      <c r="F14" s="7"/>
      <c r="G14" s="7"/>
    </row>
    <row r="15" customFormat="false" ht="15" hidden="false" customHeight="true" outlineLevel="0" collapsed="false">
      <c r="A15" s="6" t="s">
        <v>18</v>
      </c>
      <c r="B15" s="7" t="s">
        <v>19</v>
      </c>
      <c r="C15" s="7"/>
      <c r="D15" s="7"/>
      <c r="E15" s="7"/>
      <c r="F15" s="7"/>
      <c r="G15" s="7"/>
    </row>
    <row r="16" customFormat="false" ht="15" hidden="false" customHeight="false" outlineLevel="0" collapsed="false">
      <c r="A16" s="6"/>
      <c r="B16" s="7"/>
      <c r="C16" s="7"/>
      <c r="D16" s="7"/>
      <c r="E16" s="7"/>
      <c r="F16" s="7"/>
      <c r="G16" s="7"/>
    </row>
    <row r="17" customFormat="false" ht="15" hidden="false" customHeight="false" outlineLevel="0" collapsed="false">
      <c r="A17" s="8" t="s">
        <v>20</v>
      </c>
      <c r="B17" s="9"/>
      <c r="C17" s="9"/>
      <c r="D17" s="9"/>
      <c r="E17" s="9"/>
      <c r="F17" s="9"/>
      <c r="G17" s="9"/>
    </row>
    <row r="18" customFormat="false" ht="23.85" hidden="false" customHeight="true" outlineLevel="0" collapsed="false">
      <c r="A18" s="6" t="s">
        <v>21</v>
      </c>
      <c r="B18" s="7" t="s">
        <v>22</v>
      </c>
      <c r="C18" s="7"/>
      <c r="D18" s="7"/>
      <c r="E18" s="7"/>
      <c r="F18" s="7"/>
      <c r="G18" s="7"/>
    </row>
    <row r="19" customFormat="false" ht="15" hidden="false" customHeight="true" outlineLevel="0" collapsed="false">
      <c r="A19" s="6" t="s">
        <v>23</v>
      </c>
      <c r="B19" s="7" t="s">
        <v>24</v>
      </c>
      <c r="C19" s="7"/>
      <c r="D19" s="7"/>
      <c r="E19" s="7"/>
      <c r="F19" s="7"/>
      <c r="G19" s="7"/>
    </row>
    <row r="20" customFormat="false" ht="23.85" hidden="false" customHeight="true" outlineLevel="0" collapsed="false">
      <c r="A20" s="6" t="s">
        <v>25</v>
      </c>
      <c r="B20" s="7" t="s">
        <v>26</v>
      </c>
      <c r="C20" s="7"/>
      <c r="D20" s="7"/>
      <c r="E20" s="7"/>
      <c r="F20" s="7"/>
      <c r="G20" s="7"/>
    </row>
    <row r="21" customFormat="false" ht="15" hidden="false" customHeight="true" outlineLevel="0" collapsed="false">
      <c r="A21" s="6" t="s">
        <v>27</v>
      </c>
      <c r="B21" s="7" t="s">
        <v>28</v>
      </c>
      <c r="C21" s="7"/>
      <c r="D21" s="7"/>
      <c r="E21" s="7"/>
      <c r="F21" s="7"/>
      <c r="G21" s="7"/>
    </row>
    <row r="22" customFormat="false" ht="23.85" hidden="false" customHeight="true" outlineLevel="0" collapsed="false">
      <c r="A22" s="6" t="s">
        <v>29</v>
      </c>
      <c r="B22" s="7" t="s">
        <v>30</v>
      </c>
      <c r="C22" s="7"/>
      <c r="D22" s="7"/>
      <c r="E22" s="7"/>
      <c r="F22" s="7"/>
      <c r="G22" s="7"/>
    </row>
    <row r="23" customFormat="false" ht="15" hidden="false" customHeight="true" outlineLevel="0" collapsed="false">
      <c r="A23" s="6" t="s">
        <v>31</v>
      </c>
      <c r="B23" s="7" t="s">
        <v>32</v>
      </c>
      <c r="C23" s="7"/>
      <c r="D23" s="7"/>
      <c r="E23" s="7"/>
      <c r="F23" s="7"/>
      <c r="G23" s="7"/>
    </row>
    <row r="24" customFormat="false" ht="15" hidden="false" customHeight="false" outlineLevel="0" collapsed="false">
      <c r="A24" s="6"/>
      <c r="B24" s="7"/>
      <c r="C24" s="7"/>
      <c r="D24" s="7"/>
      <c r="E24" s="7"/>
      <c r="F24" s="7"/>
      <c r="G24" s="7"/>
    </row>
    <row r="25" customFormat="false" ht="15" hidden="false" customHeight="false" outlineLevel="0" collapsed="false">
      <c r="A25" s="8" t="s">
        <v>33</v>
      </c>
      <c r="B25" s="9"/>
      <c r="C25" s="9"/>
      <c r="D25" s="9"/>
      <c r="E25" s="9"/>
      <c r="F25" s="9"/>
      <c r="G25" s="9"/>
    </row>
    <row r="26" customFormat="false" ht="15" hidden="false" customHeight="true" outlineLevel="0" collapsed="false">
      <c r="A26" s="6" t="s">
        <v>34</v>
      </c>
      <c r="B26" s="7" t="s">
        <v>35</v>
      </c>
      <c r="C26" s="7"/>
      <c r="D26" s="7"/>
      <c r="E26" s="7"/>
      <c r="F26" s="7"/>
      <c r="G26" s="7"/>
    </row>
    <row r="27" customFormat="false" ht="15" hidden="false" customHeight="true" outlineLevel="0" collapsed="false">
      <c r="A27" s="6" t="s">
        <v>36</v>
      </c>
      <c r="B27" s="7" t="s">
        <v>37</v>
      </c>
      <c r="C27" s="7"/>
      <c r="D27" s="7"/>
      <c r="E27" s="7"/>
      <c r="F27" s="7"/>
      <c r="G27" s="7"/>
    </row>
    <row r="28" customFormat="false" ht="15" hidden="false" customHeight="true" outlineLevel="0" collapsed="false">
      <c r="A28" s="6" t="s">
        <v>38</v>
      </c>
      <c r="B28" s="7" t="s">
        <v>39</v>
      </c>
      <c r="C28" s="7"/>
      <c r="D28" s="7"/>
      <c r="E28" s="7"/>
      <c r="F28" s="7"/>
      <c r="G28" s="7"/>
    </row>
    <row r="29" customFormat="false" ht="15" hidden="false" customHeight="true" outlineLevel="0" collapsed="false">
      <c r="A29" s="6" t="s">
        <v>40</v>
      </c>
      <c r="B29" s="7" t="s">
        <v>41</v>
      </c>
      <c r="C29" s="7"/>
      <c r="D29" s="7"/>
      <c r="E29" s="7"/>
      <c r="F29" s="7"/>
      <c r="G29" s="7"/>
    </row>
    <row r="30" customFormat="false" ht="15" hidden="false" customHeight="true" outlineLevel="0" collapsed="false">
      <c r="A30" s="6" t="s">
        <v>42</v>
      </c>
      <c r="B30" s="7" t="s">
        <v>43</v>
      </c>
      <c r="C30" s="7"/>
      <c r="D30" s="7"/>
      <c r="E30" s="7"/>
      <c r="F30" s="7"/>
      <c r="G30" s="7"/>
    </row>
    <row r="31" customFormat="false" ht="15" hidden="false" customHeight="false" outlineLevel="0" collapsed="false">
      <c r="A31" s="6"/>
      <c r="B31" s="7"/>
      <c r="C31" s="7"/>
      <c r="D31" s="7"/>
      <c r="E31" s="7"/>
      <c r="F31" s="7"/>
      <c r="G31" s="7"/>
    </row>
    <row r="32" customFormat="false" ht="23.85" hidden="false" customHeight="true" outlineLevel="0" collapsed="false">
      <c r="A32" s="6" t="s">
        <v>44</v>
      </c>
      <c r="B32" s="7" t="s">
        <v>45</v>
      </c>
      <c r="C32" s="7"/>
      <c r="D32" s="7"/>
      <c r="E32" s="7"/>
      <c r="F32" s="7"/>
      <c r="G32" s="7"/>
    </row>
  </sheetData>
  <mergeCells count="25"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AE0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00"/>
  </cols>
  <sheetData>
    <row r="1" customFormat="false" ht="18.5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15" hidden="false" customHeight="false" outlineLevel="0" collapsed="false">
      <c r="A4" s="10" t="s">
        <v>48</v>
      </c>
      <c r="B4" s="10" t="s">
        <v>49</v>
      </c>
      <c r="C4" s="10" t="s">
        <v>50</v>
      </c>
      <c r="D4" s="10" t="s">
        <v>51</v>
      </c>
    </row>
    <row r="5" customFormat="false" ht="15" hidden="false" customHeight="false" outlineLevel="0" collapsed="false">
      <c r="A5" s="11" t="s">
        <v>52</v>
      </c>
      <c r="B5" s="12" t="s">
        <v>53</v>
      </c>
      <c r="C5" s="13" t="n">
        <v>0.3</v>
      </c>
      <c r="D5" s="14" t="s">
        <v>54</v>
      </c>
    </row>
    <row r="6" customFormat="false" ht="15" hidden="false" customHeight="false" outlineLevel="0" collapsed="false">
      <c r="A6" s="11" t="s">
        <v>55</v>
      </c>
      <c r="B6" s="12" t="s">
        <v>56</v>
      </c>
      <c r="C6" s="13" t="n">
        <v>0.2</v>
      </c>
      <c r="D6" s="14" t="s">
        <v>57</v>
      </c>
    </row>
    <row r="7" customFormat="false" ht="15" hidden="false" customHeight="false" outlineLevel="0" collapsed="false">
      <c r="A7" s="11" t="s">
        <v>58</v>
      </c>
      <c r="B7" s="12" t="s">
        <v>59</v>
      </c>
      <c r="C7" s="13" t="n">
        <v>0.15</v>
      </c>
      <c r="D7" s="14" t="s">
        <v>60</v>
      </c>
    </row>
    <row r="8" customFormat="false" ht="15" hidden="false" customHeight="false" outlineLevel="0" collapsed="false">
      <c r="A8" s="11" t="s">
        <v>61</v>
      </c>
      <c r="B8" s="12" t="s">
        <v>62</v>
      </c>
      <c r="C8" s="13" t="n">
        <v>0.1</v>
      </c>
      <c r="D8" s="14" t="s">
        <v>63</v>
      </c>
    </row>
    <row r="9" customFormat="false" ht="15" hidden="false" customHeight="false" outlineLevel="0" collapsed="false">
      <c r="A9" s="11" t="s">
        <v>64</v>
      </c>
      <c r="B9" s="12" t="s">
        <v>65</v>
      </c>
      <c r="C9" s="13" t="n">
        <v>0.15</v>
      </c>
      <c r="D9" s="14" t="s">
        <v>66</v>
      </c>
    </row>
    <row r="10" customFormat="false" ht="15" hidden="false" customHeight="false" outlineLevel="0" collapsed="false">
      <c r="A10" s="11" t="s">
        <v>67</v>
      </c>
      <c r="B10" s="12" t="s">
        <v>68</v>
      </c>
      <c r="C10" s="13" t="n">
        <v>0.1</v>
      </c>
      <c r="D10" s="14" t="s">
        <v>69</v>
      </c>
    </row>
    <row r="11" customFormat="false" ht="15" hidden="false" customHeight="false" outlineLevel="0" collapsed="false">
      <c r="B11" s="12" t="s">
        <v>70</v>
      </c>
      <c r="C11" s="15" t="n">
        <f aca="false">SUM(C5:C10)</f>
        <v>1</v>
      </c>
      <c r="D11" s="14" t="str">
        <f aca="false">IF(ROUND(C11,4)=1,"OK — weights sum to 100%","CHECK")</f>
        <v>OK — weights sum to 100%</v>
      </c>
    </row>
    <row r="13" customFormat="false" ht="15" hidden="false" customHeight="false" outlineLevel="0" collapsed="false">
      <c r="A13" s="16" t="s">
        <v>71</v>
      </c>
    </row>
    <row r="14" customFormat="false" ht="15" hidden="false" customHeight="false" outlineLevel="0" collapsed="false">
      <c r="B14" s="14" t="s">
        <v>72</v>
      </c>
      <c r="C14" s="17" t="n">
        <v>100</v>
      </c>
    </row>
    <row r="15" customFormat="false" ht="15" hidden="false" customHeight="false" outlineLevel="0" collapsed="false">
      <c r="B15" s="14" t="s">
        <v>73</v>
      </c>
      <c r="C15" s="17" t="n">
        <v>60</v>
      </c>
    </row>
    <row r="16" customFormat="false" ht="23.85" hidden="false" customHeight="false" outlineLevel="0" collapsed="false">
      <c r="B16" s="14" t="s">
        <v>74</v>
      </c>
      <c r="C16" s="13" t="n">
        <v>0.2</v>
      </c>
    </row>
    <row r="18" customFormat="false" ht="15" hidden="false" customHeight="false" outlineLevel="0" collapsed="false">
      <c r="A18" s="16" t="s">
        <v>75</v>
      </c>
    </row>
    <row r="19" customFormat="false" ht="23.85" hidden="false" customHeight="false" outlineLevel="0" collapsed="false">
      <c r="A19" s="10" t="s">
        <v>76</v>
      </c>
      <c r="B19" s="10" t="s">
        <v>77</v>
      </c>
      <c r="C19" s="10" t="s">
        <v>78</v>
      </c>
      <c r="D19" s="10" t="s">
        <v>79</v>
      </c>
    </row>
    <row r="20" customFormat="false" ht="15" hidden="false" customHeight="false" outlineLevel="0" collapsed="false">
      <c r="A20" s="11" t="s">
        <v>80</v>
      </c>
      <c r="B20" s="18" t="s">
        <v>81</v>
      </c>
      <c r="C20" s="17" t="n">
        <v>85</v>
      </c>
      <c r="D20" s="14" t="s">
        <v>82</v>
      </c>
    </row>
    <row r="21" customFormat="false" ht="15" hidden="false" customHeight="false" outlineLevel="0" collapsed="false">
      <c r="A21" s="11" t="s">
        <v>83</v>
      </c>
      <c r="B21" s="19" t="s">
        <v>84</v>
      </c>
      <c r="C21" s="17" t="n">
        <v>75</v>
      </c>
      <c r="D21" s="14" t="s">
        <v>85</v>
      </c>
    </row>
    <row r="22" customFormat="false" ht="15" hidden="false" customHeight="false" outlineLevel="0" collapsed="false">
      <c r="A22" s="11" t="s">
        <v>86</v>
      </c>
      <c r="B22" s="20" t="s">
        <v>87</v>
      </c>
      <c r="C22" s="17" t="n">
        <v>60</v>
      </c>
      <c r="D22" s="14" t="s">
        <v>88</v>
      </c>
    </row>
    <row r="23" customFormat="false" ht="15" hidden="false" customHeight="false" outlineLevel="0" collapsed="false">
      <c r="A23" s="11" t="s">
        <v>89</v>
      </c>
      <c r="B23" s="21" t="s">
        <v>90</v>
      </c>
      <c r="C23" s="17" t="n">
        <v>45</v>
      </c>
      <c r="D23" s="14" t="s">
        <v>91</v>
      </c>
    </row>
    <row r="24" customFormat="false" ht="15" hidden="false" customHeight="false" outlineLevel="0" collapsed="false">
      <c r="A24" s="11" t="s">
        <v>92</v>
      </c>
      <c r="B24" s="22" t="s">
        <v>93</v>
      </c>
      <c r="C24" s="17" t="s">
        <v>92</v>
      </c>
      <c r="D24" s="14" t="s">
        <v>94</v>
      </c>
    </row>
    <row r="26" customFormat="false" ht="15" hidden="false" customHeight="false" outlineLevel="0" collapsed="false">
      <c r="A26" s="2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AE0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76"/>
    <col collapsed="false" customWidth="true" hidden="false" outlineLevel="0" max="5" min="5" style="0" width="60"/>
  </cols>
  <sheetData>
    <row r="1" customFormat="false" ht="18.5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15" hidden="false" customHeight="false" outlineLevel="0" collapsed="false">
      <c r="A4" s="10" t="s">
        <v>98</v>
      </c>
      <c r="B4" s="10" t="s">
        <v>99</v>
      </c>
      <c r="C4" s="10" t="s">
        <v>100</v>
      </c>
      <c r="D4" s="10" t="s">
        <v>101</v>
      </c>
      <c r="E4" s="10" t="s">
        <v>102</v>
      </c>
    </row>
    <row r="5" customFormat="false" ht="15" hidden="false" customHeight="false" outlineLevel="0" collapsed="false">
      <c r="A5" s="11" t="n">
        <v>1</v>
      </c>
      <c r="B5" s="12" t="s">
        <v>103</v>
      </c>
      <c r="C5" s="23" t="s">
        <v>104</v>
      </c>
      <c r="D5" s="14" t="s">
        <v>105</v>
      </c>
      <c r="E5" s="14" t="s">
        <v>106</v>
      </c>
    </row>
    <row r="6" customFormat="false" ht="23.85" hidden="false" customHeight="false" outlineLevel="0" collapsed="false">
      <c r="A6" s="11" t="n">
        <v>2</v>
      </c>
      <c r="B6" s="12" t="s">
        <v>107</v>
      </c>
      <c r="C6" s="24" t="s">
        <v>108</v>
      </c>
      <c r="D6" s="14" t="s">
        <v>109</v>
      </c>
      <c r="E6" s="14" t="s">
        <v>110</v>
      </c>
    </row>
    <row r="7" customFormat="false" ht="23.85" hidden="false" customHeight="false" outlineLevel="0" collapsed="false">
      <c r="A7" s="11" t="n">
        <v>3</v>
      </c>
      <c r="B7" s="12" t="s">
        <v>111</v>
      </c>
      <c r="C7" s="24" t="s">
        <v>108</v>
      </c>
      <c r="D7" s="14" t="s">
        <v>112</v>
      </c>
      <c r="E7" s="14" t="s">
        <v>113</v>
      </c>
    </row>
    <row r="8" customFormat="false" ht="15" hidden="false" customHeight="false" outlineLevel="0" collapsed="false">
      <c r="A8" s="11" t="n">
        <v>4</v>
      </c>
      <c r="B8" s="12" t="s">
        <v>114</v>
      </c>
      <c r="C8" s="23" t="s">
        <v>104</v>
      </c>
      <c r="D8" s="14" t="s">
        <v>115</v>
      </c>
      <c r="E8" s="14" t="s">
        <v>116</v>
      </c>
    </row>
    <row r="9" customFormat="false" ht="15" hidden="false" customHeight="false" outlineLevel="0" collapsed="false">
      <c r="A9" s="11" t="n">
        <v>5</v>
      </c>
      <c r="B9" s="12" t="s">
        <v>117</v>
      </c>
      <c r="C9" s="25" t="s">
        <v>118</v>
      </c>
      <c r="D9" s="14" t="s">
        <v>119</v>
      </c>
      <c r="E9" s="14" t="s">
        <v>120</v>
      </c>
    </row>
    <row r="10" customFormat="false" ht="15" hidden="false" customHeight="false" outlineLevel="0" collapsed="false">
      <c r="A10" s="11" t="n">
        <v>6</v>
      </c>
      <c r="B10" s="12" t="s">
        <v>121</v>
      </c>
      <c r="C10" s="23" t="s">
        <v>104</v>
      </c>
      <c r="D10" s="14" t="s">
        <v>122</v>
      </c>
      <c r="E10" s="14" t="s">
        <v>123</v>
      </c>
    </row>
    <row r="11" customFormat="false" ht="15" hidden="false" customHeight="false" outlineLevel="0" collapsed="false">
      <c r="A11" s="11" t="n">
        <v>7</v>
      </c>
      <c r="B11" s="12" t="s">
        <v>124</v>
      </c>
      <c r="C11" s="23" t="s">
        <v>104</v>
      </c>
      <c r="D11" s="14" t="s">
        <v>125</v>
      </c>
      <c r="E11" s="14" t="s">
        <v>126</v>
      </c>
    </row>
    <row r="12" customFormat="false" ht="15" hidden="false" customHeight="false" outlineLevel="0" collapsed="false">
      <c r="A12" s="11" t="n">
        <v>8</v>
      </c>
      <c r="B12" s="12" t="s">
        <v>127</v>
      </c>
      <c r="C12" s="23" t="s">
        <v>128</v>
      </c>
      <c r="D12" s="14" t="s">
        <v>129</v>
      </c>
      <c r="E12" s="1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AE0"/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8"/>
  </cols>
  <sheetData>
    <row r="1" customFormat="false" ht="18.5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132</v>
      </c>
    </row>
    <row r="4" customFormat="false" ht="15" hidden="false" customHeight="false" outlineLevel="0" collapsed="false">
      <c r="A4" s="26" t="s">
        <v>133</v>
      </c>
      <c r="B4" s="14" t="s">
        <v>134</v>
      </c>
    </row>
    <row r="5" customFormat="false" ht="15" hidden="false" customHeight="false" outlineLevel="0" collapsed="false">
      <c r="A5" s="26" t="s">
        <v>135</v>
      </c>
      <c r="B5" s="14" t="s">
        <v>136</v>
      </c>
    </row>
    <row r="6" customFormat="false" ht="15" hidden="false" customHeight="false" outlineLevel="0" collapsed="false">
      <c r="A6" s="26" t="s">
        <v>137</v>
      </c>
      <c r="B6" s="14" t="s">
        <v>138</v>
      </c>
    </row>
    <row r="7" customFormat="false" ht="15" hidden="false" customHeight="false" outlineLevel="0" collapsed="false">
      <c r="A7" s="26" t="s">
        <v>139</v>
      </c>
      <c r="B7" s="14" t="s">
        <v>140</v>
      </c>
    </row>
    <row r="8" customFormat="false" ht="23.85" hidden="false" customHeight="false" outlineLevel="0" collapsed="false">
      <c r="A8" s="26" t="s">
        <v>141</v>
      </c>
      <c r="B8" s="14" t="s">
        <v>142</v>
      </c>
    </row>
    <row r="9" customFormat="false" ht="15" hidden="false" customHeight="false" outlineLevel="0" collapsed="false">
      <c r="A9" s="26" t="s">
        <v>143</v>
      </c>
      <c r="B9" s="14" t="s">
        <v>144</v>
      </c>
    </row>
    <row r="10" customFormat="false" ht="15" hidden="false" customHeight="false" outlineLevel="0" collapsed="false">
      <c r="A10" s="26" t="s">
        <v>145</v>
      </c>
      <c r="B10" s="14" t="s">
        <v>146</v>
      </c>
    </row>
    <row r="11" customFormat="false" ht="23.85" hidden="false" customHeight="false" outlineLevel="0" collapsed="false">
      <c r="A11" s="26" t="s">
        <v>147</v>
      </c>
      <c r="B11" s="14" t="s">
        <v>148</v>
      </c>
    </row>
    <row r="12" customFormat="false" ht="23.85" hidden="false" customHeight="false" outlineLevel="0" collapsed="false">
      <c r="A12" s="26" t="s">
        <v>149</v>
      </c>
      <c r="B12" s="14" t="s">
        <v>150</v>
      </c>
    </row>
    <row r="13" customFormat="false" ht="15" hidden="false" customHeight="false" outlineLevel="0" collapsed="false">
      <c r="A13" s="26" t="s">
        <v>151</v>
      </c>
      <c r="B13" s="14" t="s">
        <v>152</v>
      </c>
    </row>
    <row r="14" customFormat="false" ht="15" hidden="false" customHeight="false" outlineLevel="0" collapsed="false">
      <c r="A14" s="26" t="s">
        <v>153</v>
      </c>
      <c r="B14" s="14" t="s">
        <v>154</v>
      </c>
    </row>
    <row r="15" customFormat="false" ht="15" hidden="false" customHeight="false" outlineLevel="0" collapsed="false">
      <c r="A15" s="26" t="s">
        <v>155</v>
      </c>
      <c r="B15" s="14" t="s">
        <v>156</v>
      </c>
    </row>
    <row r="16" customFormat="false" ht="23.85" hidden="false" customHeight="false" outlineLevel="0" collapsed="false">
      <c r="A16" s="26" t="s">
        <v>157</v>
      </c>
      <c r="B16" s="14" t="s">
        <v>158</v>
      </c>
    </row>
    <row r="17" customFormat="false" ht="23.85" hidden="false" customHeight="false" outlineLevel="0" collapsed="false">
      <c r="A17" s="26" t="s">
        <v>159</v>
      </c>
      <c r="B17" s="14" t="s">
        <v>160</v>
      </c>
    </row>
    <row r="18" customFormat="false" ht="15" hidden="false" customHeight="false" outlineLevel="0" collapsed="false">
      <c r="A18" s="26" t="s">
        <v>161</v>
      </c>
      <c r="B18" s="14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AE0"/>
    <pageSetUpPr fitToPage="false"/>
  </sheetPr>
  <dimension ref="A1:R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86"/>
    <col collapsed="false" customWidth="true" hidden="false" outlineLevel="0" max="18" min="17" style="0" width="13"/>
  </cols>
  <sheetData>
    <row r="1" customFormat="false" ht="18.5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23.85" hidden="false" customHeight="false" outlineLevel="0" collapsed="false">
      <c r="A4" s="10" t="s">
        <v>165</v>
      </c>
      <c r="B4" s="10" t="s">
        <v>48</v>
      </c>
      <c r="C4" s="10" t="s">
        <v>49</v>
      </c>
      <c r="D4" s="10" t="s">
        <v>166</v>
      </c>
      <c r="E4" s="10" t="s">
        <v>167</v>
      </c>
      <c r="F4" s="10" t="s">
        <v>168</v>
      </c>
      <c r="G4" s="10" t="s">
        <v>169</v>
      </c>
      <c r="H4" s="10" t="s">
        <v>170</v>
      </c>
      <c r="I4" s="10" t="s">
        <v>171</v>
      </c>
      <c r="J4" s="10" t="s">
        <v>172</v>
      </c>
      <c r="K4" s="10" t="s">
        <v>173</v>
      </c>
      <c r="L4" s="10" t="s">
        <v>100</v>
      </c>
      <c r="M4" s="10" t="s">
        <v>174</v>
      </c>
      <c r="N4" s="10" t="s">
        <v>175</v>
      </c>
      <c r="O4" s="10" t="s">
        <v>176</v>
      </c>
      <c r="P4" s="10" t="s">
        <v>177</v>
      </c>
      <c r="Q4" s="10" t="s">
        <v>178</v>
      </c>
      <c r="R4" s="10" t="s">
        <v>179</v>
      </c>
    </row>
    <row r="5" customFormat="false" ht="23.85" hidden="false" customHeight="false" outlineLevel="0" collapsed="false">
      <c r="A5" s="27" t="s">
        <v>180</v>
      </c>
      <c r="B5" s="27" t="s">
        <v>52</v>
      </c>
      <c r="C5" s="28" t="s">
        <v>53</v>
      </c>
      <c r="D5" s="29" t="s">
        <v>181</v>
      </c>
      <c r="E5" s="28" t="s">
        <v>182</v>
      </c>
      <c r="F5" s="29" t="s">
        <v>183</v>
      </c>
      <c r="G5" s="29" t="s">
        <v>184</v>
      </c>
      <c r="H5" s="30" t="n">
        <v>0.85</v>
      </c>
      <c r="I5" s="30" t="n">
        <v>0.7</v>
      </c>
      <c r="J5" s="31" t="n">
        <v>0.6</v>
      </c>
      <c r="K5" s="32" t="n">
        <f aca="false">IF(J5="","",IF($H5=$I5,IF(OR(AND($G5="Higher is better",J5&gt;=$H5),AND($G5="Lower is better",J5&lt;=$H5)),A_Scoring_Model!$C$14,0),IF($G5="Higher is better",IF(J5&gt;=$H5,A_Scoring_Model!$C$14,IF(J5&lt;$I5,0,A_Scoring_Model!$C$15+(A_Scoring_Model!$C$14-A_Scoring_Model!$C$15)*(J5-$I5)/($H5-$I5))),IF(J5&lt;=$H5,A_Scoring_Model!$C$14,IF(J5&gt;$I5,0,A_Scoring_Model!$C$15+(A_Scoring_Model!$C$14-A_Scoring_Model!$C$15)*($I5-J5)/($I5-$H5))))))</f>
        <v>0</v>
      </c>
      <c r="L5" s="29" t="str">
        <f aca="false">IF(K5=100,"Meets target",IF(K5=0,"Below floor",IF(K5&gt;=80,"Near target","Above floor")))</f>
        <v>Below floor</v>
      </c>
      <c r="M5" s="29" t="s">
        <v>185</v>
      </c>
      <c r="N5" s="30" t="n">
        <v>0.82</v>
      </c>
      <c r="O5" s="33" t="n">
        <f aca="false">IF(N5="","",IF($H5=$I5,IF(OR(AND($G5="Higher is better",N5&gt;=$H5),AND($G5="Lower is better",N5&lt;=$H5)),A_Scoring_Model!$C$14,0),IF($G5="Higher is better",IF(N5&gt;=$H5,A_Scoring_Model!$C$14,IF(N5&lt;$I5,0,A_Scoring_Model!$C$15+(A_Scoring_Model!$C$14-A_Scoring_Model!$C$15)*(N5-$I5)/($H5-$I5))),IF(N5&lt;=$H5,A_Scoring_Model!$C$14,IF(N5&gt;$I5,0,A_Scoring_Model!$C$15+(A_Scoring_Model!$C$14-A_Scoring_Model!$C$15)*($I5-N5)/($I5-$H5))))))</f>
        <v>92</v>
      </c>
      <c r="P5" s="28" t="s">
        <v>186</v>
      </c>
      <c r="Q5" s="34" t="n">
        <v>0.72</v>
      </c>
      <c r="R5" s="35" t="n">
        <f aca="false">IF(Q5="","",IF($H5=$I5,IF(OR(AND($G5="Higher is better",Q5&gt;=$H5),AND($G5="Lower is better",Q5&lt;=$H5)),A_Scoring_Model!$C$14,0),IF($G5="Higher is better",IF(Q5&gt;=$H5,A_Scoring_Model!$C$14,IF(Q5&lt;$I5,0,A_Scoring_Model!$C$15+(A_Scoring_Model!$C$14-A_Scoring_Model!$C$15)*(Q5-$I5)/($H5-$I5))),IF(Q5&lt;=$H5,A_Scoring_Model!$C$14,IF(Q5&gt;$I5,0,A_Scoring_Model!$C$15+(A_Scoring_Model!$C$14-A_Scoring_Model!$C$15)*($I5-Q5)/($I5-$H5))))))</f>
        <v>65.3333333333333</v>
      </c>
    </row>
    <row r="6" customFormat="false" ht="23.85" hidden="false" customHeight="false" outlineLevel="0" collapsed="false">
      <c r="A6" s="27" t="s">
        <v>187</v>
      </c>
      <c r="B6" s="27" t="s">
        <v>52</v>
      </c>
      <c r="C6" s="28" t="s">
        <v>53</v>
      </c>
      <c r="D6" s="29" t="s">
        <v>181</v>
      </c>
      <c r="E6" s="28" t="s">
        <v>188</v>
      </c>
      <c r="F6" s="29" t="s">
        <v>189</v>
      </c>
      <c r="G6" s="29" t="s">
        <v>184</v>
      </c>
      <c r="H6" s="30" t="n">
        <v>0.8</v>
      </c>
      <c r="I6" s="30" t="n">
        <v>0.65</v>
      </c>
      <c r="J6" s="31" t="n">
        <v>0.4</v>
      </c>
      <c r="K6" s="32" t="n">
        <f aca="false">IF(J6="","",IF($H6=$I6,IF(OR(AND($G6="Higher is better",J6&gt;=$H6),AND($G6="Lower is better",J6&lt;=$H6)),A_Scoring_Model!$C$14,0),IF($G6="Higher is better",IF(J6&gt;=$H6,A_Scoring_Model!$C$14,IF(J6&lt;$I6,0,A_Scoring_Model!$C$15+(A_Scoring_Model!$C$14-A_Scoring_Model!$C$15)*(J6-$I6)/($H6-$I6))),IF(J6&lt;=$H6,A_Scoring_Model!$C$14,IF(J6&gt;$I6,0,A_Scoring_Model!$C$15+(A_Scoring_Model!$C$14-A_Scoring_Model!$C$15)*($I6-J6)/($I6-$H6))))))</f>
        <v>0</v>
      </c>
      <c r="L6" s="29" t="str">
        <f aca="false">IF(K6=100,"Meets target",IF(K6=0,"Below floor",IF(K6&gt;=80,"Near target","Above floor")))</f>
        <v>Below floor</v>
      </c>
      <c r="M6" s="29" t="s">
        <v>185</v>
      </c>
      <c r="N6" s="30" t="n">
        <v>0.72</v>
      </c>
      <c r="O6" s="33" t="n">
        <f aca="false">IF(N6="","",IF($H6=$I6,IF(OR(AND($G6="Higher is better",N6&gt;=$H6),AND($G6="Lower is better",N6&lt;=$H6)),A_Scoring_Model!$C$14,0),IF($G6="Higher is better",IF(N6&gt;=$H6,A_Scoring_Model!$C$14,IF(N6&lt;$I6,0,A_Scoring_Model!$C$15+(A_Scoring_Model!$C$14-A_Scoring_Model!$C$15)*(N6-$I6)/($H6-$I6))),IF(N6&lt;=$H6,A_Scoring_Model!$C$14,IF(N6&gt;$I6,0,A_Scoring_Model!$C$15+(A_Scoring_Model!$C$14-A_Scoring_Model!$C$15)*($I6-N6)/($I6-$H6))))))</f>
        <v>78.6666666666667</v>
      </c>
      <c r="P6" s="28" t="s">
        <v>190</v>
      </c>
      <c r="Q6" s="34" t="n">
        <v>0.68</v>
      </c>
      <c r="R6" s="35" t="n">
        <f aca="false">IF(Q6="","",IF($H6=$I6,IF(OR(AND($G6="Higher is better",Q6&gt;=$H6),AND($G6="Lower is better",Q6&lt;=$H6)),A_Scoring_Model!$C$14,0),IF($G6="Higher is better",IF(Q6&gt;=$H6,A_Scoring_Model!$C$14,IF(Q6&lt;$I6,0,A_Scoring_Model!$C$15+(A_Scoring_Model!$C$14-A_Scoring_Model!$C$15)*(Q6-$I6)/($H6-$I6))),IF(Q6&lt;=$H6,A_Scoring_Model!$C$14,IF(Q6&gt;$I6,0,A_Scoring_Model!$C$15+(A_Scoring_Model!$C$14-A_Scoring_Model!$C$15)*($I6-Q6)/($I6-$H6))))))</f>
        <v>68</v>
      </c>
    </row>
    <row r="7" customFormat="false" ht="23.85" hidden="false" customHeight="false" outlineLevel="0" collapsed="false">
      <c r="A7" s="27" t="s">
        <v>191</v>
      </c>
      <c r="B7" s="27" t="s">
        <v>52</v>
      </c>
      <c r="C7" s="28" t="s">
        <v>53</v>
      </c>
      <c r="D7" s="29" t="s">
        <v>181</v>
      </c>
      <c r="E7" s="28" t="s">
        <v>192</v>
      </c>
      <c r="F7" s="29" t="s">
        <v>193</v>
      </c>
      <c r="G7" s="29" t="s">
        <v>184</v>
      </c>
      <c r="H7" s="30" t="n">
        <v>0.85</v>
      </c>
      <c r="I7" s="30" t="n">
        <v>0.7</v>
      </c>
      <c r="J7" s="31" t="n">
        <v>0.45</v>
      </c>
      <c r="K7" s="32" t="n">
        <f aca="false">IF(J7="","",IF($H7=$I7,IF(OR(AND($G7="Higher is better",J7&gt;=$H7),AND($G7="Lower is better",J7&lt;=$H7)),A_Scoring_Model!$C$14,0),IF($G7="Higher is better",IF(J7&gt;=$H7,A_Scoring_Model!$C$14,IF(J7&lt;$I7,0,A_Scoring_Model!$C$15+(A_Scoring_Model!$C$14-A_Scoring_Model!$C$15)*(J7-$I7)/($H7-$I7))),IF(J7&lt;=$H7,A_Scoring_Model!$C$14,IF(J7&gt;$I7,0,A_Scoring_Model!$C$15+(A_Scoring_Model!$C$14-A_Scoring_Model!$C$15)*($I7-J7)/($I7-$H7))))))</f>
        <v>0</v>
      </c>
      <c r="L7" s="29" t="str">
        <f aca="false">IF(K7=100,"Meets target",IF(K7=0,"Below floor",IF(K7&gt;=80,"Near target","Above floor")))</f>
        <v>Below floor</v>
      </c>
      <c r="M7" s="29" t="s">
        <v>185</v>
      </c>
      <c r="N7" s="30" t="n">
        <v>0.8</v>
      </c>
      <c r="O7" s="33" t="n">
        <f aca="false">IF(N7="","",IF($H7=$I7,IF(OR(AND($G7="Higher is better",N7&gt;=$H7),AND($G7="Lower is better",N7&lt;=$H7)),A_Scoring_Model!$C$14,0),IF($G7="Higher is better",IF(N7&gt;=$H7,A_Scoring_Model!$C$14,IF(N7&lt;$I7,0,A_Scoring_Model!$C$15+(A_Scoring_Model!$C$14-A_Scoring_Model!$C$15)*(N7-$I7)/($H7-$I7))),IF(N7&lt;=$H7,A_Scoring_Model!$C$14,IF(N7&gt;$I7,0,A_Scoring_Model!$C$15+(A_Scoring_Model!$C$14-A_Scoring_Model!$C$15)*($I7-N7)/($I7-$H7))))))</f>
        <v>86.6666666666667</v>
      </c>
      <c r="P7" s="28" t="s">
        <v>194</v>
      </c>
      <c r="Q7" s="34" t="n">
        <v>0.78</v>
      </c>
      <c r="R7" s="35" t="n">
        <f aca="false">IF(Q7="","",IF($H7=$I7,IF(OR(AND($G7="Higher is better",Q7&gt;=$H7),AND($G7="Lower is better",Q7&lt;=$H7)),A_Scoring_Model!$C$14,0),IF($G7="Higher is better",IF(Q7&gt;=$H7,A_Scoring_Model!$C$14,IF(Q7&lt;$I7,0,A_Scoring_Model!$C$15+(A_Scoring_Model!$C$14-A_Scoring_Model!$C$15)*(Q7-$I7)/($H7-$I7))),IF(Q7&lt;=$H7,A_Scoring_Model!$C$14,IF(Q7&gt;$I7,0,A_Scoring_Model!$C$15+(A_Scoring_Model!$C$14-A_Scoring_Model!$C$15)*($I7-Q7)/($I7-$H7))))))</f>
        <v>81.3333333333333</v>
      </c>
    </row>
    <row r="8" customFormat="false" ht="23.85" hidden="false" customHeight="false" outlineLevel="0" collapsed="false">
      <c r="A8" s="27" t="s">
        <v>195</v>
      </c>
      <c r="B8" s="27" t="s">
        <v>52</v>
      </c>
      <c r="C8" s="28" t="s">
        <v>53</v>
      </c>
      <c r="D8" s="29" t="s">
        <v>181</v>
      </c>
      <c r="E8" s="28" t="s">
        <v>196</v>
      </c>
      <c r="F8" s="29" t="s">
        <v>197</v>
      </c>
      <c r="G8" s="29" t="s">
        <v>184</v>
      </c>
      <c r="H8" s="36" t="n">
        <v>0.95</v>
      </c>
      <c r="I8" s="36" t="n">
        <v>0.85</v>
      </c>
      <c r="J8" s="37" t="n">
        <v>0.36</v>
      </c>
      <c r="K8" s="32" t="n">
        <f aca="false">IF(J8="","",IF($H8=$I8,IF(OR(AND($G8="Higher is better",J8&gt;=$H8),AND($G8="Lower is better",J8&lt;=$H8)),A_Scoring_Model!$C$14,0),IF($G8="Higher is better",IF(J8&gt;=$H8,A_Scoring_Model!$C$14,IF(J8&lt;$I8,0,A_Scoring_Model!$C$15+(A_Scoring_Model!$C$14-A_Scoring_Model!$C$15)*(J8-$I8)/($H8-$I8))),IF(J8&lt;=$H8,A_Scoring_Model!$C$14,IF(J8&gt;$I8,0,A_Scoring_Model!$C$15+(A_Scoring_Model!$C$14-A_Scoring_Model!$C$15)*($I8-J8)/($I8-$H8))))))</f>
        <v>0</v>
      </c>
      <c r="L8" s="29" t="str">
        <f aca="false">IF(K8=100,"Meets target",IF(K8=0,"Below floor",IF(K8&gt;=80,"Near target","Above floor")))</f>
        <v>Below floor</v>
      </c>
      <c r="M8" s="29" t="s">
        <v>198</v>
      </c>
      <c r="N8" s="36" t="n">
        <v>0.9</v>
      </c>
      <c r="O8" s="33" t="n">
        <f aca="false">IF(N8="","",IF($H8=$I8,IF(OR(AND($G8="Higher is better",N8&gt;=$H8),AND($G8="Lower is better",N8&lt;=$H8)),A_Scoring_Model!$C$14,0),IF($G8="Higher is better",IF(N8&gt;=$H8,A_Scoring_Model!$C$14,IF(N8&lt;$I8,0,A_Scoring_Model!$C$15+(A_Scoring_Model!$C$14-A_Scoring_Model!$C$15)*(N8-$I8)/($H8-$I8))),IF(N8&lt;=$H8,A_Scoring_Model!$C$14,IF(N8&gt;$I8,0,A_Scoring_Model!$C$15+(A_Scoring_Model!$C$14-A_Scoring_Model!$C$15)*($I8-N8)/($I8-$H8))))))</f>
        <v>80</v>
      </c>
      <c r="P8" s="28" t="s">
        <v>199</v>
      </c>
      <c r="Q8" s="38" t="n">
        <v>0.88</v>
      </c>
      <c r="R8" s="35" t="n">
        <f aca="false">IF(Q8="","",IF($H8=$I8,IF(OR(AND($G8="Higher is better",Q8&gt;=$H8),AND($G8="Lower is better",Q8&lt;=$H8)),A_Scoring_Model!$C$14,0),IF($G8="Higher is better",IF(Q8&gt;=$H8,A_Scoring_Model!$C$14,IF(Q8&lt;$I8,0,A_Scoring_Model!$C$15+(A_Scoring_Model!$C$14-A_Scoring_Model!$C$15)*(Q8-$I8)/($H8-$I8))),IF(Q8&lt;=$H8,A_Scoring_Model!$C$14,IF(Q8&gt;$I8,0,A_Scoring_Model!$C$15+(A_Scoring_Model!$C$14-A_Scoring_Model!$C$15)*($I8-Q8)/($I8-$H8))))))</f>
        <v>72</v>
      </c>
    </row>
    <row r="9" customFormat="false" ht="23.85" hidden="false" customHeight="false" outlineLevel="0" collapsed="false">
      <c r="A9" s="27" t="s">
        <v>200</v>
      </c>
      <c r="B9" s="27" t="s">
        <v>52</v>
      </c>
      <c r="C9" s="28" t="s">
        <v>53</v>
      </c>
      <c r="D9" s="29" t="s">
        <v>181</v>
      </c>
      <c r="E9" s="28" t="s">
        <v>201</v>
      </c>
      <c r="F9" s="29" t="s">
        <v>197</v>
      </c>
      <c r="G9" s="29" t="s">
        <v>184</v>
      </c>
      <c r="H9" s="36" t="n">
        <v>1</v>
      </c>
      <c r="I9" s="36" t="n">
        <v>0.98</v>
      </c>
      <c r="J9" s="37" t="n">
        <v>0.98</v>
      </c>
      <c r="K9" s="32" t="n">
        <f aca="false">IF(J9="","",IF($H9=$I9,IF(OR(AND($G9="Higher is better",J9&gt;=$H9),AND($G9="Lower is better",J9&lt;=$H9)),A_Scoring_Model!$C$14,0),IF($G9="Higher is better",IF(J9&gt;=$H9,A_Scoring_Model!$C$14,IF(J9&lt;$I9,0,A_Scoring_Model!$C$15+(A_Scoring_Model!$C$14-A_Scoring_Model!$C$15)*(J9-$I9)/($H9-$I9))),IF(J9&lt;=$H9,A_Scoring_Model!$C$14,IF(J9&gt;$I9,0,A_Scoring_Model!$C$15+(A_Scoring_Model!$C$14-A_Scoring_Model!$C$15)*($I9-J9)/($I9-$H9))))))</f>
        <v>60</v>
      </c>
      <c r="L9" s="29" t="str">
        <f aca="false">IF(K9=100,"Meets target",IF(K9=0,"Below floor",IF(K9&gt;=80,"Near target","Above floor")))</f>
        <v>Above floor</v>
      </c>
      <c r="M9" s="29" t="s">
        <v>198</v>
      </c>
      <c r="N9" s="36" t="n">
        <v>1</v>
      </c>
      <c r="O9" s="33" t="n">
        <f aca="false">IF(N9="","",IF($H9=$I9,IF(OR(AND($G9="Higher is better",N9&gt;=$H9),AND($G9="Lower is better",N9&lt;=$H9)),A_Scoring_Model!$C$14,0),IF($G9="Higher is better",IF(N9&gt;=$H9,A_Scoring_Model!$C$14,IF(N9&lt;$I9,0,A_Scoring_Model!$C$15+(A_Scoring_Model!$C$14-A_Scoring_Model!$C$15)*(N9-$I9)/($H9-$I9))),IF(N9&lt;=$H9,A_Scoring_Model!$C$14,IF(N9&gt;$I9,0,A_Scoring_Model!$C$15+(A_Scoring_Model!$C$14-A_Scoring_Model!$C$15)*($I9-N9)/($I9-$H9))))))</f>
        <v>100</v>
      </c>
      <c r="P9" s="28" t="s">
        <v>202</v>
      </c>
      <c r="Q9" s="38" t="n">
        <v>0.99</v>
      </c>
      <c r="R9" s="35" t="n">
        <f aca="false">IF(Q9="","",IF($H9=$I9,IF(OR(AND($G9="Higher is better",Q9&gt;=$H9),AND($G9="Lower is better",Q9&lt;=$H9)),A_Scoring_Model!$C$14,0),IF($G9="Higher is better",IF(Q9&gt;=$H9,A_Scoring_Model!$C$14,IF(Q9&lt;$I9,0,A_Scoring_Model!$C$15+(A_Scoring_Model!$C$14-A_Scoring_Model!$C$15)*(Q9-$I9)/($H9-$I9))),IF(Q9&lt;=$H9,A_Scoring_Model!$C$14,IF(Q9&gt;$I9,0,A_Scoring_Model!$C$15+(A_Scoring_Model!$C$14-A_Scoring_Model!$C$15)*($I9-Q9)/($I9-$H9))))))</f>
        <v>80</v>
      </c>
    </row>
    <row r="10" customFormat="false" ht="23.85" hidden="false" customHeight="false" outlineLevel="0" collapsed="false">
      <c r="A10" s="27" t="s">
        <v>203</v>
      </c>
      <c r="B10" s="27" t="s">
        <v>52</v>
      </c>
      <c r="C10" s="28" t="s">
        <v>53</v>
      </c>
      <c r="D10" s="29" t="s">
        <v>181</v>
      </c>
      <c r="E10" s="28" t="s">
        <v>204</v>
      </c>
      <c r="F10" s="29" t="s">
        <v>197</v>
      </c>
      <c r="G10" s="29" t="s">
        <v>205</v>
      </c>
      <c r="H10" s="36" t="n">
        <v>0.05</v>
      </c>
      <c r="I10" s="36" t="n">
        <v>0.1</v>
      </c>
      <c r="J10" s="37" t="n">
        <v>0.08</v>
      </c>
      <c r="K10" s="32" t="n">
        <f aca="false">IF(J10="","",IF($H10=$I10,IF(OR(AND($G10="Higher is better",J10&gt;=$H10),AND($G10="Lower is better",J10&lt;=$H10)),A_Scoring_Model!$C$14,0),IF($G10="Higher is better",IF(J10&gt;=$H10,A_Scoring_Model!$C$14,IF(J10&lt;$I10,0,A_Scoring_Model!$C$15+(A_Scoring_Model!$C$14-A_Scoring_Model!$C$15)*(J10-$I10)/($H10-$I10))),IF(J10&lt;=$H10,A_Scoring_Model!$C$14,IF(J10&gt;$I10,0,A_Scoring_Model!$C$15+(A_Scoring_Model!$C$14-A_Scoring_Model!$C$15)*($I10-J10)/($I10-$H10))))))</f>
        <v>76</v>
      </c>
      <c r="L10" s="29" t="str">
        <f aca="false">IF(K10=100,"Meets target",IF(K10=0,"Below floor",IF(K10&gt;=80,"Near target","Above floor")))</f>
        <v>Above floor</v>
      </c>
      <c r="M10" s="29" t="s">
        <v>185</v>
      </c>
      <c r="N10" s="36" t="n">
        <v>0.04</v>
      </c>
      <c r="O10" s="33" t="n">
        <f aca="false">IF(N10="","",IF($H10=$I10,IF(OR(AND($G10="Higher is better",N10&gt;=$H10),AND($G10="Lower is better",N10&lt;=$H10)),A_Scoring_Model!$C$14,0),IF($G10="Higher is better",IF(N10&gt;=$H10,A_Scoring_Model!$C$14,IF(N10&lt;$I10,0,A_Scoring_Model!$C$15+(A_Scoring_Model!$C$14-A_Scoring_Model!$C$15)*(N10-$I10)/($H10-$I10))),IF(N10&lt;=$H10,A_Scoring_Model!$C$14,IF(N10&gt;$I10,0,A_Scoring_Model!$C$15+(A_Scoring_Model!$C$14-A_Scoring_Model!$C$15)*($I10-N10)/($I10-$H10))))))</f>
        <v>100</v>
      </c>
      <c r="P10" s="28" t="s">
        <v>206</v>
      </c>
      <c r="Q10" s="38" t="n">
        <v>0.04</v>
      </c>
      <c r="R10" s="35" t="n">
        <f aca="false">IF(Q10="","",IF($H10=$I10,IF(OR(AND($G10="Higher is better",Q10&gt;=$H10),AND($G10="Lower is better",Q10&lt;=$H10)),A_Scoring_Model!$C$14,0),IF($G10="Higher is better",IF(Q10&gt;=$H10,A_Scoring_Model!$C$14,IF(Q10&lt;$I10,0,A_Scoring_Model!$C$15+(A_Scoring_Model!$C$14-A_Scoring_Model!$C$15)*(Q10-$I10)/($H10-$I10))),IF(Q10&lt;=$H10,A_Scoring_Model!$C$14,IF(Q10&gt;$I10,0,A_Scoring_Model!$C$15+(A_Scoring_Model!$C$14-A_Scoring_Model!$C$15)*($I10-Q10)/($I10-$H10))))))</f>
        <v>100</v>
      </c>
    </row>
    <row r="11" customFormat="false" ht="23.85" hidden="false" customHeight="false" outlineLevel="0" collapsed="false">
      <c r="A11" s="27" t="s">
        <v>207</v>
      </c>
      <c r="B11" s="27" t="s">
        <v>52</v>
      </c>
      <c r="C11" s="28" t="s">
        <v>53</v>
      </c>
      <c r="D11" s="29" t="s">
        <v>181</v>
      </c>
      <c r="E11" s="28" t="s">
        <v>208</v>
      </c>
      <c r="F11" s="29" t="s">
        <v>197</v>
      </c>
      <c r="G11" s="29" t="s">
        <v>184</v>
      </c>
      <c r="H11" s="36" t="n">
        <v>0.9</v>
      </c>
      <c r="I11" s="36" t="n">
        <v>0.75</v>
      </c>
      <c r="J11" s="37" t="n">
        <v>0.85</v>
      </c>
      <c r="K11" s="32" t="n">
        <f aca="false">IF(J11="","",IF($H11=$I11,IF(OR(AND($G11="Higher is better",J11&gt;=$H11),AND($G11="Lower is better",J11&lt;=$H11)),A_Scoring_Model!$C$14,0),IF($G11="Higher is better",IF(J11&gt;=$H11,A_Scoring_Model!$C$14,IF(J11&lt;$I11,0,A_Scoring_Model!$C$15+(A_Scoring_Model!$C$14-A_Scoring_Model!$C$15)*(J11-$I11)/($H11-$I11))),IF(J11&lt;=$H11,A_Scoring_Model!$C$14,IF(J11&gt;$I11,0,A_Scoring_Model!$C$15+(A_Scoring_Model!$C$14-A_Scoring_Model!$C$15)*($I11-J11)/($I11-$H11))))))</f>
        <v>86.6666666666667</v>
      </c>
      <c r="L11" s="29" t="str">
        <f aca="false">IF(K11=100,"Meets target",IF(K11=0,"Below floor",IF(K11&gt;=80,"Near target","Above floor")))</f>
        <v>Near target</v>
      </c>
      <c r="M11" s="29" t="s">
        <v>198</v>
      </c>
      <c r="N11" s="36" t="n">
        <v>0.92</v>
      </c>
      <c r="O11" s="33" t="n">
        <f aca="false">IF(N11="","",IF($H11=$I11,IF(OR(AND($G11="Higher is better",N11&gt;=$H11),AND($G11="Lower is better",N11&lt;=$H11)),A_Scoring_Model!$C$14,0),IF($G11="Higher is better",IF(N11&gt;=$H11,A_Scoring_Model!$C$14,IF(N11&lt;$I11,0,A_Scoring_Model!$C$15+(A_Scoring_Model!$C$14-A_Scoring_Model!$C$15)*(N11-$I11)/($H11-$I11))),IF(N11&lt;=$H11,A_Scoring_Model!$C$14,IF(N11&gt;$I11,0,A_Scoring_Model!$C$15+(A_Scoring_Model!$C$14-A_Scoring_Model!$C$15)*($I11-N11)/($I11-$H11))))))</f>
        <v>100</v>
      </c>
      <c r="P11" s="28" t="s">
        <v>209</v>
      </c>
      <c r="Q11" s="38" t="n">
        <v>0.9</v>
      </c>
      <c r="R11" s="35" t="n">
        <f aca="false">IF(Q11="","",IF($H11=$I11,IF(OR(AND($G11="Higher is better",Q11&gt;=$H11),AND($G11="Lower is better",Q11&lt;=$H11)),A_Scoring_Model!$C$14,0),IF($G11="Higher is better",IF(Q11&gt;=$H11,A_Scoring_Model!$C$14,IF(Q11&lt;$I11,0,A_Scoring_Model!$C$15+(A_Scoring_Model!$C$14-A_Scoring_Model!$C$15)*(Q11-$I11)/($H11-$I11))),IF(Q11&lt;=$H11,A_Scoring_Model!$C$14,IF(Q11&gt;$I11,0,A_Scoring_Model!$C$15+(A_Scoring_Model!$C$14-A_Scoring_Model!$C$15)*($I11-Q11)/($I11-$H11))))))</f>
        <v>100</v>
      </c>
    </row>
    <row r="12" customFormat="false" ht="15" hidden="false" customHeight="false" outlineLevel="0" collapsed="false">
      <c r="A12" s="11" t="s">
        <v>210</v>
      </c>
      <c r="B12" s="11" t="s">
        <v>55</v>
      </c>
      <c r="C12" s="14" t="s">
        <v>56</v>
      </c>
      <c r="D12" s="39" t="s">
        <v>181</v>
      </c>
      <c r="E12" s="14" t="s">
        <v>211</v>
      </c>
      <c r="F12" s="39" t="s">
        <v>212</v>
      </c>
      <c r="G12" s="39" t="s">
        <v>184</v>
      </c>
      <c r="H12" s="40" t="n">
        <v>3</v>
      </c>
      <c r="I12" s="40" t="n">
        <v>2</v>
      </c>
      <c r="J12" s="41" t="n">
        <v>1</v>
      </c>
      <c r="K12" s="42" t="n">
        <f aca="false">IF(J12="","",IF($H12=$I12,IF(OR(AND($G12="Higher is better",J12&gt;=$H12),AND($G12="Lower is better",J12&lt;=$H12)),A_Scoring_Model!$C$14,0),IF($G12="Higher is better",IF(J12&gt;=$H12,A_Scoring_Model!$C$14,IF(J12&lt;$I12,0,A_Scoring_Model!$C$15+(A_Scoring_Model!$C$14-A_Scoring_Model!$C$15)*(J12-$I12)/($H12-$I12))),IF(J12&lt;=$H12,A_Scoring_Model!$C$14,IF(J12&gt;$I12,0,A_Scoring_Model!$C$15+(A_Scoring_Model!$C$14-A_Scoring_Model!$C$15)*($I12-J12)/($I12-$H12))))))</f>
        <v>0</v>
      </c>
      <c r="L12" s="39" t="str">
        <f aca="false">IF(K12=100,"Meets target",IF(K12=0,"Below floor",IF(K12&gt;=80,"Near target","Above floor")))</f>
        <v>Below floor</v>
      </c>
      <c r="M12" s="39" t="s">
        <v>213</v>
      </c>
      <c r="N12" s="40" t="n">
        <v>2</v>
      </c>
      <c r="O12" s="35" t="n">
        <f aca="false">IF(N12="","",IF($H12=$I12,IF(OR(AND($G12="Higher is better",N12&gt;=$H12),AND($G12="Lower is better",N12&lt;=$H12)),A_Scoring_Model!$C$14,0),IF($G12="Higher is better",IF(N12&gt;=$H12,A_Scoring_Model!$C$14,IF(N12&lt;$I12,0,A_Scoring_Model!$C$15+(A_Scoring_Model!$C$14-A_Scoring_Model!$C$15)*(N12-$I12)/($H12-$I12))),IF(N12&lt;=$H12,A_Scoring_Model!$C$14,IF(N12&gt;$I12,0,A_Scoring_Model!$C$15+(A_Scoring_Model!$C$14-A_Scoring_Model!$C$15)*($I12-N12)/($I12-$H12))))))</f>
        <v>60</v>
      </c>
      <c r="P12" s="14" t="s">
        <v>214</v>
      </c>
      <c r="Q12" s="40" t="n">
        <v>1</v>
      </c>
      <c r="R12" s="35" t="n">
        <f aca="false">IF(Q12="","",IF($H12=$I12,IF(OR(AND($G12="Higher is better",Q12&gt;=$H12),AND($G12="Lower is better",Q12&lt;=$H12)),A_Scoring_Model!$C$14,0),IF($G12="Higher is better",IF(Q12&gt;=$H12,A_Scoring_Model!$C$14,IF(Q12&lt;$I12,0,A_Scoring_Model!$C$15+(A_Scoring_Model!$C$14-A_Scoring_Model!$C$15)*(Q12-$I12)/($H12-$I12))),IF(Q12&lt;=$H12,A_Scoring_Model!$C$14,IF(Q12&gt;$I12,0,A_Scoring_Model!$C$15+(A_Scoring_Model!$C$14-A_Scoring_Model!$C$15)*($I12-Q12)/($I12-$H12))))))</f>
        <v>0</v>
      </c>
    </row>
    <row r="13" customFormat="false" ht="15" hidden="false" customHeight="false" outlineLevel="0" collapsed="false">
      <c r="A13" s="11" t="s">
        <v>215</v>
      </c>
      <c r="B13" s="11" t="s">
        <v>55</v>
      </c>
      <c r="C13" s="14" t="s">
        <v>56</v>
      </c>
      <c r="D13" s="39" t="s">
        <v>181</v>
      </c>
      <c r="E13" s="14" t="s">
        <v>216</v>
      </c>
      <c r="F13" s="39" t="s">
        <v>212</v>
      </c>
      <c r="G13" s="39" t="s">
        <v>184</v>
      </c>
      <c r="H13" s="40" t="n">
        <v>4</v>
      </c>
      <c r="I13" s="40" t="n">
        <v>3</v>
      </c>
      <c r="J13" s="41" t="n">
        <v>4</v>
      </c>
      <c r="K13" s="42" t="n">
        <f aca="false">IF(J13="","",IF($H13=$I13,IF(OR(AND($G13="Higher is better",J13&gt;=$H13),AND($G13="Lower is better",J13&lt;=$H13)),A_Scoring_Model!$C$14,0),IF($G13="Higher is better",IF(J13&gt;=$H13,A_Scoring_Model!$C$14,IF(J13&lt;$I13,0,A_Scoring_Model!$C$15+(A_Scoring_Model!$C$14-A_Scoring_Model!$C$15)*(J13-$I13)/($H13-$I13))),IF(J13&lt;=$H13,A_Scoring_Model!$C$14,IF(J13&gt;$I13,0,A_Scoring_Model!$C$15+(A_Scoring_Model!$C$14-A_Scoring_Model!$C$15)*($I13-J13)/($I13-$H13))))))</f>
        <v>100</v>
      </c>
      <c r="L13" s="39" t="str">
        <f aca="false">IF(K13=100,"Meets target",IF(K13=0,"Below floor",IF(K13&gt;=80,"Near target","Above floor")))</f>
        <v>Meets target</v>
      </c>
      <c r="M13" s="39" t="s">
        <v>213</v>
      </c>
      <c r="N13" s="40" t="n">
        <v>5</v>
      </c>
      <c r="O13" s="35" t="n">
        <f aca="false">IF(N13="","",IF($H13=$I13,IF(OR(AND($G13="Higher is better",N13&gt;=$H13),AND($G13="Lower is better",N13&lt;=$H13)),A_Scoring_Model!$C$14,0),IF($G13="Higher is better",IF(N13&gt;=$H13,A_Scoring_Model!$C$14,IF(N13&lt;$I13,0,A_Scoring_Model!$C$15+(A_Scoring_Model!$C$14-A_Scoring_Model!$C$15)*(N13-$I13)/($H13-$I13))),IF(N13&lt;=$H13,A_Scoring_Model!$C$14,IF(N13&gt;$I13,0,A_Scoring_Model!$C$15+(A_Scoring_Model!$C$14-A_Scoring_Model!$C$15)*($I13-N13)/($I13-$H13))))))</f>
        <v>100</v>
      </c>
      <c r="P13" s="14" t="s">
        <v>217</v>
      </c>
      <c r="Q13" s="40" t="n">
        <v>4</v>
      </c>
      <c r="R13" s="35" t="n">
        <f aca="false">IF(Q13="","",IF($H13=$I13,IF(OR(AND($G13="Higher is better",Q13&gt;=$H13),AND($G13="Lower is better",Q13&lt;=$H13)),A_Scoring_Model!$C$14,0),IF($G13="Higher is better",IF(Q13&gt;=$H13,A_Scoring_Model!$C$14,IF(Q13&lt;$I13,0,A_Scoring_Model!$C$15+(A_Scoring_Model!$C$14-A_Scoring_Model!$C$15)*(Q13-$I13)/($H13-$I13))),IF(Q13&lt;=$H13,A_Scoring_Model!$C$14,IF(Q13&gt;$I13,0,A_Scoring_Model!$C$15+(A_Scoring_Model!$C$14-A_Scoring_Model!$C$15)*($I13-Q13)/($I13-$H13))))))</f>
        <v>100</v>
      </c>
    </row>
    <row r="14" customFormat="false" ht="23.85" hidden="false" customHeight="false" outlineLevel="0" collapsed="false">
      <c r="A14" s="11" t="s">
        <v>218</v>
      </c>
      <c r="B14" s="11" t="s">
        <v>55</v>
      </c>
      <c r="C14" s="14" t="s">
        <v>56</v>
      </c>
      <c r="D14" s="39" t="s">
        <v>181</v>
      </c>
      <c r="E14" s="14" t="s">
        <v>219</v>
      </c>
      <c r="F14" s="39" t="s">
        <v>220</v>
      </c>
      <c r="G14" s="39" t="s">
        <v>184</v>
      </c>
      <c r="H14" s="17" t="n">
        <v>1</v>
      </c>
      <c r="I14" s="35" t="n">
        <f aca="false">IF(G14="Higher is better",H14*(1-A_Scoring_Model!$C$16),H14*(1+A_Scoring_Model!$C$16))</f>
        <v>0.8</v>
      </c>
      <c r="J14" s="43" t="n">
        <v>1</v>
      </c>
      <c r="K14" s="42" t="n">
        <f aca="false">IF(J14="","",IF($H14=$I14,IF(OR(AND($G14="Higher is better",J14&gt;=$H14),AND($G14="Lower is better",J14&lt;=$H14)),A_Scoring_Model!$C$14,0),IF($G14="Higher is better",IF(J14&gt;=$H14,A_Scoring_Model!$C$14,IF(J14&lt;$I14,0,A_Scoring_Model!$C$15+(A_Scoring_Model!$C$14-A_Scoring_Model!$C$15)*(J14-$I14)/($H14-$I14))),IF(J14&lt;=$H14,A_Scoring_Model!$C$14,IF(J14&gt;$I14,0,A_Scoring_Model!$C$15+(A_Scoring_Model!$C$14-A_Scoring_Model!$C$15)*($I14-J14)/($I14-$H14))))))</f>
        <v>100</v>
      </c>
      <c r="L14" s="39" t="str">
        <f aca="false">IF(K14=100,"Meets target",IF(K14=0,"Below floor",IF(K14&gt;=80,"Near target","Above floor")))</f>
        <v>Meets target</v>
      </c>
      <c r="M14" s="39" t="s">
        <v>213</v>
      </c>
      <c r="N14" s="17" t="n">
        <v>1</v>
      </c>
      <c r="O14" s="35" t="n">
        <f aca="false">IF(N14="","",IF($H14=$I14,IF(OR(AND($G14="Higher is better",N14&gt;=$H14),AND($G14="Lower is better",N14&lt;=$H14)),A_Scoring_Model!$C$14,0),IF($G14="Higher is better",IF(N14&gt;=$H14,A_Scoring_Model!$C$14,IF(N14&lt;$I14,0,A_Scoring_Model!$C$15+(A_Scoring_Model!$C$14-A_Scoring_Model!$C$15)*(N14-$I14)/($H14-$I14))),IF(N14&lt;=$H14,A_Scoring_Model!$C$14,IF(N14&gt;$I14,0,A_Scoring_Model!$C$15+(A_Scoring_Model!$C$14-A_Scoring_Model!$C$15)*($I14-N14)/($I14-$H14))))))</f>
        <v>100</v>
      </c>
      <c r="P14" s="14" t="s">
        <v>221</v>
      </c>
      <c r="Q14" s="17" t="n">
        <v>1</v>
      </c>
      <c r="R14" s="35" t="n">
        <f aca="false">IF(Q14="","",IF($H14=$I14,IF(OR(AND($G14="Higher is better",Q14&gt;=$H14),AND($G14="Lower is better",Q14&lt;=$H14)),A_Scoring_Model!$C$14,0),IF($G14="Higher is better",IF(Q14&gt;=$H14,A_Scoring_Model!$C$14,IF(Q14&lt;$I14,0,A_Scoring_Model!$C$15+(A_Scoring_Model!$C$14-A_Scoring_Model!$C$15)*(Q14-$I14)/($H14-$I14))),IF(Q14&lt;=$H14,A_Scoring_Model!$C$14,IF(Q14&gt;$I14,0,A_Scoring_Model!$C$15+(A_Scoring_Model!$C$14-A_Scoring_Model!$C$15)*($I14-Q14)/($I14-$H14))))))</f>
        <v>100</v>
      </c>
    </row>
    <row r="15" customFormat="false" ht="23.85" hidden="false" customHeight="false" outlineLevel="0" collapsed="false">
      <c r="A15" s="11" t="s">
        <v>222</v>
      </c>
      <c r="B15" s="11" t="s">
        <v>55</v>
      </c>
      <c r="C15" s="14" t="s">
        <v>56</v>
      </c>
      <c r="D15" s="39" t="s">
        <v>181</v>
      </c>
      <c r="E15" s="14" t="s">
        <v>223</v>
      </c>
      <c r="F15" s="39" t="s">
        <v>224</v>
      </c>
      <c r="G15" s="39" t="s">
        <v>184</v>
      </c>
      <c r="H15" s="40" t="n">
        <v>2</v>
      </c>
      <c r="I15" s="40" t="n">
        <v>1</v>
      </c>
      <c r="J15" s="41" t="n">
        <v>2</v>
      </c>
      <c r="K15" s="42" t="n">
        <f aca="false">IF(J15="","",IF($H15=$I15,IF(OR(AND($G15="Higher is better",J15&gt;=$H15),AND($G15="Lower is better",J15&lt;=$H15)),A_Scoring_Model!$C$14,0),IF($G15="Higher is better",IF(J15&gt;=$H15,A_Scoring_Model!$C$14,IF(J15&lt;$I15,0,A_Scoring_Model!$C$15+(A_Scoring_Model!$C$14-A_Scoring_Model!$C$15)*(J15-$I15)/($H15-$I15))),IF(J15&lt;=$H15,A_Scoring_Model!$C$14,IF(J15&gt;$I15,0,A_Scoring_Model!$C$15+(A_Scoring_Model!$C$14-A_Scoring_Model!$C$15)*($I15-J15)/($I15-$H15))))))</f>
        <v>100</v>
      </c>
      <c r="L15" s="39" t="str">
        <f aca="false">IF(K15=100,"Meets target",IF(K15=0,"Below floor",IF(K15&gt;=80,"Near target","Above floor")))</f>
        <v>Meets target</v>
      </c>
      <c r="M15" s="39" t="s">
        <v>198</v>
      </c>
      <c r="N15" s="40" t="n">
        <v>2</v>
      </c>
      <c r="O15" s="35" t="n">
        <f aca="false">IF(N15="","",IF($H15=$I15,IF(OR(AND($G15="Higher is better",N15&gt;=$H15),AND($G15="Lower is better",N15&lt;=$H15)),A_Scoring_Model!$C$14,0),IF($G15="Higher is better",IF(N15&gt;=$H15,A_Scoring_Model!$C$14,IF(N15&lt;$I15,0,A_Scoring_Model!$C$15+(A_Scoring_Model!$C$14-A_Scoring_Model!$C$15)*(N15-$I15)/($H15-$I15))),IF(N15&lt;=$H15,A_Scoring_Model!$C$14,IF(N15&gt;$I15,0,A_Scoring_Model!$C$15+(A_Scoring_Model!$C$14-A_Scoring_Model!$C$15)*($I15-N15)/($I15-$H15))))))</f>
        <v>100</v>
      </c>
      <c r="P15" s="14" t="s">
        <v>225</v>
      </c>
      <c r="Q15" s="40" t="n">
        <v>2</v>
      </c>
      <c r="R15" s="35" t="n">
        <f aca="false">IF(Q15="","",IF($H15=$I15,IF(OR(AND($G15="Higher is better",Q15&gt;=$H15),AND($G15="Lower is better",Q15&lt;=$H15)),A_Scoring_Model!$C$14,0),IF($G15="Higher is better",IF(Q15&gt;=$H15,A_Scoring_Model!$C$14,IF(Q15&lt;$I15,0,A_Scoring_Model!$C$15+(A_Scoring_Model!$C$14-A_Scoring_Model!$C$15)*(Q15-$I15)/($H15-$I15))),IF(Q15&lt;=$H15,A_Scoring_Model!$C$14,IF(Q15&gt;$I15,0,A_Scoring_Model!$C$15+(A_Scoring_Model!$C$14-A_Scoring_Model!$C$15)*($I15-Q15)/($I15-$H15))))))</f>
        <v>100</v>
      </c>
    </row>
    <row r="16" customFormat="false" ht="23.85" hidden="false" customHeight="false" outlineLevel="0" collapsed="false">
      <c r="A16" s="11" t="s">
        <v>226</v>
      </c>
      <c r="B16" s="11" t="s">
        <v>55</v>
      </c>
      <c r="C16" s="14" t="s">
        <v>56</v>
      </c>
      <c r="D16" s="39" t="s">
        <v>227</v>
      </c>
      <c r="E16" s="14" t="s">
        <v>228</v>
      </c>
      <c r="F16" s="39" t="s">
        <v>212</v>
      </c>
      <c r="G16" s="39" t="s">
        <v>184</v>
      </c>
      <c r="H16" s="40" t="n">
        <v>3</v>
      </c>
      <c r="I16" s="40" t="n">
        <v>2</v>
      </c>
      <c r="J16" s="41" t="n">
        <v>3</v>
      </c>
      <c r="K16" s="42" t="n">
        <f aca="false">IF(J16="","",IF($H16=$I16,IF(OR(AND($G16="Higher is better",J16&gt;=$H16),AND($G16="Lower is better",J16&lt;=$H16)),A_Scoring_Model!$C$14,0),IF($G16="Higher is better",IF(J16&gt;=$H16,A_Scoring_Model!$C$14,IF(J16&lt;$I16,0,A_Scoring_Model!$C$15+(A_Scoring_Model!$C$14-A_Scoring_Model!$C$15)*(J16-$I16)/($H16-$I16))),IF(J16&lt;=$H16,A_Scoring_Model!$C$14,IF(J16&gt;$I16,0,A_Scoring_Model!$C$15+(A_Scoring_Model!$C$14-A_Scoring_Model!$C$15)*($I16-J16)/($I16-$H16))))))</f>
        <v>100</v>
      </c>
      <c r="L16" s="39" t="str">
        <f aca="false">IF(K16=100,"Meets target",IF(K16=0,"Below floor",IF(K16&gt;=80,"Near target","Above floor")))</f>
        <v>Meets target</v>
      </c>
      <c r="M16" s="39" t="s">
        <v>198</v>
      </c>
      <c r="N16" s="40" t="n">
        <v>3</v>
      </c>
      <c r="O16" s="35" t="n">
        <f aca="false">IF(N16="","",IF($H16=$I16,IF(OR(AND($G16="Higher is better",N16&gt;=$H16),AND($G16="Lower is better",N16&lt;=$H16)),A_Scoring_Model!$C$14,0),IF($G16="Higher is better",IF(N16&gt;=$H16,A_Scoring_Model!$C$14,IF(N16&lt;$I16,0,A_Scoring_Model!$C$15+(A_Scoring_Model!$C$14-A_Scoring_Model!$C$15)*(N16-$I16)/($H16-$I16))),IF(N16&lt;=$H16,A_Scoring_Model!$C$14,IF(N16&gt;$I16,0,A_Scoring_Model!$C$15+(A_Scoring_Model!$C$14-A_Scoring_Model!$C$15)*($I16-N16)/($I16-$H16))))))</f>
        <v>100</v>
      </c>
      <c r="P16" s="14" t="s">
        <v>229</v>
      </c>
      <c r="Q16" s="40" t="n">
        <v>3</v>
      </c>
      <c r="R16" s="35" t="n">
        <f aca="false">IF(Q16="","",IF($H16=$I16,IF(OR(AND($G16="Higher is better",Q16&gt;=$H16),AND($G16="Lower is better",Q16&lt;=$H16)),A_Scoring_Model!$C$14,0),IF($G16="Higher is better",IF(Q16&gt;=$H16,A_Scoring_Model!$C$14,IF(Q16&lt;$I16,0,A_Scoring_Model!$C$15+(A_Scoring_Model!$C$14-A_Scoring_Model!$C$15)*(Q16-$I16)/($H16-$I16))),IF(Q16&lt;=$H16,A_Scoring_Model!$C$14,IF(Q16&gt;$I16,0,A_Scoring_Model!$C$15+(A_Scoring_Model!$C$14-A_Scoring_Model!$C$15)*($I16-Q16)/($I16-$H16))))))</f>
        <v>100</v>
      </c>
    </row>
    <row r="17" customFormat="false" ht="23.85" hidden="false" customHeight="false" outlineLevel="0" collapsed="false">
      <c r="A17" s="11" t="s">
        <v>230</v>
      </c>
      <c r="B17" s="11" t="s">
        <v>55</v>
      </c>
      <c r="C17" s="14" t="s">
        <v>56</v>
      </c>
      <c r="D17" s="39" t="s">
        <v>227</v>
      </c>
      <c r="E17" s="14" t="s">
        <v>231</v>
      </c>
      <c r="F17" s="39" t="s">
        <v>220</v>
      </c>
      <c r="G17" s="39" t="s">
        <v>184</v>
      </c>
      <c r="H17" s="17" t="n">
        <v>1</v>
      </c>
      <c r="I17" s="35" t="n">
        <f aca="false">IF(G17="Higher is better",H17*(1-A_Scoring_Model!$C$16),H17*(1+A_Scoring_Model!$C$16))</f>
        <v>0.8</v>
      </c>
      <c r="J17" s="43" t="n">
        <v>0</v>
      </c>
      <c r="K17" s="42" t="n">
        <f aca="false">IF(J17="","",IF($H17=$I17,IF(OR(AND($G17="Higher is better",J17&gt;=$H17),AND($G17="Lower is better",J17&lt;=$H17)),A_Scoring_Model!$C$14,0),IF($G17="Higher is better",IF(J17&gt;=$H17,A_Scoring_Model!$C$14,IF(J17&lt;$I17,0,A_Scoring_Model!$C$15+(A_Scoring_Model!$C$14-A_Scoring_Model!$C$15)*(J17-$I17)/($H17-$I17))),IF(J17&lt;=$H17,A_Scoring_Model!$C$14,IF(J17&gt;$I17,0,A_Scoring_Model!$C$15+(A_Scoring_Model!$C$14-A_Scoring_Model!$C$15)*($I17-J17)/($I17-$H17))))))</f>
        <v>0</v>
      </c>
      <c r="L17" s="39" t="str">
        <f aca="false">IF(K17=100,"Meets target",IF(K17=0,"Below floor",IF(K17&gt;=80,"Near target","Above floor")))</f>
        <v>Below floor</v>
      </c>
      <c r="M17" s="39" t="s">
        <v>213</v>
      </c>
      <c r="N17" s="17" t="n">
        <v>1</v>
      </c>
      <c r="O17" s="35" t="n">
        <f aca="false">IF(N17="","",IF($H17=$I17,IF(OR(AND($G17="Higher is better",N17&gt;=$H17),AND($G17="Lower is better",N17&lt;=$H17)),A_Scoring_Model!$C$14,0),IF($G17="Higher is better",IF(N17&gt;=$H17,A_Scoring_Model!$C$14,IF(N17&lt;$I17,0,A_Scoring_Model!$C$15+(A_Scoring_Model!$C$14-A_Scoring_Model!$C$15)*(N17-$I17)/($H17-$I17))),IF(N17&lt;=$H17,A_Scoring_Model!$C$14,IF(N17&gt;$I17,0,A_Scoring_Model!$C$15+(A_Scoring_Model!$C$14-A_Scoring_Model!$C$15)*($I17-N17)/($I17-$H17))))))</f>
        <v>100</v>
      </c>
      <c r="P17" s="14" t="s">
        <v>232</v>
      </c>
      <c r="Q17" s="17" t="n">
        <v>0</v>
      </c>
      <c r="R17" s="35" t="n">
        <f aca="false">IF(Q17="","",IF($H17=$I17,IF(OR(AND($G17="Higher is better",Q17&gt;=$H17),AND($G17="Lower is better",Q17&lt;=$H17)),A_Scoring_Model!$C$14,0),IF($G17="Higher is better",IF(Q17&gt;=$H17,A_Scoring_Model!$C$14,IF(Q17&lt;$I17,0,A_Scoring_Model!$C$15+(A_Scoring_Model!$C$14-A_Scoring_Model!$C$15)*(Q17-$I17)/($H17-$I17))),IF(Q17&lt;=$H17,A_Scoring_Model!$C$14,IF(Q17&gt;$I17,0,A_Scoring_Model!$C$15+(A_Scoring_Model!$C$14-A_Scoring_Model!$C$15)*($I17-Q17)/($I17-$H17))))))</f>
        <v>0</v>
      </c>
    </row>
    <row r="18" customFormat="false" ht="23.85" hidden="false" customHeight="false" outlineLevel="0" collapsed="false">
      <c r="A18" s="27" t="s">
        <v>233</v>
      </c>
      <c r="B18" s="27" t="s">
        <v>58</v>
      </c>
      <c r="C18" s="28" t="s">
        <v>59</v>
      </c>
      <c r="D18" s="29" t="s">
        <v>181</v>
      </c>
      <c r="E18" s="28" t="s">
        <v>234</v>
      </c>
      <c r="F18" s="29" t="s">
        <v>235</v>
      </c>
      <c r="G18" s="29" t="s">
        <v>205</v>
      </c>
      <c r="H18" s="44" t="n">
        <v>5</v>
      </c>
      <c r="I18" s="44" t="n">
        <v>10</v>
      </c>
      <c r="J18" s="41" t="n">
        <v>2</v>
      </c>
      <c r="K18" s="32" t="n">
        <f aca="false">IF(J18="","",IF($H18=$I18,IF(OR(AND($G18="Higher is better",J18&gt;=$H18),AND($G18="Lower is better",J18&lt;=$H18)),A_Scoring_Model!$C$14,0),IF($G18="Higher is better",IF(J18&gt;=$H18,A_Scoring_Model!$C$14,IF(J18&lt;$I18,0,A_Scoring_Model!$C$15+(A_Scoring_Model!$C$14-A_Scoring_Model!$C$15)*(J18-$I18)/($H18-$I18))),IF(J18&lt;=$H18,A_Scoring_Model!$C$14,IF(J18&gt;$I18,0,A_Scoring_Model!$C$15+(A_Scoring_Model!$C$14-A_Scoring_Model!$C$15)*($I18-J18)/($I18-$H18))))))</f>
        <v>100</v>
      </c>
      <c r="L18" s="29" t="str">
        <f aca="false">IF(K18=100,"Meets target",IF(K18=0,"Below floor",IF(K18&gt;=80,"Near target","Above floor")))</f>
        <v>Meets target</v>
      </c>
      <c r="M18" s="29" t="s">
        <v>213</v>
      </c>
      <c r="N18" s="44" t="n">
        <v>2</v>
      </c>
      <c r="O18" s="33" t="n">
        <f aca="false">IF(N18="","",IF($H18=$I18,IF(OR(AND($G18="Higher is better",N18&gt;=$H18),AND($G18="Lower is better",N18&lt;=$H18)),A_Scoring_Model!$C$14,0),IF($G18="Higher is better",IF(N18&gt;=$H18,A_Scoring_Model!$C$14,IF(N18&lt;$I18,0,A_Scoring_Model!$C$15+(A_Scoring_Model!$C$14-A_Scoring_Model!$C$15)*(N18-$I18)/($H18-$I18))),IF(N18&lt;=$H18,A_Scoring_Model!$C$14,IF(N18&gt;$I18,0,A_Scoring_Model!$C$15+(A_Scoring_Model!$C$14-A_Scoring_Model!$C$15)*($I18-N18)/($I18-$H18))))))</f>
        <v>100</v>
      </c>
      <c r="P18" s="28" t="s">
        <v>236</v>
      </c>
      <c r="Q18" s="40" t="n">
        <v>2</v>
      </c>
      <c r="R18" s="35" t="n">
        <f aca="false">IF(Q18="","",IF($H18=$I18,IF(OR(AND($G18="Higher is better",Q18&gt;=$H18),AND($G18="Lower is better",Q18&lt;=$H18)),A_Scoring_Model!$C$14,0),IF($G18="Higher is better",IF(Q18&gt;=$H18,A_Scoring_Model!$C$14,IF(Q18&lt;$I18,0,A_Scoring_Model!$C$15+(A_Scoring_Model!$C$14-A_Scoring_Model!$C$15)*(Q18-$I18)/($H18-$I18))),IF(Q18&lt;=$H18,A_Scoring_Model!$C$14,IF(Q18&gt;$I18,0,A_Scoring_Model!$C$15+(A_Scoring_Model!$C$14-A_Scoring_Model!$C$15)*($I18-Q18)/($I18-$H18))))))</f>
        <v>100</v>
      </c>
    </row>
    <row r="19" customFormat="false" ht="23.85" hidden="false" customHeight="false" outlineLevel="0" collapsed="false">
      <c r="A19" s="27" t="s">
        <v>237</v>
      </c>
      <c r="B19" s="27" t="s">
        <v>58</v>
      </c>
      <c r="C19" s="28" t="s">
        <v>59</v>
      </c>
      <c r="D19" s="29" t="s">
        <v>181</v>
      </c>
      <c r="E19" s="28" t="s">
        <v>238</v>
      </c>
      <c r="F19" s="29" t="s">
        <v>239</v>
      </c>
      <c r="G19" s="29" t="s">
        <v>184</v>
      </c>
      <c r="H19" s="44" t="n">
        <v>100</v>
      </c>
      <c r="I19" s="44" t="n">
        <v>50</v>
      </c>
      <c r="J19" s="41" t="n">
        <v>4.6</v>
      </c>
      <c r="K19" s="32" t="n">
        <f aca="false">IF(J19="","",IF($H19=$I19,IF(OR(AND($G19="Higher is better",J19&gt;=$H19),AND($G19="Lower is better",J19&lt;=$H19)),A_Scoring_Model!$C$14,0),IF($G19="Higher is better",IF(J19&gt;=$H19,A_Scoring_Model!$C$14,IF(J19&lt;$I19,0,A_Scoring_Model!$C$15+(A_Scoring_Model!$C$14-A_Scoring_Model!$C$15)*(J19-$I19)/($H19-$I19))),IF(J19&lt;=$H19,A_Scoring_Model!$C$14,IF(J19&gt;$I19,0,A_Scoring_Model!$C$15+(A_Scoring_Model!$C$14-A_Scoring_Model!$C$15)*($I19-J19)/($I19-$H19))))))</f>
        <v>0</v>
      </c>
      <c r="L19" s="29" t="str">
        <f aca="false">IF(K19=100,"Meets target",IF(K19=0,"Below floor",IF(K19&gt;=80,"Near target","Above floor")))</f>
        <v>Below floor</v>
      </c>
      <c r="M19" s="29" t="s">
        <v>213</v>
      </c>
      <c r="N19" s="44" t="n">
        <v>60</v>
      </c>
      <c r="O19" s="33" t="n">
        <f aca="false">IF(N19="","",IF($H19=$I19,IF(OR(AND($G19="Higher is better",N19&gt;=$H19),AND($G19="Lower is better",N19&lt;=$H19)),A_Scoring_Model!$C$14,0),IF($G19="Higher is better",IF(N19&gt;=$H19,A_Scoring_Model!$C$14,IF(N19&lt;$I19,0,A_Scoring_Model!$C$15+(A_Scoring_Model!$C$14-A_Scoring_Model!$C$15)*(N19-$I19)/($H19-$I19))),IF(N19&lt;=$H19,A_Scoring_Model!$C$14,IF(N19&gt;$I19,0,A_Scoring_Model!$C$15+(A_Scoring_Model!$C$14-A_Scoring_Model!$C$15)*($I19-N19)/($I19-$H19))))))</f>
        <v>68</v>
      </c>
      <c r="P19" s="28" t="s">
        <v>240</v>
      </c>
      <c r="Q19" s="40" t="n">
        <v>20</v>
      </c>
      <c r="R19" s="35" t="n">
        <f aca="false">IF(Q19="","",IF($H19=$I19,IF(OR(AND($G19="Higher is better",Q19&gt;=$H19),AND($G19="Lower is better",Q19&lt;=$H19)),A_Scoring_Model!$C$14,0),IF($G19="Higher is better",IF(Q19&gt;=$H19,A_Scoring_Model!$C$14,IF(Q19&lt;$I19,0,A_Scoring_Model!$C$15+(A_Scoring_Model!$C$14-A_Scoring_Model!$C$15)*(Q19-$I19)/($H19-$I19))),IF(Q19&lt;=$H19,A_Scoring_Model!$C$14,IF(Q19&gt;$I19,0,A_Scoring_Model!$C$15+(A_Scoring_Model!$C$14-A_Scoring_Model!$C$15)*($I19-Q19)/($I19-$H19))))))</f>
        <v>0</v>
      </c>
    </row>
    <row r="20" customFormat="false" ht="23.85" hidden="false" customHeight="false" outlineLevel="0" collapsed="false">
      <c r="A20" s="27" t="s">
        <v>241</v>
      </c>
      <c r="B20" s="27" t="s">
        <v>58</v>
      </c>
      <c r="C20" s="28" t="s">
        <v>59</v>
      </c>
      <c r="D20" s="29" t="s">
        <v>181</v>
      </c>
      <c r="E20" s="28" t="s">
        <v>242</v>
      </c>
      <c r="F20" s="29" t="s">
        <v>243</v>
      </c>
      <c r="G20" s="29" t="s">
        <v>205</v>
      </c>
      <c r="H20" s="44" t="n">
        <v>50000</v>
      </c>
      <c r="I20" s="44" t="n">
        <v>75000</v>
      </c>
      <c r="J20" s="41" t="n">
        <v>87500</v>
      </c>
      <c r="K20" s="32" t="n">
        <f aca="false">IF(J20="","",IF($H20=$I20,IF(OR(AND($G20="Higher is better",J20&gt;=$H20),AND($G20="Lower is better",J20&lt;=$H20)),A_Scoring_Model!$C$14,0),IF($G20="Higher is better",IF(J20&gt;=$H20,A_Scoring_Model!$C$14,IF(J20&lt;$I20,0,A_Scoring_Model!$C$15+(A_Scoring_Model!$C$14-A_Scoring_Model!$C$15)*(J20-$I20)/($H20-$I20))),IF(J20&lt;=$H20,A_Scoring_Model!$C$14,IF(J20&gt;$I20,0,A_Scoring_Model!$C$15+(A_Scoring_Model!$C$14-A_Scoring_Model!$C$15)*($I20-J20)/($I20-$H20))))))</f>
        <v>0</v>
      </c>
      <c r="L20" s="29" t="str">
        <f aca="false">IF(K20=100,"Meets target",IF(K20=0,"Below floor",IF(K20&gt;=80,"Near target","Above floor")))</f>
        <v>Below floor</v>
      </c>
      <c r="M20" s="29" t="s">
        <v>213</v>
      </c>
      <c r="N20" s="44" t="n">
        <v>55000</v>
      </c>
      <c r="O20" s="33" t="n">
        <f aca="false">IF(N20="","",IF($H20=$I20,IF(OR(AND($G20="Higher is better",N20&gt;=$H20),AND($G20="Lower is better",N20&lt;=$H20)),A_Scoring_Model!$C$14,0),IF($G20="Higher is better",IF(N20&gt;=$H20,A_Scoring_Model!$C$14,IF(N20&lt;$I20,0,A_Scoring_Model!$C$15+(A_Scoring_Model!$C$14-A_Scoring_Model!$C$15)*(N20-$I20)/($H20-$I20))),IF(N20&lt;=$H20,A_Scoring_Model!$C$14,IF(N20&gt;$I20,0,A_Scoring_Model!$C$15+(A_Scoring_Model!$C$14-A_Scoring_Model!$C$15)*($I20-N20)/($I20-$H20))))))</f>
        <v>92</v>
      </c>
      <c r="P20" s="28" t="s">
        <v>244</v>
      </c>
      <c r="Q20" s="40" t="n">
        <v>60000</v>
      </c>
      <c r="R20" s="35" t="n">
        <f aca="false">IF(Q20="","",IF($H20=$I20,IF(OR(AND($G20="Higher is better",Q20&gt;=$H20),AND($G20="Lower is better",Q20&lt;=$H20)),A_Scoring_Model!$C$14,0),IF($G20="Higher is better",IF(Q20&gt;=$H20,A_Scoring_Model!$C$14,IF(Q20&lt;$I20,0,A_Scoring_Model!$C$15+(A_Scoring_Model!$C$14-A_Scoring_Model!$C$15)*(Q20-$I20)/($H20-$I20))),IF(Q20&lt;=$H20,A_Scoring_Model!$C$14,IF(Q20&gt;$I20,0,A_Scoring_Model!$C$15+(A_Scoring_Model!$C$14-A_Scoring_Model!$C$15)*($I20-Q20)/($I20-$H20))))))</f>
        <v>84</v>
      </c>
    </row>
    <row r="21" customFormat="false" ht="23.85" hidden="false" customHeight="false" outlineLevel="0" collapsed="false">
      <c r="A21" s="27" t="s">
        <v>245</v>
      </c>
      <c r="B21" s="27" t="s">
        <v>58</v>
      </c>
      <c r="C21" s="28" t="s">
        <v>59</v>
      </c>
      <c r="D21" s="29" t="s">
        <v>181</v>
      </c>
      <c r="E21" s="28" t="s">
        <v>246</v>
      </c>
      <c r="F21" s="29" t="s">
        <v>247</v>
      </c>
      <c r="G21" s="29" t="s">
        <v>205</v>
      </c>
      <c r="H21" s="44" t="n">
        <v>100</v>
      </c>
      <c r="I21" s="44" t="n">
        <v>200</v>
      </c>
      <c r="J21" s="41" t="n">
        <v>148.55</v>
      </c>
      <c r="K21" s="32" t="n">
        <f aca="false">IF(J21="","",IF($H21=$I21,IF(OR(AND($G21="Higher is better",J21&gt;=$H21),AND($G21="Lower is better",J21&lt;=$H21)),A_Scoring_Model!$C$14,0),IF($G21="Higher is better",IF(J21&gt;=$H21,A_Scoring_Model!$C$14,IF(J21&lt;$I21,0,A_Scoring_Model!$C$15+(A_Scoring_Model!$C$14-A_Scoring_Model!$C$15)*(J21-$I21)/($H21-$I21))),IF(J21&lt;=$H21,A_Scoring_Model!$C$14,IF(J21&gt;$I21,0,A_Scoring_Model!$C$15+(A_Scoring_Model!$C$14-A_Scoring_Model!$C$15)*($I21-J21)/($I21-$H21))))))</f>
        <v>80.58</v>
      </c>
      <c r="L21" s="29" t="str">
        <f aca="false">IF(K21=100,"Meets target",IF(K21=0,"Below floor",IF(K21&gt;=80,"Near target","Above floor")))</f>
        <v>Near target</v>
      </c>
      <c r="M21" s="29" t="s">
        <v>213</v>
      </c>
      <c r="N21" s="44" t="n">
        <v>110</v>
      </c>
      <c r="O21" s="33" t="n">
        <f aca="false">IF(N21="","",IF($H21=$I21,IF(OR(AND($G21="Higher is better",N21&gt;=$H21),AND($G21="Lower is better",N21&lt;=$H21)),A_Scoring_Model!$C$14,0),IF($G21="Higher is better",IF(N21&gt;=$H21,A_Scoring_Model!$C$14,IF(N21&lt;$I21,0,A_Scoring_Model!$C$15+(A_Scoring_Model!$C$14-A_Scoring_Model!$C$15)*(N21-$I21)/($H21-$I21))),IF(N21&lt;=$H21,A_Scoring_Model!$C$14,IF(N21&gt;$I21,0,A_Scoring_Model!$C$15+(A_Scoring_Model!$C$14-A_Scoring_Model!$C$15)*($I21-N21)/($I21-$H21))))))</f>
        <v>96</v>
      </c>
      <c r="P21" s="28" t="s">
        <v>248</v>
      </c>
      <c r="Q21" s="40" t="n">
        <v>148.55</v>
      </c>
      <c r="R21" s="35" t="n">
        <f aca="false">IF(Q21="","",IF($H21=$I21,IF(OR(AND($G21="Higher is better",Q21&gt;=$H21),AND($G21="Lower is better",Q21&lt;=$H21)),A_Scoring_Model!$C$14,0),IF($G21="Higher is better",IF(Q21&gt;=$H21,A_Scoring_Model!$C$14,IF(Q21&lt;$I21,0,A_Scoring_Model!$C$15+(A_Scoring_Model!$C$14-A_Scoring_Model!$C$15)*(Q21-$I21)/($H21-$I21))),IF(Q21&lt;=$H21,A_Scoring_Model!$C$14,IF(Q21&gt;$I21,0,A_Scoring_Model!$C$15+(A_Scoring_Model!$C$14-A_Scoring_Model!$C$15)*($I21-Q21)/($I21-$H21))))))</f>
        <v>80.58</v>
      </c>
    </row>
    <row r="22" customFormat="false" ht="23.85" hidden="false" customHeight="false" outlineLevel="0" collapsed="false">
      <c r="A22" s="27" t="s">
        <v>249</v>
      </c>
      <c r="B22" s="27" t="s">
        <v>58</v>
      </c>
      <c r="C22" s="28" t="s">
        <v>59</v>
      </c>
      <c r="D22" s="29" t="s">
        <v>227</v>
      </c>
      <c r="E22" s="28" t="s">
        <v>250</v>
      </c>
      <c r="F22" s="29" t="s">
        <v>197</v>
      </c>
      <c r="G22" s="29" t="s">
        <v>205</v>
      </c>
      <c r="H22" s="36" t="n">
        <v>0.2</v>
      </c>
      <c r="I22" s="36" t="n">
        <v>0.4</v>
      </c>
      <c r="J22" s="37" t="n">
        <v>0.3</v>
      </c>
      <c r="K22" s="32" t="n">
        <f aca="false">IF(J22="","",IF($H22=$I22,IF(OR(AND($G22="Higher is better",J22&gt;=$H22),AND($G22="Lower is better",J22&lt;=$H22)),A_Scoring_Model!$C$14,0),IF($G22="Higher is better",IF(J22&gt;=$H22,A_Scoring_Model!$C$14,IF(J22&lt;$I22,0,A_Scoring_Model!$C$15+(A_Scoring_Model!$C$14-A_Scoring_Model!$C$15)*(J22-$I22)/($H22-$I22))),IF(J22&lt;=$H22,A_Scoring_Model!$C$14,IF(J22&gt;$I22,0,A_Scoring_Model!$C$15+(A_Scoring_Model!$C$14-A_Scoring_Model!$C$15)*($I22-J22)/($I22-$H22))))))</f>
        <v>80</v>
      </c>
      <c r="L22" s="29" t="str">
        <f aca="false">IF(K22=100,"Meets target",IF(K22=0,"Below floor",IF(K22&gt;=80,"Near target","Above floor")))</f>
        <v>Near target</v>
      </c>
      <c r="M22" s="29" t="s">
        <v>185</v>
      </c>
      <c r="N22" s="36" t="n">
        <v>0.22</v>
      </c>
      <c r="O22" s="33" t="n">
        <f aca="false">IF(N22="","",IF($H22=$I22,IF(OR(AND($G22="Higher is better",N22&gt;=$H22),AND($G22="Lower is better",N22&lt;=$H22)),A_Scoring_Model!$C$14,0),IF($G22="Higher is better",IF(N22&gt;=$H22,A_Scoring_Model!$C$14,IF(N22&lt;$I22,0,A_Scoring_Model!$C$15+(A_Scoring_Model!$C$14-A_Scoring_Model!$C$15)*(N22-$I22)/($H22-$I22))),IF(N22&lt;=$H22,A_Scoring_Model!$C$14,IF(N22&gt;$I22,0,A_Scoring_Model!$C$15+(A_Scoring_Model!$C$14-A_Scoring_Model!$C$15)*($I22-N22)/($I22-$H22))))))</f>
        <v>96</v>
      </c>
      <c r="P22" s="28" t="s">
        <v>251</v>
      </c>
      <c r="Q22" s="38" t="n">
        <v>0.3</v>
      </c>
      <c r="R22" s="35" t="n">
        <f aca="false">IF(Q22="","",IF($H22=$I22,IF(OR(AND($G22="Higher is better",Q22&gt;=$H22),AND($G22="Lower is better",Q22&lt;=$H22)),A_Scoring_Model!$C$14,0),IF($G22="Higher is better",IF(Q22&gt;=$H22,A_Scoring_Model!$C$14,IF(Q22&lt;$I22,0,A_Scoring_Model!$C$15+(A_Scoring_Model!$C$14-A_Scoring_Model!$C$15)*(Q22-$I22)/($H22-$I22))),IF(Q22&lt;=$H22,A_Scoring_Model!$C$14,IF(Q22&gt;$I22,0,A_Scoring_Model!$C$15+(A_Scoring_Model!$C$14-A_Scoring_Model!$C$15)*($I22-Q22)/($I22-$H22))))))</f>
        <v>80</v>
      </c>
    </row>
    <row r="23" customFormat="false" ht="23.85" hidden="false" customHeight="false" outlineLevel="0" collapsed="false">
      <c r="A23" s="11" t="s">
        <v>252</v>
      </c>
      <c r="B23" s="11" t="s">
        <v>61</v>
      </c>
      <c r="C23" s="14" t="s">
        <v>62</v>
      </c>
      <c r="D23" s="39" t="s">
        <v>181</v>
      </c>
      <c r="E23" s="14" t="s">
        <v>253</v>
      </c>
      <c r="F23" s="39" t="s">
        <v>197</v>
      </c>
      <c r="G23" s="39" t="s">
        <v>205</v>
      </c>
      <c r="H23" s="38" t="n">
        <v>0.02</v>
      </c>
      <c r="I23" s="38" t="n">
        <v>0.05</v>
      </c>
      <c r="J23" s="37" t="n">
        <v>0.1</v>
      </c>
      <c r="K23" s="42" t="n">
        <f aca="false">IF(J23="","",IF($H23=$I23,IF(OR(AND($G23="Higher is better",J23&gt;=$H23),AND($G23="Lower is better",J23&lt;=$H23)),A_Scoring_Model!$C$14,0),IF($G23="Higher is better",IF(J23&gt;=$H23,A_Scoring_Model!$C$14,IF(J23&lt;$I23,0,A_Scoring_Model!$C$15+(A_Scoring_Model!$C$14-A_Scoring_Model!$C$15)*(J23-$I23)/($H23-$I23))),IF(J23&lt;=$H23,A_Scoring_Model!$C$14,IF(J23&gt;$I23,0,A_Scoring_Model!$C$15+(A_Scoring_Model!$C$14-A_Scoring_Model!$C$15)*($I23-J23)/($I23-$H23))))))</f>
        <v>0</v>
      </c>
      <c r="L23" s="39" t="str">
        <f aca="false">IF(K23=100,"Meets target",IF(K23=0,"Below floor",IF(K23&gt;=80,"Near target","Above floor")))</f>
        <v>Below floor</v>
      </c>
      <c r="M23" s="39" t="s">
        <v>185</v>
      </c>
      <c r="N23" s="38" t="n">
        <v>0.03</v>
      </c>
      <c r="O23" s="35" t="n">
        <f aca="false">IF(N23="","",IF($H23=$I23,IF(OR(AND($G23="Higher is better",N23&gt;=$H23),AND($G23="Lower is better",N23&lt;=$H23)),A_Scoring_Model!$C$14,0),IF($G23="Higher is better",IF(N23&gt;=$H23,A_Scoring_Model!$C$14,IF(N23&lt;$I23,0,A_Scoring_Model!$C$15+(A_Scoring_Model!$C$14-A_Scoring_Model!$C$15)*(N23-$I23)/($H23-$I23))),IF(N23&lt;=$H23,A_Scoring_Model!$C$14,IF(N23&gt;$I23,0,A_Scoring_Model!$C$15+(A_Scoring_Model!$C$14-A_Scoring_Model!$C$15)*($I23-N23)/($I23-$H23))))))</f>
        <v>86.6666666666667</v>
      </c>
      <c r="P23" s="14" t="s">
        <v>254</v>
      </c>
      <c r="Q23" s="38" t="n">
        <v>0.05</v>
      </c>
      <c r="R23" s="35" t="n">
        <f aca="false">IF(Q23="","",IF($H23=$I23,IF(OR(AND($G23="Higher is better",Q23&gt;=$H23),AND($G23="Lower is better",Q23&lt;=$H23)),A_Scoring_Model!$C$14,0),IF($G23="Higher is better",IF(Q23&gt;=$H23,A_Scoring_Model!$C$14,IF(Q23&lt;$I23,0,A_Scoring_Model!$C$15+(A_Scoring_Model!$C$14-A_Scoring_Model!$C$15)*(Q23-$I23)/($H23-$I23))),IF(Q23&lt;=$H23,A_Scoring_Model!$C$14,IF(Q23&gt;$I23,0,A_Scoring_Model!$C$15+(A_Scoring_Model!$C$14-A_Scoring_Model!$C$15)*($I23-Q23)/($I23-$H23))))))</f>
        <v>60</v>
      </c>
    </row>
    <row r="24" customFormat="false" ht="23.85" hidden="false" customHeight="false" outlineLevel="0" collapsed="false">
      <c r="A24" s="11" t="s">
        <v>255</v>
      </c>
      <c r="B24" s="11" t="s">
        <v>61</v>
      </c>
      <c r="C24" s="14" t="s">
        <v>62</v>
      </c>
      <c r="D24" s="39" t="s">
        <v>181</v>
      </c>
      <c r="E24" s="14" t="s">
        <v>256</v>
      </c>
      <c r="F24" s="39" t="s">
        <v>197</v>
      </c>
      <c r="G24" s="39" t="s">
        <v>184</v>
      </c>
      <c r="H24" s="38" t="n">
        <v>1</v>
      </c>
      <c r="I24" s="38" t="n">
        <v>0.95</v>
      </c>
      <c r="J24" s="37" t="n">
        <v>0.95</v>
      </c>
      <c r="K24" s="42" t="n">
        <f aca="false">IF(J24="","",IF($H24=$I24,IF(OR(AND($G24="Higher is better",J24&gt;=$H24),AND($G24="Lower is better",J24&lt;=$H24)),A_Scoring_Model!$C$14,0),IF($G24="Higher is better",IF(J24&gt;=$H24,A_Scoring_Model!$C$14,IF(J24&lt;$I24,0,A_Scoring_Model!$C$15+(A_Scoring_Model!$C$14-A_Scoring_Model!$C$15)*(J24-$I24)/($H24-$I24))),IF(J24&lt;=$H24,A_Scoring_Model!$C$14,IF(J24&gt;$I24,0,A_Scoring_Model!$C$15+(A_Scoring_Model!$C$14-A_Scoring_Model!$C$15)*($I24-J24)/($I24-$H24))))))</f>
        <v>60</v>
      </c>
      <c r="L24" s="39" t="str">
        <f aca="false">IF(K24=100,"Meets target",IF(K24=0,"Below floor",IF(K24&gt;=80,"Near target","Above floor")))</f>
        <v>Above floor</v>
      </c>
      <c r="M24" s="39" t="s">
        <v>213</v>
      </c>
      <c r="N24" s="38" t="n">
        <v>1</v>
      </c>
      <c r="O24" s="35" t="n">
        <f aca="false">IF(N24="","",IF($H24=$I24,IF(OR(AND($G24="Higher is better",N24&gt;=$H24),AND($G24="Lower is better",N24&lt;=$H24)),A_Scoring_Model!$C$14,0),IF($G24="Higher is better",IF(N24&gt;=$H24,A_Scoring_Model!$C$14,IF(N24&lt;$I24,0,A_Scoring_Model!$C$15+(A_Scoring_Model!$C$14-A_Scoring_Model!$C$15)*(N24-$I24)/($H24-$I24))),IF(N24&lt;=$H24,A_Scoring_Model!$C$14,IF(N24&gt;$I24,0,A_Scoring_Model!$C$15+(A_Scoring_Model!$C$14-A_Scoring_Model!$C$15)*($I24-N24)/($I24-$H24))))))</f>
        <v>100</v>
      </c>
      <c r="P24" s="14" t="s">
        <v>257</v>
      </c>
      <c r="Q24" s="38" t="n">
        <v>1</v>
      </c>
      <c r="R24" s="35" t="n">
        <f aca="false">IF(Q24="","",IF($H24=$I24,IF(OR(AND($G24="Higher is better",Q24&gt;=$H24),AND($G24="Lower is better",Q24&lt;=$H24)),A_Scoring_Model!$C$14,0),IF($G24="Higher is better",IF(Q24&gt;=$H24,A_Scoring_Model!$C$14,IF(Q24&lt;$I24,0,A_Scoring_Model!$C$15+(A_Scoring_Model!$C$14-A_Scoring_Model!$C$15)*(Q24-$I24)/($H24-$I24))),IF(Q24&lt;=$H24,A_Scoring_Model!$C$14,IF(Q24&gt;$I24,0,A_Scoring_Model!$C$15+(A_Scoring_Model!$C$14-A_Scoring_Model!$C$15)*($I24-Q24)/($I24-$H24))))))</f>
        <v>100</v>
      </c>
    </row>
    <row r="25" customFormat="false" ht="23.85" hidden="false" customHeight="false" outlineLevel="0" collapsed="false">
      <c r="A25" s="11" t="s">
        <v>258</v>
      </c>
      <c r="B25" s="11" t="s">
        <v>61</v>
      </c>
      <c r="C25" s="14" t="s">
        <v>62</v>
      </c>
      <c r="D25" s="39" t="s">
        <v>181</v>
      </c>
      <c r="E25" s="14" t="s">
        <v>259</v>
      </c>
      <c r="F25" s="39" t="s">
        <v>197</v>
      </c>
      <c r="G25" s="39" t="s">
        <v>184</v>
      </c>
      <c r="H25" s="38" t="n">
        <v>0.95</v>
      </c>
      <c r="I25" s="38" t="n">
        <v>0.9</v>
      </c>
      <c r="J25" s="37" t="n">
        <v>0.75</v>
      </c>
      <c r="K25" s="42" t="n">
        <f aca="false">IF(J25="","",IF($H25=$I25,IF(OR(AND($G25="Higher is better",J25&gt;=$H25),AND($G25="Lower is better",J25&lt;=$H25)),A_Scoring_Model!$C$14,0),IF($G25="Higher is better",IF(J25&gt;=$H25,A_Scoring_Model!$C$14,IF(J25&lt;$I25,0,A_Scoring_Model!$C$15+(A_Scoring_Model!$C$14-A_Scoring_Model!$C$15)*(J25-$I25)/($H25-$I25))),IF(J25&lt;=$H25,A_Scoring_Model!$C$14,IF(J25&gt;$I25,0,A_Scoring_Model!$C$15+(A_Scoring_Model!$C$14-A_Scoring_Model!$C$15)*($I25-J25)/($I25-$H25))))))</f>
        <v>0</v>
      </c>
      <c r="L25" s="39" t="str">
        <f aca="false">IF(K25=100,"Meets target",IF(K25=0,"Below floor",IF(K25&gt;=80,"Near target","Above floor")))</f>
        <v>Below floor</v>
      </c>
      <c r="M25" s="39" t="s">
        <v>185</v>
      </c>
      <c r="N25" s="38" t="n">
        <v>0.93</v>
      </c>
      <c r="O25" s="35" t="n">
        <f aca="false">IF(N25="","",IF($H25=$I25,IF(OR(AND($G25="Higher is better",N25&gt;=$H25),AND($G25="Lower is better",N25&lt;=$H25)),A_Scoring_Model!$C$14,0),IF($G25="Higher is better",IF(N25&gt;=$H25,A_Scoring_Model!$C$14,IF(N25&lt;$I25,0,A_Scoring_Model!$C$15+(A_Scoring_Model!$C$14-A_Scoring_Model!$C$15)*(N25-$I25)/($H25-$I25))),IF(N25&lt;=$H25,A_Scoring_Model!$C$14,IF(N25&gt;$I25,0,A_Scoring_Model!$C$15+(A_Scoring_Model!$C$14-A_Scoring_Model!$C$15)*($I25-N25)/($I25-$H25))))))</f>
        <v>84.0000000000001</v>
      </c>
      <c r="P25" s="14" t="s">
        <v>260</v>
      </c>
      <c r="Q25" s="38" t="n">
        <v>0.9</v>
      </c>
      <c r="R25" s="35" t="n">
        <f aca="false">IF(Q25="","",IF($H25=$I25,IF(OR(AND($G25="Higher is better",Q25&gt;=$H25),AND($G25="Lower is better",Q25&lt;=$H25)),A_Scoring_Model!$C$14,0),IF($G25="Higher is better",IF(Q25&gt;=$H25,A_Scoring_Model!$C$14,IF(Q25&lt;$I25,0,A_Scoring_Model!$C$15+(A_Scoring_Model!$C$14-A_Scoring_Model!$C$15)*(Q25-$I25)/($H25-$I25))),IF(Q25&lt;=$H25,A_Scoring_Model!$C$14,IF(Q25&gt;$I25,0,A_Scoring_Model!$C$15+(A_Scoring_Model!$C$14-A_Scoring_Model!$C$15)*($I25-Q25)/($I25-$H25))))))</f>
        <v>60</v>
      </c>
    </row>
    <row r="26" customFormat="false" ht="23.85" hidden="false" customHeight="false" outlineLevel="0" collapsed="false">
      <c r="A26" s="11" t="s">
        <v>261</v>
      </c>
      <c r="B26" s="11" t="s">
        <v>61</v>
      </c>
      <c r="C26" s="14" t="s">
        <v>62</v>
      </c>
      <c r="D26" s="39" t="s">
        <v>181</v>
      </c>
      <c r="E26" s="14" t="s">
        <v>262</v>
      </c>
      <c r="F26" s="39" t="s">
        <v>220</v>
      </c>
      <c r="G26" s="39" t="s">
        <v>184</v>
      </c>
      <c r="H26" s="17" t="n">
        <v>1</v>
      </c>
      <c r="I26" s="35" t="n">
        <f aca="false">IF(G26="Higher is better",H26*(1-A_Scoring_Model!$C$16),H26*(1+A_Scoring_Model!$C$16))</f>
        <v>0.8</v>
      </c>
      <c r="J26" s="43" t="n">
        <v>1</v>
      </c>
      <c r="K26" s="42" t="n">
        <f aca="false">IF(J26="","",IF($H26=$I26,IF(OR(AND($G26="Higher is better",J26&gt;=$H26),AND($G26="Lower is better",J26&lt;=$H26)),A_Scoring_Model!$C$14,0),IF($G26="Higher is better",IF(J26&gt;=$H26,A_Scoring_Model!$C$14,IF(J26&lt;$I26,0,A_Scoring_Model!$C$15+(A_Scoring_Model!$C$14-A_Scoring_Model!$C$15)*(J26-$I26)/($H26-$I26))),IF(J26&lt;=$H26,A_Scoring_Model!$C$14,IF(J26&gt;$I26,0,A_Scoring_Model!$C$15+(A_Scoring_Model!$C$14-A_Scoring_Model!$C$15)*($I26-J26)/($I26-$H26))))))</f>
        <v>100</v>
      </c>
      <c r="L26" s="39" t="str">
        <f aca="false">IF(K26=100,"Meets target",IF(K26=0,"Below floor",IF(K26&gt;=80,"Near target","Above floor")))</f>
        <v>Meets target</v>
      </c>
      <c r="M26" s="39" t="s">
        <v>213</v>
      </c>
      <c r="N26" s="17" t="n">
        <v>1</v>
      </c>
      <c r="O26" s="35" t="n">
        <f aca="false">IF(N26="","",IF($H26=$I26,IF(OR(AND($G26="Higher is better",N26&gt;=$H26),AND($G26="Lower is better",N26&lt;=$H26)),A_Scoring_Model!$C$14,0),IF($G26="Higher is better",IF(N26&gt;=$H26,A_Scoring_Model!$C$14,IF(N26&lt;$I26,0,A_Scoring_Model!$C$15+(A_Scoring_Model!$C$14-A_Scoring_Model!$C$15)*(N26-$I26)/($H26-$I26))),IF(N26&lt;=$H26,A_Scoring_Model!$C$14,IF(N26&gt;$I26,0,A_Scoring_Model!$C$15+(A_Scoring_Model!$C$14-A_Scoring_Model!$C$15)*($I26-N26)/($I26-$H26))))))</f>
        <v>100</v>
      </c>
      <c r="P26" s="14" t="s">
        <v>263</v>
      </c>
      <c r="Q26" s="17" t="n">
        <v>1</v>
      </c>
      <c r="R26" s="35" t="n">
        <f aca="false">IF(Q26="","",IF($H26=$I26,IF(OR(AND($G26="Higher is better",Q26&gt;=$H26),AND($G26="Lower is better",Q26&lt;=$H26)),A_Scoring_Model!$C$14,0),IF($G26="Higher is better",IF(Q26&gt;=$H26,A_Scoring_Model!$C$14,IF(Q26&lt;$I26,0,A_Scoring_Model!$C$15+(A_Scoring_Model!$C$14-A_Scoring_Model!$C$15)*(Q26-$I26)/($H26-$I26))),IF(Q26&lt;=$H26,A_Scoring_Model!$C$14,IF(Q26&gt;$I26,0,A_Scoring_Model!$C$15+(A_Scoring_Model!$C$14-A_Scoring_Model!$C$15)*($I26-Q26)/($I26-$H26))))))</f>
        <v>100</v>
      </c>
    </row>
    <row r="27" customFormat="false" ht="23.85" hidden="false" customHeight="false" outlineLevel="0" collapsed="false">
      <c r="A27" s="11" t="s">
        <v>264</v>
      </c>
      <c r="B27" s="11" t="s">
        <v>61</v>
      </c>
      <c r="C27" s="14" t="s">
        <v>62</v>
      </c>
      <c r="D27" s="39" t="s">
        <v>227</v>
      </c>
      <c r="E27" s="14" t="s">
        <v>265</v>
      </c>
      <c r="F27" s="39" t="s">
        <v>197</v>
      </c>
      <c r="G27" s="39" t="s">
        <v>184</v>
      </c>
      <c r="H27" s="38" t="n">
        <v>0.995</v>
      </c>
      <c r="I27" s="38" t="n">
        <v>0.99</v>
      </c>
      <c r="J27" s="37" t="n">
        <v>0.99</v>
      </c>
      <c r="K27" s="42" t="n">
        <f aca="false">IF(J27="","",IF($H27=$I27,IF(OR(AND($G27="Higher is better",J27&gt;=$H27),AND($G27="Lower is better",J27&lt;=$H27)),A_Scoring_Model!$C$14,0),IF($G27="Higher is better",IF(J27&gt;=$H27,A_Scoring_Model!$C$14,IF(J27&lt;$I27,0,A_Scoring_Model!$C$15+(A_Scoring_Model!$C$14-A_Scoring_Model!$C$15)*(J27-$I27)/($H27-$I27))),IF(J27&lt;=$H27,A_Scoring_Model!$C$14,IF(J27&gt;$I27,0,A_Scoring_Model!$C$15+(A_Scoring_Model!$C$14-A_Scoring_Model!$C$15)*($I27-J27)/($I27-$H27))))))</f>
        <v>60</v>
      </c>
      <c r="L27" s="39" t="str">
        <f aca="false">IF(K27=100,"Meets target",IF(K27=0,"Below floor",IF(K27&gt;=80,"Near target","Above floor")))</f>
        <v>Above floor</v>
      </c>
      <c r="M27" s="39" t="s">
        <v>185</v>
      </c>
      <c r="N27" s="38" t="n">
        <v>0.995</v>
      </c>
      <c r="O27" s="35" t="n">
        <f aca="false">IF(N27="","",IF($H27=$I27,IF(OR(AND($G27="Higher is better",N27&gt;=$H27),AND($G27="Lower is better",N27&lt;=$H27)),A_Scoring_Model!$C$14,0),IF($G27="Higher is better",IF(N27&gt;=$H27,A_Scoring_Model!$C$14,IF(N27&lt;$I27,0,A_Scoring_Model!$C$15+(A_Scoring_Model!$C$14-A_Scoring_Model!$C$15)*(N27-$I27)/($H27-$I27))),IF(N27&lt;=$H27,A_Scoring_Model!$C$14,IF(N27&gt;$I27,0,A_Scoring_Model!$C$15+(A_Scoring_Model!$C$14-A_Scoring_Model!$C$15)*($I27-N27)/($I27-$H27))))))</f>
        <v>100</v>
      </c>
      <c r="P27" s="14" t="s">
        <v>266</v>
      </c>
      <c r="Q27" s="38" t="n">
        <v>0.99</v>
      </c>
      <c r="R27" s="35" t="n">
        <f aca="false">IF(Q27="","",IF($H27=$I27,IF(OR(AND($G27="Higher is better",Q27&gt;=$H27),AND($G27="Lower is better",Q27&lt;=$H27)),A_Scoring_Model!$C$14,0),IF($G27="Higher is better",IF(Q27&gt;=$H27,A_Scoring_Model!$C$14,IF(Q27&lt;$I27,0,A_Scoring_Model!$C$15+(A_Scoring_Model!$C$14-A_Scoring_Model!$C$15)*(Q27-$I27)/($H27-$I27))),IF(Q27&lt;=$H27,A_Scoring_Model!$C$14,IF(Q27&gt;$I27,0,A_Scoring_Model!$C$15+(A_Scoring_Model!$C$14-A_Scoring_Model!$C$15)*($I27-Q27)/($I27-$H27))))))</f>
        <v>60</v>
      </c>
    </row>
    <row r="28" customFormat="false" ht="23.85" hidden="false" customHeight="false" outlineLevel="0" collapsed="false">
      <c r="A28" s="27" t="s">
        <v>267</v>
      </c>
      <c r="B28" s="27" t="s">
        <v>64</v>
      </c>
      <c r="C28" s="28" t="s">
        <v>65</v>
      </c>
      <c r="D28" s="29" t="s">
        <v>181</v>
      </c>
      <c r="E28" s="28" t="s">
        <v>268</v>
      </c>
      <c r="F28" s="29" t="s">
        <v>197</v>
      </c>
      <c r="G28" s="29" t="s">
        <v>184</v>
      </c>
      <c r="H28" s="36" t="n">
        <v>0.6</v>
      </c>
      <c r="I28" s="36" t="n">
        <v>0.4</v>
      </c>
      <c r="J28" s="37" t="n">
        <v>0.977</v>
      </c>
      <c r="K28" s="32" t="n">
        <f aca="false">IF(J28="","",IF($H28=$I28,IF(OR(AND($G28="Higher is better",J28&gt;=$H28),AND($G28="Lower is better",J28&lt;=$H28)),A_Scoring_Model!$C$14,0),IF($G28="Higher is better",IF(J28&gt;=$H28,A_Scoring_Model!$C$14,IF(J28&lt;$I28,0,A_Scoring_Model!$C$15+(A_Scoring_Model!$C$14-A_Scoring_Model!$C$15)*(J28-$I28)/($H28-$I28))),IF(J28&lt;=$H28,A_Scoring_Model!$C$14,IF(J28&gt;$I28,0,A_Scoring_Model!$C$15+(A_Scoring_Model!$C$14-A_Scoring_Model!$C$15)*($I28-J28)/($I28-$H28))))))</f>
        <v>100</v>
      </c>
      <c r="L28" s="29" t="str">
        <f aca="false">IF(K28=100,"Meets target",IF(K28=0,"Below floor",IF(K28&gt;=80,"Near target","Above floor")))</f>
        <v>Meets target</v>
      </c>
      <c r="M28" s="29" t="s">
        <v>198</v>
      </c>
      <c r="N28" s="36" t="n">
        <v>0.977</v>
      </c>
      <c r="O28" s="33" t="n">
        <f aca="false">IF(N28="","",IF($H28=$I28,IF(OR(AND($G28="Higher is better",N28&gt;=$H28),AND($G28="Lower is better",N28&lt;=$H28)),A_Scoring_Model!$C$14,0),IF($G28="Higher is better",IF(N28&gt;=$H28,A_Scoring_Model!$C$14,IF(N28&lt;$I28,0,A_Scoring_Model!$C$15+(A_Scoring_Model!$C$14-A_Scoring_Model!$C$15)*(N28-$I28)/($H28-$I28))),IF(N28&lt;=$H28,A_Scoring_Model!$C$14,IF(N28&gt;$I28,0,A_Scoring_Model!$C$15+(A_Scoring_Model!$C$14-A_Scoring_Model!$C$15)*($I28-N28)/($I28-$H28))))))</f>
        <v>100</v>
      </c>
      <c r="P28" s="28" t="s">
        <v>269</v>
      </c>
      <c r="Q28" s="38" t="n">
        <v>0.977</v>
      </c>
      <c r="R28" s="35" t="n">
        <f aca="false">IF(Q28="","",IF($H28=$I28,IF(OR(AND($G28="Higher is better",Q28&gt;=$H28),AND($G28="Lower is better",Q28&lt;=$H28)),A_Scoring_Model!$C$14,0),IF($G28="Higher is better",IF(Q28&gt;=$H28,A_Scoring_Model!$C$14,IF(Q28&lt;$I28,0,A_Scoring_Model!$C$15+(A_Scoring_Model!$C$14-A_Scoring_Model!$C$15)*(Q28-$I28)/($H28-$I28))),IF(Q28&lt;=$H28,A_Scoring_Model!$C$14,IF(Q28&gt;$I28,0,A_Scoring_Model!$C$15+(A_Scoring_Model!$C$14-A_Scoring_Model!$C$15)*($I28-Q28)/($I28-$H28))))))</f>
        <v>100</v>
      </c>
    </row>
    <row r="29" customFormat="false" ht="15" hidden="false" customHeight="false" outlineLevel="0" collapsed="false">
      <c r="A29" s="27" t="s">
        <v>270</v>
      </c>
      <c r="B29" s="27" t="s">
        <v>64</v>
      </c>
      <c r="C29" s="28" t="s">
        <v>65</v>
      </c>
      <c r="D29" s="29" t="s">
        <v>181</v>
      </c>
      <c r="E29" s="28" t="s">
        <v>271</v>
      </c>
      <c r="F29" s="29" t="s">
        <v>272</v>
      </c>
      <c r="G29" s="29" t="s">
        <v>184</v>
      </c>
      <c r="H29" s="44" t="n">
        <v>40</v>
      </c>
      <c r="I29" s="44" t="n">
        <v>20</v>
      </c>
      <c r="J29" s="41" t="n">
        <v>50</v>
      </c>
      <c r="K29" s="32" t="n">
        <f aca="false">IF(J29="","",IF($H29=$I29,IF(OR(AND($G29="Higher is better",J29&gt;=$H29),AND($G29="Lower is better",J29&lt;=$H29)),A_Scoring_Model!$C$14,0),IF($G29="Higher is better",IF(J29&gt;=$H29,A_Scoring_Model!$C$14,IF(J29&lt;$I29,0,A_Scoring_Model!$C$15+(A_Scoring_Model!$C$14-A_Scoring_Model!$C$15)*(J29-$I29)/($H29-$I29))),IF(J29&lt;=$H29,A_Scoring_Model!$C$14,IF(J29&gt;$I29,0,A_Scoring_Model!$C$15+(A_Scoring_Model!$C$14-A_Scoring_Model!$C$15)*($I29-J29)/($I29-$H29))))))</f>
        <v>100</v>
      </c>
      <c r="L29" s="29" t="str">
        <f aca="false">IF(K29=100,"Meets target",IF(K29=0,"Below floor",IF(K29&gt;=80,"Near target","Above floor")))</f>
        <v>Meets target</v>
      </c>
      <c r="M29" s="29" t="s">
        <v>198</v>
      </c>
      <c r="N29" s="44" t="n">
        <v>90</v>
      </c>
      <c r="O29" s="33" t="n">
        <f aca="false">IF(N29="","",IF($H29=$I29,IF(OR(AND($G29="Higher is better",N29&gt;=$H29),AND($G29="Lower is better",N29&lt;=$H29)),A_Scoring_Model!$C$14,0),IF($G29="Higher is better",IF(N29&gt;=$H29,A_Scoring_Model!$C$14,IF(N29&lt;$I29,0,A_Scoring_Model!$C$15+(A_Scoring_Model!$C$14-A_Scoring_Model!$C$15)*(N29-$I29)/($H29-$I29))),IF(N29&lt;=$H29,A_Scoring_Model!$C$14,IF(N29&gt;$I29,0,A_Scoring_Model!$C$15+(A_Scoring_Model!$C$14-A_Scoring_Model!$C$15)*($I29-N29)/($I29-$H29))))))</f>
        <v>100</v>
      </c>
      <c r="P29" s="28" t="s">
        <v>273</v>
      </c>
      <c r="Q29" s="40" t="n">
        <v>60</v>
      </c>
      <c r="R29" s="35" t="n">
        <f aca="false">IF(Q29="","",IF($H29=$I29,IF(OR(AND($G29="Higher is better",Q29&gt;=$H29),AND($G29="Lower is better",Q29&lt;=$H29)),A_Scoring_Model!$C$14,0),IF($G29="Higher is better",IF(Q29&gt;=$H29,A_Scoring_Model!$C$14,IF(Q29&lt;$I29,0,A_Scoring_Model!$C$15+(A_Scoring_Model!$C$14-A_Scoring_Model!$C$15)*(Q29-$I29)/($H29-$I29))),IF(Q29&lt;=$H29,A_Scoring_Model!$C$14,IF(Q29&gt;$I29,0,A_Scoring_Model!$C$15+(A_Scoring_Model!$C$14-A_Scoring_Model!$C$15)*($I29-Q29)/($I29-$H29))))))</f>
        <v>100</v>
      </c>
    </row>
    <row r="30" customFormat="false" ht="23.85" hidden="false" customHeight="false" outlineLevel="0" collapsed="false">
      <c r="A30" s="27" t="s">
        <v>274</v>
      </c>
      <c r="B30" s="27" t="s">
        <v>64</v>
      </c>
      <c r="C30" s="28" t="s">
        <v>65</v>
      </c>
      <c r="D30" s="29" t="s">
        <v>181</v>
      </c>
      <c r="E30" s="28" t="s">
        <v>275</v>
      </c>
      <c r="F30" s="29" t="s">
        <v>197</v>
      </c>
      <c r="G30" s="29" t="s">
        <v>184</v>
      </c>
      <c r="H30" s="36" t="n">
        <v>0.7</v>
      </c>
      <c r="I30" s="36" t="n">
        <v>0.5</v>
      </c>
      <c r="J30" s="37" t="n">
        <v>0</v>
      </c>
      <c r="K30" s="32" t="n">
        <f aca="false">IF(J30="","",IF($H30=$I30,IF(OR(AND($G30="Higher is better",J30&gt;=$H30),AND($G30="Lower is better",J30&lt;=$H30)),A_Scoring_Model!$C$14,0),IF($G30="Higher is better",IF(J30&gt;=$H30,A_Scoring_Model!$C$14,IF(J30&lt;$I30,0,A_Scoring_Model!$C$15+(A_Scoring_Model!$C$14-A_Scoring_Model!$C$15)*(J30-$I30)/($H30-$I30))),IF(J30&lt;=$H30,A_Scoring_Model!$C$14,IF(J30&gt;$I30,0,A_Scoring_Model!$C$15+(A_Scoring_Model!$C$14-A_Scoring_Model!$C$15)*($I30-J30)/($I30-$H30))))))</f>
        <v>0</v>
      </c>
      <c r="L30" s="29" t="str">
        <f aca="false">IF(K30=100,"Meets target",IF(K30=0,"Below floor",IF(K30&gt;=80,"Near target","Above floor")))</f>
        <v>Below floor</v>
      </c>
      <c r="M30" s="29" t="s">
        <v>213</v>
      </c>
      <c r="N30" s="36" t="n">
        <v>0.6</v>
      </c>
      <c r="O30" s="33" t="n">
        <f aca="false">IF(N30="","",IF($H30=$I30,IF(OR(AND($G30="Higher is better",N30&gt;=$H30),AND($G30="Lower is better",N30&lt;=$H30)),A_Scoring_Model!$C$14,0),IF($G30="Higher is better",IF(N30&gt;=$H30,A_Scoring_Model!$C$14,IF(N30&lt;$I30,0,A_Scoring_Model!$C$15+(A_Scoring_Model!$C$14-A_Scoring_Model!$C$15)*(N30-$I30)/($H30-$I30))),IF(N30&lt;=$H30,A_Scoring_Model!$C$14,IF(N30&gt;$I30,0,A_Scoring_Model!$C$15+(A_Scoring_Model!$C$14-A_Scoring_Model!$C$15)*($I30-N30)/($I30-$H30))))))</f>
        <v>80</v>
      </c>
      <c r="P30" s="28" t="s">
        <v>276</v>
      </c>
      <c r="Q30" s="38" t="n">
        <v>0.52</v>
      </c>
      <c r="R30" s="35" t="n">
        <f aca="false">IF(Q30="","",IF($H30=$I30,IF(OR(AND($G30="Higher is better",Q30&gt;=$H30),AND($G30="Lower is better",Q30&lt;=$H30)),A_Scoring_Model!$C$14,0),IF($G30="Higher is better",IF(Q30&gt;=$H30,A_Scoring_Model!$C$14,IF(Q30&lt;$I30,0,A_Scoring_Model!$C$15+(A_Scoring_Model!$C$14-A_Scoring_Model!$C$15)*(Q30-$I30)/($H30-$I30))),IF(Q30&lt;=$H30,A_Scoring_Model!$C$14,IF(Q30&gt;$I30,0,A_Scoring_Model!$C$15+(A_Scoring_Model!$C$14-A_Scoring_Model!$C$15)*($I30-Q30)/($I30-$H30))))))</f>
        <v>64</v>
      </c>
    </row>
    <row r="31" customFormat="false" ht="23.85" hidden="false" customHeight="false" outlineLevel="0" collapsed="false">
      <c r="A31" s="27" t="s">
        <v>277</v>
      </c>
      <c r="B31" s="27" t="s">
        <v>64</v>
      </c>
      <c r="C31" s="28" t="s">
        <v>65</v>
      </c>
      <c r="D31" s="29" t="s">
        <v>181</v>
      </c>
      <c r="E31" s="28" t="s">
        <v>278</v>
      </c>
      <c r="F31" s="29" t="s">
        <v>197</v>
      </c>
      <c r="G31" s="29" t="s">
        <v>184</v>
      </c>
      <c r="H31" s="36" t="n">
        <v>0.5</v>
      </c>
      <c r="I31" s="36" t="n">
        <v>0.3</v>
      </c>
      <c r="J31" s="37" t="n">
        <v>0.19</v>
      </c>
      <c r="K31" s="32" t="n">
        <f aca="false">IF(J31="","",IF($H31=$I31,IF(OR(AND($G31="Higher is better",J31&gt;=$H31),AND($G31="Lower is better",J31&lt;=$H31)),A_Scoring_Model!$C$14,0),IF($G31="Higher is better",IF(J31&gt;=$H31,A_Scoring_Model!$C$14,IF(J31&lt;$I31,0,A_Scoring_Model!$C$15+(A_Scoring_Model!$C$14-A_Scoring_Model!$C$15)*(J31-$I31)/($H31-$I31))),IF(J31&lt;=$H31,A_Scoring_Model!$C$14,IF(J31&gt;$I31,0,A_Scoring_Model!$C$15+(A_Scoring_Model!$C$14-A_Scoring_Model!$C$15)*($I31-J31)/($I31-$H31))))))</f>
        <v>0</v>
      </c>
      <c r="L31" s="29" t="str">
        <f aca="false">IF(K31=100,"Meets target",IF(K31=0,"Below floor",IF(K31&gt;=80,"Near target","Above floor")))</f>
        <v>Below floor</v>
      </c>
      <c r="M31" s="29" t="s">
        <v>213</v>
      </c>
      <c r="N31" s="36" t="n">
        <v>0.45</v>
      </c>
      <c r="O31" s="33" t="n">
        <f aca="false">IF(N31="","",IF($H31=$I31,IF(OR(AND($G31="Higher is better",N31&gt;=$H31),AND($G31="Lower is better",N31&lt;=$H31)),A_Scoring_Model!$C$14,0),IF($G31="Higher is better",IF(N31&gt;=$H31,A_Scoring_Model!$C$14,IF(N31&lt;$I31,0,A_Scoring_Model!$C$15+(A_Scoring_Model!$C$14-A_Scoring_Model!$C$15)*(N31-$I31)/($H31-$I31))),IF(N31&lt;=$H31,A_Scoring_Model!$C$14,IF(N31&gt;$I31,0,A_Scoring_Model!$C$15+(A_Scoring_Model!$C$14-A_Scoring_Model!$C$15)*($I31-N31)/($I31-$H31))))))</f>
        <v>90</v>
      </c>
      <c r="P31" s="28" t="s">
        <v>279</v>
      </c>
      <c r="Q31" s="38" t="n">
        <v>0.3</v>
      </c>
      <c r="R31" s="35" t="n">
        <f aca="false">IF(Q31="","",IF($H31=$I31,IF(OR(AND($G31="Higher is better",Q31&gt;=$H31),AND($G31="Lower is better",Q31&lt;=$H31)),A_Scoring_Model!$C$14,0),IF($G31="Higher is better",IF(Q31&gt;=$H31,A_Scoring_Model!$C$14,IF(Q31&lt;$I31,0,A_Scoring_Model!$C$15+(A_Scoring_Model!$C$14-A_Scoring_Model!$C$15)*(Q31-$I31)/($H31-$I31))),IF(Q31&lt;=$H31,A_Scoring_Model!$C$14,IF(Q31&gt;$I31,0,A_Scoring_Model!$C$15+(A_Scoring_Model!$C$14-A_Scoring_Model!$C$15)*($I31-Q31)/($I31-$H31))))))</f>
        <v>60</v>
      </c>
    </row>
    <row r="32" customFormat="false" ht="23.85" hidden="false" customHeight="false" outlineLevel="0" collapsed="false">
      <c r="A32" s="11" t="s">
        <v>280</v>
      </c>
      <c r="B32" s="11" t="s">
        <v>67</v>
      </c>
      <c r="C32" s="14" t="s">
        <v>68</v>
      </c>
      <c r="D32" s="39" t="s">
        <v>227</v>
      </c>
      <c r="E32" s="14" t="s">
        <v>281</v>
      </c>
      <c r="F32" s="39" t="s">
        <v>197</v>
      </c>
      <c r="G32" s="39" t="s">
        <v>184</v>
      </c>
      <c r="H32" s="38" t="n">
        <v>0.8</v>
      </c>
      <c r="I32" s="38" t="n">
        <v>0.6</v>
      </c>
      <c r="J32" s="37" t="n">
        <v>0.6</v>
      </c>
      <c r="K32" s="42" t="n">
        <f aca="false">IF(J32="","",IF($H32=$I32,IF(OR(AND($G32="Higher is better",J32&gt;=$H32),AND($G32="Lower is better",J32&lt;=$H32)),A_Scoring_Model!$C$14,0),IF($G32="Higher is better",IF(J32&gt;=$H32,A_Scoring_Model!$C$14,IF(J32&lt;$I32,0,A_Scoring_Model!$C$15+(A_Scoring_Model!$C$14-A_Scoring_Model!$C$15)*(J32-$I32)/($H32-$I32))),IF(J32&lt;=$H32,A_Scoring_Model!$C$14,IF(J32&gt;$I32,0,A_Scoring_Model!$C$15+(A_Scoring_Model!$C$14-A_Scoring_Model!$C$15)*($I32-J32)/($I32-$H32))))))</f>
        <v>60</v>
      </c>
      <c r="L32" s="39" t="str">
        <f aca="false">IF(K32=100,"Meets target",IF(K32=0,"Below floor",IF(K32&gt;=80,"Near target","Above floor")))</f>
        <v>Above floor</v>
      </c>
      <c r="M32" s="39" t="s">
        <v>185</v>
      </c>
      <c r="N32" s="38" t="n">
        <v>0.8</v>
      </c>
      <c r="O32" s="35" t="n">
        <f aca="false">IF(N32="","",IF($H32=$I32,IF(OR(AND($G32="Higher is better",N32&gt;=$H32),AND($G32="Lower is better",N32&lt;=$H32)),A_Scoring_Model!$C$14,0),IF($G32="Higher is better",IF(N32&gt;=$H32,A_Scoring_Model!$C$14,IF(N32&lt;$I32,0,A_Scoring_Model!$C$15+(A_Scoring_Model!$C$14-A_Scoring_Model!$C$15)*(N32-$I32)/($H32-$I32))),IF(N32&lt;=$H32,A_Scoring_Model!$C$14,IF(N32&gt;$I32,0,A_Scoring_Model!$C$15+(A_Scoring_Model!$C$14-A_Scoring_Model!$C$15)*($I32-N32)/($I32-$H32))))))</f>
        <v>100</v>
      </c>
      <c r="P32" s="14" t="s">
        <v>282</v>
      </c>
      <c r="Q32" s="38" t="n">
        <v>0.7</v>
      </c>
      <c r="R32" s="35" t="n">
        <f aca="false">IF(Q32="","",IF($H32=$I32,IF(OR(AND($G32="Higher is better",Q32&gt;=$H32),AND($G32="Lower is better",Q32&lt;=$H32)),A_Scoring_Model!$C$14,0),IF($G32="Higher is better",IF(Q32&gt;=$H32,A_Scoring_Model!$C$14,IF(Q32&lt;$I32,0,A_Scoring_Model!$C$15+(A_Scoring_Model!$C$14-A_Scoring_Model!$C$15)*(Q32-$I32)/($H32-$I32))),IF(Q32&lt;=$H32,A_Scoring_Model!$C$14,IF(Q32&gt;$I32,0,A_Scoring_Model!$C$15+(A_Scoring_Model!$C$14-A_Scoring_Model!$C$15)*($I32-Q32)/($I32-$H32))))))</f>
        <v>80</v>
      </c>
    </row>
    <row r="33" customFormat="false" ht="23.85" hidden="false" customHeight="false" outlineLevel="0" collapsed="false">
      <c r="A33" s="11" t="s">
        <v>283</v>
      </c>
      <c r="B33" s="11" t="s">
        <v>67</v>
      </c>
      <c r="C33" s="14" t="s">
        <v>68</v>
      </c>
      <c r="D33" s="39" t="s">
        <v>227</v>
      </c>
      <c r="E33" s="14" t="s">
        <v>284</v>
      </c>
      <c r="F33" s="39" t="s">
        <v>212</v>
      </c>
      <c r="G33" s="39" t="s">
        <v>205</v>
      </c>
      <c r="H33" s="40" t="n">
        <v>0</v>
      </c>
      <c r="I33" s="45" t="n">
        <f aca="false">IF(G33="Higher is better",H33*(1-A_Scoring_Model!$C$16),H33*(1+A_Scoring_Model!$C$16))</f>
        <v>0</v>
      </c>
      <c r="J33" s="41" t="n">
        <v>0</v>
      </c>
      <c r="K33" s="42" t="n">
        <f aca="false">IF(J33="","",IF($H33=$I33,IF(OR(AND($G33="Higher is better",J33&gt;=$H33),AND($G33="Lower is better",J33&lt;=$H33)),A_Scoring_Model!$C$14,0),IF($G33="Higher is better",IF(J33&gt;=$H33,A_Scoring_Model!$C$14,IF(J33&lt;$I33,0,A_Scoring_Model!$C$15+(A_Scoring_Model!$C$14-A_Scoring_Model!$C$15)*(J33-$I33)/($H33-$I33))),IF(J33&lt;=$H33,A_Scoring_Model!$C$14,IF(J33&gt;$I33,0,A_Scoring_Model!$C$15+(A_Scoring_Model!$C$14-A_Scoring_Model!$C$15)*($I33-J33)/($I33-$H33))))))</f>
        <v>100</v>
      </c>
      <c r="L33" s="39" t="str">
        <f aca="false">IF(K33=100,"Meets target",IF(K33=0,"Below floor",IF(K33&gt;=80,"Near target","Above floor")))</f>
        <v>Meets target</v>
      </c>
      <c r="M33" s="39" t="s">
        <v>185</v>
      </c>
      <c r="N33" s="40" t="n">
        <v>0</v>
      </c>
      <c r="O33" s="35" t="n">
        <f aca="false">IF(N33="","",IF($H33=$I33,IF(OR(AND($G33="Higher is better",N33&gt;=$H33),AND($G33="Lower is better",N33&lt;=$H33)),A_Scoring_Model!$C$14,0),IF($G33="Higher is better",IF(N33&gt;=$H33,A_Scoring_Model!$C$14,IF(N33&lt;$I33,0,A_Scoring_Model!$C$15+(A_Scoring_Model!$C$14-A_Scoring_Model!$C$15)*(N33-$I33)/($H33-$I33))),IF(N33&lt;=$H33,A_Scoring_Model!$C$14,IF(N33&gt;$I33,0,A_Scoring_Model!$C$15+(A_Scoring_Model!$C$14-A_Scoring_Model!$C$15)*($I33-N33)/($I33-$H33))))))</f>
        <v>100</v>
      </c>
      <c r="P33" s="14" t="s">
        <v>285</v>
      </c>
      <c r="Q33" s="40" t="n">
        <v>0</v>
      </c>
      <c r="R33" s="35" t="n">
        <f aca="false">IF(Q33="","",IF($H33=$I33,IF(OR(AND($G33="Higher is better",Q33&gt;=$H33),AND($G33="Lower is better",Q33&lt;=$H33)),A_Scoring_Model!$C$14,0),IF($G33="Higher is better",IF(Q33&gt;=$H33,A_Scoring_Model!$C$14,IF(Q33&lt;$I33,0,A_Scoring_Model!$C$15+(A_Scoring_Model!$C$14-A_Scoring_Model!$C$15)*(Q33-$I33)/($H33-$I33))),IF(Q33&lt;=$H33,A_Scoring_Model!$C$14,IF(Q33&gt;$I33,0,A_Scoring_Model!$C$15+(A_Scoring_Model!$C$14-A_Scoring_Model!$C$15)*($I33-Q33)/($I33-$H33))))))</f>
        <v>100</v>
      </c>
    </row>
    <row r="34" customFormat="false" ht="23.85" hidden="false" customHeight="false" outlineLevel="0" collapsed="false">
      <c r="A34" s="11" t="s">
        <v>286</v>
      </c>
      <c r="B34" s="11" t="s">
        <v>67</v>
      </c>
      <c r="C34" s="14" t="s">
        <v>68</v>
      </c>
      <c r="D34" s="39" t="s">
        <v>227</v>
      </c>
      <c r="E34" s="14" t="s">
        <v>287</v>
      </c>
      <c r="F34" s="39" t="s">
        <v>212</v>
      </c>
      <c r="G34" s="39" t="s">
        <v>205</v>
      </c>
      <c r="H34" s="40" t="n">
        <v>0</v>
      </c>
      <c r="I34" s="45" t="n">
        <f aca="false">IF(G34="Higher is better",H34*(1-A_Scoring_Model!$C$16),H34*(1+A_Scoring_Model!$C$16))</f>
        <v>0</v>
      </c>
      <c r="J34" s="41" t="n">
        <v>0</v>
      </c>
      <c r="K34" s="42" t="n">
        <f aca="false">IF(J34="","",IF($H34=$I34,IF(OR(AND($G34="Higher is better",J34&gt;=$H34),AND($G34="Lower is better",J34&lt;=$H34)),A_Scoring_Model!$C$14,0),IF($G34="Higher is better",IF(J34&gt;=$H34,A_Scoring_Model!$C$14,IF(J34&lt;$I34,0,A_Scoring_Model!$C$15+(A_Scoring_Model!$C$14-A_Scoring_Model!$C$15)*(J34-$I34)/($H34-$I34))),IF(J34&lt;=$H34,A_Scoring_Model!$C$14,IF(J34&gt;$I34,0,A_Scoring_Model!$C$15+(A_Scoring_Model!$C$14-A_Scoring_Model!$C$15)*($I34-J34)/($I34-$H34))))))</f>
        <v>100</v>
      </c>
      <c r="L34" s="39" t="str">
        <f aca="false">IF(K34=100,"Meets target",IF(K34=0,"Below floor",IF(K34&gt;=80,"Near target","Above floor")))</f>
        <v>Meets target</v>
      </c>
      <c r="M34" s="39" t="s">
        <v>185</v>
      </c>
      <c r="N34" s="40" t="n">
        <v>0</v>
      </c>
      <c r="O34" s="35" t="n">
        <f aca="false">IF(N34="","",IF($H34=$I34,IF(OR(AND($G34="Higher is better",N34&gt;=$H34),AND($G34="Lower is better",N34&lt;=$H34)),A_Scoring_Model!$C$14,0),IF($G34="Higher is better",IF(N34&gt;=$H34,A_Scoring_Model!$C$14,IF(N34&lt;$I34,0,A_Scoring_Model!$C$15+(A_Scoring_Model!$C$14-A_Scoring_Model!$C$15)*(N34-$I34)/($H34-$I34))),IF(N34&lt;=$H34,A_Scoring_Model!$C$14,IF(N34&gt;$I34,0,A_Scoring_Model!$C$15+(A_Scoring_Model!$C$14-A_Scoring_Model!$C$15)*($I34-N34)/($I34-$H34))))))</f>
        <v>100</v>
      </c>
      <c r="P34" s="14" t="s">
        <v>288</v>
      </c>
      <c r="Q34" s="40" t="n">
        <v>0</v>
      </c>
      <c r="R34" s="35" t="n">
        <f aca="false">IF(Q34="","",IF($H34=$I34,IF(OR(AND($G34="Higher is better",Q34&gt;=$H34),AND($G34="Lower is better",Q34&lt;=$H34)),A_Scoring_Model!$C$14,0),IF($G34="Higher is better",IF(Q34&gt;=$H34,A_Scoring_Model!$C$14,IF(Q34&lt;$I34,0,A_Scoring_Model!$C$15+(A_Scoring_Model!$C$14-A_Scoring_Model!$C$15)*(Q34-$I34)/($H34-$I34))),IF(Q34&lt;=$H34,A_Scoring_Model!$C$14,IF(Q34&gt;$I34,0,A_Scoring_Model!$C$15+(A_Scoring_Model!$C$14-A_Scoring_Model!$C$15)*($I34-Q34)/($I34-$H34))))))</f>
        <v>100</v>
      </c>
    </row>
    <row r="35" customFormat="false" ht="23.85" hidden="false" customHeight="false" outlineLevel="0" collapsed="false">
      <c r="A35" s="11" t="s">
        <v>289</v>
      </c>
      <c r="B35" s="11" t="s">
        <v>67</v>
      </c>
      <c r="C35" s="14" t="s">
        <v>68</v>
      </c>
      <c r="D35" s="39" t="s">
        <v>227</v>
      </c>
      <c r="E35" s="14" t="s">
        <v>290</v>
      </c>
      <c r="F35" s="39" t="s">
        <v>220</v>
      </c>
      <c r="G35" s="39" t="s">
        <v>184</v>
      </c>
      <c r="H35" s="17" t="n">
        <v>1</v>
      </c>
      <c r="I35" s="35" t="n">
        <f aca="false">IF(G35="Higher is better",H35*(1-A_Scoring_Model!$C$16),H35*(1+A_Scoring_Model!$C$16))</f>
        <v>0.8</v>
      </c>
      <c r="J35" s="43" t="n">
        <v>0</v>
      </c>
      <c r="K35" s="42" t="n">
        <f aca="false">IF(J35="","",IF($H35=$I35,IF(OR(AND($G35="Higher is better",J35&gt;=$H35),AND($G35="Lower is better",J35&lt;=$H35)),A_Scoring_Model!$C$14,0),IF($G35="Higher is better",IF(J35&gt;=$H35,A_Scoring_Model!$C$14,IF(J35&lt;$I35,0,A_Scoring_Model!$C$15+(A_Scoring_Model!$C$14-A_Scoring_Model!$C$15)*(J35-$I35)/($H35-$I35))),IF(J35&lt;=$H35,A_Scoring_Model!$C$14,IF(J35&gt;$I35,0,A_Scoring_Model!$C$15+(A_Scoring_Model!$C$14-A_Scoring_Model!$C$15)*($I35-J35)/($I35-$H35))))))</f>
        <v>0</v>
      </c>
      <c r="L35" s="39" t="str">
        <f aca="false">IF(K35=100,"Meets target",IF(K35=0,"Below floor",IF(K35&gt;=80,"Near target","Above floor")))</f>
        <v>Below floor</v>
      </c>
      <c r="M35" s="39" t="s">
        <v>198</v>
      </c>
      <c r="N35" s="17" t="n">
        <v>1</v>
      </c>
      <c r="O35" s="35" t="n">
        <f aca="false">IF(N35="","",IF($H35=$I35,IF(OR(AND($G35="Higher is better",N35&gt;=$H35),AND($G35="Lower is better",N35&lt;=$H35)),A_Scoring_Model!$C$14,0),IF($G35="Higher is better",IF(N35&gt;=$H35,A_Scoring_Model!$C$14,IF(N35&lt;$I35,0,A_Scoring_Model!$C$15+(A_Scoring_Model!$C$14-A_Scoring_Model!$C$15)*(N35-$I35)/($H35-$I35))),IF(N35&lt;=$H35,A_Scoring_Model!$C$14,IF(N35&gt;$I35,0,A_Scoring_Model!$C$15+(A_Scoring_Model!$C$14-A_Scoring_Model!$C$15)*($I35-N35)/($I35-$H35))))))</f>
        <v>100</v>
      </c>
      <c r="P35" s="14" t="s">
        <v>291</v>
      </c>
      <c r="Q35" s="17" t="n">
        <v>1</v>
      </c>
      <c r="R35" s="35" t="n">
        <f aca="false">IF(Q35="","",IF($H35=$I35,IF(OR(AND($G35="Higher is better",Q35&gt;=$H35),AND($G35="Lower is better",Q35&lt;=$H35)),A_Scoring_Model!$C$14,0),IF($G35="Higher is better",IF(Q35&gt;=$H35,A_Scoring_Model!$C$14,IF(Q35&lt;$I35,0,A_Scoring_Model!$C$15+(A_Scoring_Model!$C$14-A_Scoring_Model!$C$15)*(Q35-$I35)/($H35-$I35))),IF(Q35&lt;=$H35,A_Scoring_Model!$C$14,IF(Q35&gt;$I35,0,A_Scoring_Model!$C$15+(A_Scoring_Model!$C$14-A_Scoring_Model!$C$15)*($I35-Q35)/($I35-$H35))))))</f>
        <v>100</v>
      </c>
    </row>
    <row r="36" customFormat="false" ht="23.85" hidden="false" customHeight="false" outlineLevel="0" collapsed="false">
      <c r="A36" s="11" t="s">
        <v>292</v>
      </c>
      <c r="B36" s="11" t="s">
        <v>67</v>
      </c>
      <c r="C36" s="14" t="s">
        <v>68</v>
      </c>
      <c r="D36" s="39" t="s">
        <v>227</v>
      </c>
      <c r="E36" s="14" t="s">
        <v>293</v>
      </c>
      <c r="F36" s="39" t="s">
        <v>220</v>
      </c>
      <c r="G36" s="39" t="s">
        <v>184</v>
      </c>
      <c r="H36" s="17" t="n">
        <v>1</v>
      </c>
      <c r="I36" s="35" t="n">
        <f aca="false">IF(G36="Higher is better",H36*(1-A_Scoring_Model!$C$16),H36*(1+A_Scoring_Model!$C$16))</f>
        <v>0.8</v>
      </c>
      <c r="J36" s="43" t="n">
        <v>1</v>
      </c>
      <c r="K36" s="42" t="n">
        <f aca="false">IF(J36="","",IF($H36=$I36,IF(OR(AND($G36="Higher is better",J36&gt;=$H36),AND($G36="Lower is better",J36&lt;=$H36)),A_Scoring_Model!$C$14,0),IF($G36="Higher is better",IF(J36&gt;=$H36,A_Scoring_Model!$C$14,IF(J36&lt;$I36,0,A_Scoring_Model!$C$15+(A_Scoring_Model!$C$14-A_Scoring_Model!$C$15)*(J36-$I36)/($H36-$I36))),IF(J36&lt;=$H36,A_Scoring_Model!$C$14,IF(J36&gt;$I36,0,A_Scoring_Model!$C$15+(A_Scoring_Model!$C$14-A_Scoring_Model!$C$15)*($I36-J36)/($I36-$H36))))))</f>
        <v>100</v>
      </c>
      <c r="L36" s="39" t="str">
        <f aca="false">IF(K36=100,"Meets target",IF(K36=0,"Below floor",IF(K36&gt;=80,"Near target","Above floor")))</f>
        <v>Meets target</v>
      </c>
      <c r="M36" s="39" t="s">
        <v>213</v>
      </c>
      <c r="N36" s="17" t="n">
        <v>1</v>
      </c>
      <c r="O36" s="35" t="n">
        <f aca="false">IF(N36="","",IF($H36=$I36,IF(OR(AND($G36="Higher is better",N36&gt;=$H36),AND($G36="Lower is better",N36&lt;=$H36)),A_Scoring_Model!$C$14,0),IF($G36="Higher is better",IF(N36&gt;=$H36,A_Scoring_Model!$C$14,IF(N36&lt;$I36,0,A_Scoring_Model!$C$15+(A_Scoring_Model!$C$14-A_Scoring_Model!$C$15)*(N36-$I36)/($H36-$I36))),IF(N36&lt;=$H36,A_Scoring_Model!$C$14,IF(N36&gt;$I36,0,A_Scoring_Model!$C$15+(A_Scoring_Model!$C$14-A_Scoring_Model!$C$15)*($I36-N36)/($I36-$H36))))))</f>
        <v>100</v>
      </c>
      <c r="P36" s="14" t="s">
        <v>294</v>
      </c>
      <c r="Q36" s="17" t="n">
        <v>1</v>
      </c>
      <c r="R36" s="35" t="n">
        <f aca="false">IF(Q36="","",IF($H36=$I36,IF(OR(AND($G36="Higher is better",Q36&gt;=$H36),AND($G36="Lower is better",Q36&lt;=$H36)),A_Scoring_Model!$C$14,0),IF($G36="Higher is better",IF(Q36&gt;=$H36,A_Scoring_Model!$C$14,IF(Q36&lt;$I36,0,A_Scoring_Model!$C$15+(A_Scoring_Model!$C$14-A_Scoring_Model!$C$15)*(Q36-$I36)/($H36-$I36))),IF(Q36&lt;=$H36,A_Scoring_Model!$C$14,IF(Q36&gt;$I36,0,A_Scoring_Model!$C$15+(A_Scoring_Model!$C$14-A_Scoring_Model!$C$15)*($I36-Q36)/($I36-$H36))))))</f>
        <v>100</v>
      </c>
    </row>
    <row r="37" customFormat="false" ht="23.85" hidden="false" customHeight="false" outlineLevel="0" collapsed="false">
      <c r="A37" s="11" t="s">
        <v>295</v>
      </c>
      <c r="B37" s="11" t="s">
        <v>67</v>
      </c>
      <c r="C37" s="14" t="s">
        <v>68</v>
      </c>
      <c r="D37" s="39" t="s">
        <v>181</v>
      </c>
      <c r="E37" s="14" t="s">
        <v>296</v>
      </c>
      <c r="F37" s="39" t="s">
        <v>220</v>
      </c>
      <c r="G37" s="39" t="s">
        <v>184</v>
      </c>
      <c r="H37" s="17" t="n">
        <v>1</v>
      </c>
      <c r="I37" s="35" t="n">
        <f aca="false">IF(G37="Higher is better",H37*(1-A_Scoring_Model!$C$16),H37*(1+A_Scoring_Model!$C$16))</f>
        <v>0.8</v>
      </c>
      <c r="J37" s="43" t="n">
        <v>1</v>
      </c>
      <c r="K37" s="42" t="n">
        <f aca="false">IF(J37="","",IF($H37=$I37,IF(OR(AND($G37="Higher is better",J37&gt;=$H37),AND($G37="Lower is better",J37&lt;=$H37)),A_Scoring_Model!$C$14,0),IF($G37="Higher is better",IF(J37&gt;=$H37,A_Scoring_Model!$C$14,IF(J37&lt;$I37,0,A_Scoring_Model!$C$15+(A_Scoring_Model!$C$14-A_Scoring_Model!$C$15)*(J37-$I37)/($H37-$I37))),IF(J37&lt;=$H37,A_Scoring_Model!$C$14,IF(J37&gt;$I37,0,A_Scoring_Model!$C$15+(A_Scoring_Model!$C$14-A_Scoring_Model!$C$15)*($I37-J37)/($I37-$H37))))))</f>
        <v>100</v>
      </c>
      <c r="L37" s="39" t="str">
        <f aca="false">IF(K37=100,"Meets target",IF(K37=0,"Below floor",IF(K37&gt;=80,"Near target","Above floor")))</f>
        <v>Meets target</v>
      </c>
      <c r="M37" s="39" t="s">
        <v>198</v>
      </c>
      <c r="N37" s="17" t="n">
        <v>1</v>
      </c>
      <c r="O37" s="35" t="n">
        <f aca="false">IF(N37="","",IF($H37=$I37,IF(OR(AND($G37="Higher is better",N37&gt;=$H37),AND($G37="Lower is better",N37&lt;=$H37)),A_Scoring_Model!$C$14,0),IF($G37="Higher is better",IF(N37&gt;=$H37,A_Scoring_Model!$C$14,IF(N37&lt;$I37,0,A_Scoring_Model!$C$15+(A_Scoring_Model!$C$14-A_Scoring_Model!$C$15)*(N37-$I37)/($H37-$I37))),IF(N37&lt;=$H37,A_Scoring_Model!$C$14,IF(N37&gt;$I37,0,A_Scoring_Model!$C$15+(A_Scoring_Model!$C$14-A_Scoring_Model!$C$15)*($I37-N37)/($I37-$H37))))))</f>
        <v>100</v>
      </c>
      <c r="P37" s="14" t="s">
        <v>297</v>
      </c>
      <c r="Q37" s="17" t="n">
        <v>1</v>
      </c>
      <c r="R37" s="35" t="n">
        <f aca="false">IF(Q37="","",IF($H37=$I37,IF(OR(AND($G37="Higher is better",Q37&gt;=$H37),AND($G37="Lower is better",Q37&lt;=$H37)),A_Scoring_Model!$C$14,0),IF($G37="Higher is better",IF(Q37&gt;=$H37,A_Scoring_Model!$C$14,IF(Q37&lt;$I37,0,A_Scoring_Model!$C$15+(A_Scoring_Model!$C$14-A_Scoring_Model!$C$15)*(Q37-$I37)/($H37-$I37))),IF(Q37&lt;=$H37,A_Scoring_Model!$C$14,IF(Q37&gt;$I37,0,A_Scoring_Model!$C$15+(A_Scoring_Model!$C$14-A_Scoring_Model!$C$15)*($I37-Q37)/($I37-$H37))))))</f>
        <v>100</v>
      </c>
    </row>
    <row r="38" customFormat="false" ht="23.85" hidden="false" customHeight="false" outlineLevel="0" collapsed="false">
      <c r="A38" s="11" t="s">
        <v>298</v>
      </c>
      <c r="B38" s="11" t="s">
        <v>67</v>
      </c>
      <c r="C38" s="14" t="s">
        <v>68</v>
      </c>
      <c r="D38" s="39" t="s">
        <v>181</v>
      </c>
      <c r="E38" s="14" t="s">
        <v>299</v>
      </c>
      <c r="F38" s="39" t="s">
        <v>220</v>
      </c>
      <c r="G38" s="39" t="s">
        <v>184</v>
      </c>
      <c r="H38" s="17" t="n">
        <v>1</v>
      </c>
      <c r="I38" s="35" t="n">
        <f aca="false">IF(G38="Higher is better",H38*(1-A_Scoring_Model!$C$16),H38*(1+A_Scoring_Model!$C$16))</f>
        <v>0.8</v>
      </c>
      <c r="J38" s="43" t="n">
        <v>0</v>
      </c>
      <c r="K38" s="42" t="n">
        <f aca="false">IF(J38="","",IF($H38=$I38,IF(OR(AND($G38="Higher is better",J38&gt;=$H38),AND($G38="Lower is better",J38&lt;=$H38)),A_Scoring_Model!$C$14,0),IF($G38="Higher is better",IF(J38&gt;=$H38,A_Scoring_Model!$C$14,IF(J38&lt;$I38,0,A_Scoring_Model!$C$15+(A_Scoring_Model!$C$14-A_Scoring_Model!$C$15)*(J38-$I38)/($H38-$I38))),IF(J38&lt;=$H38,A_Scoring_Model!$C$14,IF(J38&gt;$I38,0,A_Scoring_Model!$C$15+(A_Scoring_Model!$C$14-A_Scoring_Model!$C$15)*($I38-J38)/($I38-$H38))))))</f>
        <v>0</v>
      </c>
      <c r="L38" s="39" t="str">
        <f aca="false">IF(K38=100,"Meets target",IF(K38=0,"Below floor",IF(K38&gt;=80,"Near target","Above floor")))</f>
        <v>Below floor</v>
      </c>
      <c r="M38" s="39" t="s">
        <v>213</v>
      </c>
      <c r="N38" s="17" t="n">
        <v>1</v>
      </c>
      <c r="O38" s="35" t="n">
        <f aca="false">IF(N38="","",IF($H38=$I38,IF(OR(AND($G38="Higher is better",N38&gt;=$H38),AND($G38="Lower is better",N38&lt;=$H38)),A_Scoring_Model!$C$14,0),IF($G38="Higher is better",IF(N38&gt;=$H38,A_Scoring_Model!$C$14,IF(N38&lt;$I38,0,A_Scoring_Model!$C$15+(A_Scoring_Model!$C$14-A_Scoring_Model!$C$15)*(N38-$I38)/($H38-$I38))),IF(N38&lt;=$H38,A_Scoring_Model!$C$14,IF(N38&gt;$I38,0,A_Scoring_Model!$C$15+(A_Scoring_Model!$C$14-A_Scoring_Model!$C$15)*($I38-N38)/($I38-$H38))))))</f>
        <v>100</v>
      </c>
      <c r="P38" s="14" t="s">
        <v>300</v>
      </c>
      <c r="Q38" s="17" t="n">
        <v>1</v>
      </c>
      <c r="R38" s="35" t="n">
        <f aca="false">IF(Q38="","",IF($H38=$I38,IF(OR(AND($G38="Higher is better",Q38&gt;=$H38),AND($G38="Lower is better",Q38&lt;=$H38)),A_Scoring_Model!$C$14,0),IF($G38="Higher is better",IF(Q38&gt;=$H38,A_Scoring_Model!$C$14,IF(Q38&lt;$I38,0,A_Scoring_Model!$C$15+(A_Scoring_Model!$C$14-A_Scoring_Model!$C$15)*(Q38-$I38)/($H38-$I38))),IF(Q38&lt;=$H38,A_Scoring_Model!$C$14,IF(Q38&gt;$I38,0,A_Scoring_Model!$C$15+(A_Scoring_Model!$C$14-A_Scoring_Model!$C$15)*($I38-Q38)/($I38-$H38))))))</f>
        <v>100</v>
      </c>
    </row>
    <row r="40" customFormat="false" ht="15" hidden="false" customHeight="false" outlineLevel="0" collapsed="false">
      <c r="A40" s="2" t="s">
        <v>301</v>
      </c>
    </row>
  </sheetData>
  <autoFilter ref="A4:R38"/>
  <conditionalFormatting sqref="K5:K38">
    <cfRule type="cellIs" priority="2" operator="equal" aboveAverage="0" equalAverage="0" bottom="0" percent="0" rank="0" text="" dxfId="10">
      <formula>0</formula>
    </cfRule>
    <cfRule type="cellIs" priority="3" operator="equal" aboveAverage="0" equalAverage="0" bottom="0" percent="0" rank="0" text="" dxfId="11">
      <formula>100</formula>
    </cfRule>
    <cfRule type="cellIs" priority="4" operator="between" aboveAverage="0" equalAverage="0" bottom="0" percent="0" rank="0" text="" dxfId="12">
      <formula>1</formula>
      <formula>99</formula>
    </cfRule>
  </conditionalFormatting>
  <conditionalFormatting sqref="O5:O38">
    <cfRule type="cellIs" priority="5" operator="equal" aboveAverage="0" equalAverage="0" bottom="0" percent="0" rank="0" text="" dxfId="10">
      <formula>0</formula>
    </cfRule>
    <cfRule type="cellIs" priority="6" operator="equal" aboveAverage="0" equalAverage="0" bottom="0" percent="0" rank="0" text="" dxfId="11">
      <formula>100</formula>
    </cfRule>
    <cfRule type="cellIs" priority="7" operator="between" aboveAverage="0" equalAverage="0" bottom="0" percent="0" rank="0" text="" dxfId="12">
      <formula>1</formula>
      <formula>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842"/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60"/>
  </cols>
  <sheetData>
    <row r="1" customFormat="false" ht="18.55" hidden="false" customHeight="false" outlineLevel="0" collapsed="false">
      <c r="A1" s="1" t="s">
        <v>302</v>
      </c>
    </row>
    <row r="2" customFormat="false" ht="15" hidden="false" customHeight="false" outlineLevel="0" collapsed="false">
      <c r="A2" s="2" t="s">
        <v>303</v>
      </c>
    </row>
    <row r="4" customFormat="false" ht="15" hidden="false" customHeight="false" outlineLevel="0" collapsed="false">
      <c r="A4" s="10" t="s">
        <v>304</v>
      </c>
      <c r="B4" s="10" t="s">
        <v>305</v>
      </c>
      <c r="C4" s="10" t="s">
        <v>306</v>
      </c>
      <c r="D4" s="10" t="s">
        <v>307</v>
      </c>
      <c r="E4" s="10" t="s">
        <v>308</v>
      </c>
    </row>
    <row r="5" customFormat="false" ht="23.85" hidden="false" customHeight="false" outlineLevel="0" collapsed="false">
      <c r="A5" s="11" t="s">
        <v>309</v>
      </c>
      <c r="B5" s="12" t="s">
        <v>310</v>
      </c>
      <c r="C5" s="24" t="s">
        <v>108</v>
      </c>
      <c r="D5" s="14" t="s">
        <v>311</v>
      </c>
      <c r="E5" s="14" t="s">
        <v>312</v>
      </c>
    </row>
    <row r="6" customFormat="false" ht="23.85" hidden="false" customHeight="false" outlineLevel="0" collapsed="false">
      <c r="A6" s="11" t="s">
        <v>313</v>
      </c>
      <c r="B6" s="12" t="s">
        <v>314</v>
      </c>
      <c r="C6" s="23" t="s">
        <v>315</v>
      </c>
      <c r="D6" s="14" t="s">
        <v>316</v>
      </c>
      <c r="E6" s="14" t="s">
        <v>317</v>
      </c>
    </row>
    <row r="7" customFormat="false" ht="15" hidden="false" customHeight="false" outlineLevel="0" collapsed="false">
      <c r="A7" s="11" t="s">
        <v>318</v>
      </c>
      <c r="B7" s="12" t="s">
        <v>319</v>
      </c>
      <c r="C7" s="46" t="s">
        <v>320</v>
      </c>
      <c r="D7" s="14" t="s">
        <v>321</v>
      </c>
      <c r="E7" s="14" t="s">
        <v>322</v>
      </c>
    </row>
    <row r="8" customFormat="false" ht="15" hidden="false" customHeight="false" outlineLevel="0" collapsed="false">
      <c r="A8" s="11" t="s">
        <v>323</v>
      </c>
      <c r="B8" s="12" t="s">
        <v>324</v>
      </c>
      <c r="C8" s="23" t="s">
        <v>315</v>
      </c>
      <c r="D8" s="14" t="s">
        <v>325</v>
      </c>
      <c r="E8" s="14" t="s">
        <v>326</v>
      </c>
    </row>
    <row r="9" customFormat="false" ht="15" hidden="false" customHeight="false" outlineLevel="0" collapsed="false">
      <c r="A9" s="11" t="s">
        <v>327</v>
      </c>
      <c r="B9" s="12" t="s">
        <v>328</v>
      </c>
      <c r="C9" s="23" t="s">
        <v>315</v>
      </c>
      <c r="D9" s="14" t="s">
        <v>329</v>
      </c>
      <c r="E9" s="14" t="s">
        <v>330</v>
      </c>
    </row>
    <row r="10" customFormat="false" ht="15" hidden="false" customHeight="false" outlineLevel="0" collapsed="false">
      <c r="A10" s="11" t="s">
        <v>331</v>
      </c>
      <c r="B10" s="12" t="s">
        <v>332</v>
      </c>
      <c r="C10" s="46" t="s">
        <v>320</v>
      </c>
      <c r="D10" s="14" t="s">
        <v>333</v>
      </c>
      <c r="E10" s="14" t="s">
        <v>322</v>
      </c>
    </row>
    <row r="11" customFormat="false" ht="15" hidden="false" customHeight="false" outlineLevel="0" collapsed="false">
      <c r="A11" s="11" t="s">
        <v>334</v>
      </c>
      <c r="B11" s="12" t="s">
        <v>335</v>
      </c>
      <c r="C11" s="24" t="s">
        <v>108</v>
      </c>
      <c r="D11" s="14" t="s">
        <v>336</v>
      </c>
      <c r="E11" s="14" t="s">
        <v>337</v>
      </c>
    </row>
    <row r="12" customFormat="false" ht="15" hidden="false" customHeight="false" outlineLevel="0" collapsed="false">
      <c r="A12" s="11" t="s">
        <v>338</v>
      </c>
      <c r="B12" s="12" t="s">
        <v>339</v>
      </c>
      <c r="C12" s="24" t="s">
        <v>108</v>
      </c>
      <c r="D12" s="14" t="s">
        <v>340</v>
      </c>
      <c r="E12" s="14" t="s">
        <v>341</v>
      </c>
    </row>
    <row r="13" customFormat="false" ht="23.85" hidden="false" customHeight="false" outlineLevel="0" collapsed="false">
      <c r="A13" s="11" t="s">
        <v>342</v>
      </c>
      <c r="B13" s="12" t="s">
        <v>343</v>
      </c>
      <c r="C13" s="23" t="s">
        <v>315</v>
      </c>
      <c r="D13" s="14" t="s">
        <v>344</v>
      </c>
      <c r="E13" s="14" t="s">
        <v>345</v>
      </c>
    </row>
    <row r="14" customFormat="false" ht="23.85" hidden="false" customHeight="false" outlineLevel="0" collapsed="false">
      <c r="A14" s="11" t="s">
        <v>346</v>
      </c>
      <c r="B14" s="12" t="s">
        <v>347</v>
      </c>
      <c r="C14" s="23" t="s">
        <v>315</v>
      </c>
      <c r="D14" s="14" t="s">
        <v>348</v>
      </c>
      <c r="E14" s="14" t="s">
        <v>349</v>
      </c>
    </row>
    <row r="16" customFormat="false" ht="15" hidden="false" customHeight="false" outlineLevel="0" collapsed="false">
      <c r="B16" s="12" t="s">
        <v>350</v>
      </c>
      <c r="C16" s="11" t="n">
        <f aca="false">COUNTIF(C5:C14,"Yes")</f>
        <v>0</v>
      </c>
    </row>
    <row r="17" customFormat="false" ht="15" hidden="false" customHeight="false" outlineLevel="0" collapsed="false">
      <c r="B17" s="12" t="s">
        <v>351</v>
      </c>
      <c r="C17" s="11" t="n">
        <f aca="false">COUNTIF(C5:C14,"Partial")+COUNTIF(C5:C14,"No")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44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18.55" hidden="false" customHeight="false" outlineLevel="0" collapsed="false">
      <c r="A1" s="1" t="s">
        <v>352</v>
      </c>
    </row>
    <row r="2" customFormat="false" ht="15" hidden="false" customHeight="false" outlineLevel="0" collapsed="false">
      <c r="A2" s="2" t="s">
        <v>353</v>
      </c>
    </row>
    <row r="4" customFormat="false" ht="23.85" hidden="false" customHeight="false" outlineLevel="0" collapsed="false">
      <c r="A4" s="10" t="s">
        <v>48</v>
      </c>
      <c r="B4" s="10" t="s">
        <v>49</v>
      </c>
      <c r="C4" s="10" t="s">
        <v>50</v>
      </c>
      <c r="D4" s="10" t="s">
        <v>354</v>
      </c>
      <c r="E4" s="10" t="s">
        <v>355</v>
      </c>
      <c r="F4" s="10" t="s">
        <v>356</v>
      </c>
      <c r="G4" s="10" t="s">
        <v>357</v>
      </c>
      <c r="H4" s="10" t="s">
        <v>358</v>
      </c>
      <c r="I4" s="10" t="s">
        <v>359</v>
      </c>
    </row>
    <row r="5" customFormat="false" ht="15" hidden="false" customHeight="false" outlineLevel="0" collapsed="false">
      <c r="A5" s="11" t="s">
        <v>52</v>
      </c>
      <c r="B5" s="12" t="s">
        <v>53</v>
      </c>
      <c r="C5" s="47" t="n">
        <f aca="false">A_Scoring_Model!C5</f>
        <v>0.3</v>
      </c>
      <c r="D5" s="39" t="n">
        <f aca="false">COUNTIF(C_KPI_Evaluation!$B$5:$B$38,A5)</f>
        <v>7</v>
      </c>
      <c r="E5" s="48" t="n">
        <f aca="false">IFERROR(AVERAGEIFS(C_KPI_Evaluation!$K$5:$K$38,C_KPI_Evaluation!$B$5:$B$38,A5),"")</f>
        <v>31.8095238095238</v>
      </c>
      <c r="F5" s="49" t="n">
        <f aca="false">E5*C5</f>
        <v>9.54285714285714</v>
      </c>
      <c r="G5" s="49" t="n">
        <f aca="false">IFERROR(AVERAGEIFS(C_KPI_Evaluation!$O$5:$O$38,C_KPI_Evaluation!$B$5:$B$38,A5),"")</f>
        <v>91.0476190476191</v>
      </c>
      <c r="H5" s="49" t="n">
        <f aca="false">G5*C5</f>
        <v>27.3142857142857</v>
      </c>
      <c r="I5" s="49" t="n">
        <f aca="false">G5-E5</f>
        <v>59.2380952380952</v>
      </c>
    </row>
    <row r="6" customFormat="false" ht="15" hidden="false" customHeight="false" outlineLevel="0" collapsed="false">
      <c r="A6" s="11" t="s">
        <v>55</v>
      </c>
      <c r="B6" s="12" t="s">
        <v>56</v>
      </c>
      <c r="C6" s="47" t="n">
        <f aca="false">A_Scoring_Model!C6</f>
        <v>0.2</v>
      </c>
      <c r="D6" s="39" t="n">
        <f aca="false">COUNTIF(C_KPI_Evaluation!$B$5:$B$38,A6)</f>
        <v>6</v>
      </c>
      <c r="E6" s="48" t="n">
        <f aca="false">IFERROR(AVERAGEIFS(C_KPI_Evaluation!$K$5:$K$38,C_KPI_Evaluation!$B$5:$B$38,A6),"")</f>
        <v>66.6666666666667</v>
      </c>
      <c r="F6" s="49" t="n">
        <f aca="false">E6*C6</f>
        <v>13.3333333333333</v>
      </c>
      <c r="G6" s="49" t="n">
        <f aca="false">IFERROR(AVERAGEIFS(C_KPI_Evaluation!$O$5:$O$38,C_KPI_Evaluation!$B$5:$B$38,A6),"")</f>
        <v>93.3333333333333</v>
      </c>
      <c r="H6" s="49" t="n">
        <f aca="false">G6*C6</f>
        <v>18.6666666666667</v>
      </c>
      <c r="I6" s="49" t="n">
        <f aca="false">G6-E6</f>
        <v>26.6666666666667</v>
      </c>
    </row>
    <row r="7" customFormat="false" ht="15" hidden="false" customHeight="false" outlineLevel="0" collapsed="false">
      <c r="A7" s="11" t="s">
        <v>58</v>
      </c>
      <c r="B7" s="12" t="s">
        <v>59</v>
      </c>
      <c r="C7" s="47" t="n">
        <f aca="false">A_Scoring_Model!C7</f>
        <v>0.15</v>
      </c>
      <c r="D7" s="39" t="n">
        <f aca="false">COUNTIF(C_KPI_Evaluation!$B$5:$B$38,A7)</f>
        <v>5</v>
      </c>
      <c r="E7" s="48" t="n">
        <f aca="false">IFERROR(AVERAGEIFS(C_KPI_Evaluation!$K$5:$K$38,C_KPI_Evaluation!$B$5:$B$38,A7),"")</f>
        <v>52.116</v>
      </c>
      <c r="F7" s="49" t="n">
        <f aca="false">E7*C7</f>
        <v>7.8174</v>
      </c>
      <c r="G7" s="49" t="n">
        <f aca="false">IFERROR(AVERAGEIFS(C_KPI_Evaluation!$O$5:$O$38,C_KPI_Evaluation!$B$5:$B$38,A7),"")</f>
        <v>90.4</v>
      </c>
      <c r="H7" s="49" t="n">
        <f aca="false">G7*C7</f>
        <v>13.56</v>
      </c>
      <c r="I7" s="49" t="n">
        <f aca="false">G7-E7</f>
        <v>38.284</v>
      </c>
    </row>
    <row r="8" customFormat="false" ht="15" hidden="false" customHeight="false" outlineLevel="0" collapsed="false">
      <c r="A8" s="11" t="s">
        <v>61</v>
      </c>
      <c r="B8" s="12" t="s">
        <v>62</v>
      </c>
      <c r="C8" s="47" t="n">
        <f aca="false">A_Scoring_Model!C8</f>
        <v>0.1</v>
      </c>
      <c r="D8" s="39" t="n">
        <f aca="false">COUNTIF(C_KPI_Evaluation!$B$5:$B$38,A8)</f>
        <v>5</v>
      </c>
      <c r="E8" s="48" t="n">
        <f aca="false">IFERROR(AVERAGEIFS(C_KPI_Evaluation!$K$5:$K$38,C_KPI_Evaluation!$B$5:$B$38,A8),"")</f>
        <v>44</v>
      </c>
      <c r="F8" s="49" t="n">
        <f aca="false">E8*C8</f>
        <v>4.4</v>
      </c>
      <c r="G8" s="49" t="n">
        <f aca="false">IFERROR(AVERAGEIFS(C_KPI_Evaluation!$O$5:$O$38,C_KPI_Evaluation!$B$5:$B$38,A8),"")</f>
        <v>94.1333333333334</v>
      </c>
      <c r="H8" s="49" t="n">
        <f aca="false">G8*C8</f>
        <v>9.41333333333334</v>
      </c>
      <c r="I8" s="49" t="n">
        <f aca="false">G8-E8</f>
        <v>50.1333333333334</v>
      </c>
    </row>
    <row r="9" customFormat="false" ht="15" hidden="false" customHeight="false" outlineLevel="0" collapsed="false">
      <c r="A9" s="11" t="s">
        <v>64</v>
      </c>
      <c r="B9" s="12" t="s">
        <v>65</v>
      </c>
      <c r="C9" s="47" t="n">
        <f aca="false">A_Scoring_Model!C9</f>
        <v>0.15</v>
      </c>
      <c r="D9" s="39" t="n">
        <f aca="false">COUNTIF(C_KPI_Evaluation!$B$5:$B$38,A9)</f>
        <v>4</v>
      </c>
      <c r="E9" s="48" t="n">
        <f aca="false">IFERROR(AVERAGEIFS(C_KPI_Evaluation!$K$5:$K$38,C_KPI_Evaluation!$B$5:$B$38,A9),"")</f>
        <v>50</v>
      </c>
      <c r="F9" s="49" t="n">
        <f aca="false">E9*C9</f>
        <v>7.5</v>
      </c>
      <c r="G9" s="49" t="n">
        <f aca="false">IFERROR(AVERAGEIFS(C_KPI_Evaluation!$O$5:$O$38,C_KPI_Evaluation!$B$5:$B$38,A9),"")</f>
        <v>92.5</v>
      </c>
      <c r="H9" s="49" t="n">
        <f aca="false">G9*C9</f>
        <v>13.875</v>
      </c>
      <c r="I9" s="49" t="n">
        <f aca="false">G9-E9</f>
        <v>42.5</v>
      </c>
    </row>
    <row r="10" customFormat="false" ht="15" hidden="false" customHeight="false" outlineLevel="0" collapsed="false">
      <c r="A10" s="11" t="s">
        <v>67</v>
      </c>
      <c r="B10" s="12" t="s">
        <v>68</v>
      </c>
      <c r="C10" s="47" t="n">
        <f aca="false">A_Scoring_Model!C10</f>
        <v>0.1</v>
      </c>
      <c r="D10" s="39" t="n">
        <f aca="false">COUNTIF(C_KPI_Evaluation!$B$5:$B$38,A10)</f>
        <v>7</v>
      </c>
      <c r="E10" s="48" t="n">
        <f aca="false">IFERROR(AVERAGEIFS(C_KPI_Evaluation!$K$5:$K$38,C_KPI_Evaluation!$B$5:$B$38,A10),"")</f>
        <v>65.7142857142857</v>
      </c>
      <c r="F10" s="49" t="n">
        <f aca="false">E10*C10</f>
        <v>6.57142857142857</v>
      </c>
      <c r="G10" s="49" t="n">
        <f aca="false">IFERROR(AVERAGEIFS(C_KPI_Evaluation!$O$5:$O$38,C_KPI_Evaluation!$B$5:$B$38,A10),"")</f>
        <v>100</v>
      </c>
      <c r="H10" s="49" t="n">
        <f aca="false">G10*C10</f>
        <v>10</v>
      </c>
      <c r="I10" s="49" t="n">
        <f aca="false">G10-E10</f>
        <v>34.2857142857143</v>
      </c>
    </row>
    <row r="11" customFormat="false" ht="15" hidden="false" customHeight="false" outlineLevel="0" collapsed="false">
      <c r="B11" s="12" t="s">
        <v>360</v>
      </c>
      <c r="C11" s="50" t="n">
        <f aca="false">SUM(C5:C10)</f>
        <v>1</v>
      </c>
      <c r="D11" s="39" t="n">
        <f aca="false">SUM(D5:D10)</f>
        <v>34</v>
      </c>
      <c r="E11" s="48" t="n">
        <f aca="false">SUM(F5:F10)</f>
        <v>49.1650190476191</v>
      </c>
      <c r="F11" s="48" t="n">
        <f aca="false">SUM(F5:F10)</f>
        <v>49.1650190476191</v>
      </c>
      <c r="G11" s="48" t="n">
        <f aca="false">SUM(H5:H10)</f>
        <v>92.8292857142857</v>
      </c>
      <c r="H11" s="48" t="n">
        <f aca="false">SUM(H5:H10)</f>
        <v>92.8292857142857</v>
      </c>
      <c r="I11" s="48" t="n">
        <f aca="false">H11-F11</f>
        <v>43.6642666666667</v>
      </c>
    </row>
    <row r="13" customFormat="false" ht="15" hidden="false" customHeight="false" outlineLevel="0" collapsed="false">
      <c r="A13" s="16" t="s">
        <v>361</v>
      </c>
    </row>
    <row r="14" customFormat="false" ht="15" hidden="false" customHeight="false" outlineLevel="0" collapsed="false">
      <c r="A14" s="10" t="s">
        <v>362</v>
      </c>
      <c r="B14" s="10" t="s">
        <v>99</v>
      </c>
      <c r="C14" s="10" t="s">
        <v>100</v>
      </c>
      <c r="D14" s="10" t="s">
        <v>101</v>
      </c>
      <c r="E14" s="10" t="s">
        <v>363</v>
      </c>
    </row>
    <row r="15" customFormat="false" ht="35.05" hidden="false" customHeight="false" outlineLevel="0" collapsed="false">
      <c r="A15" s="11" t="s">
        <v>364</v>
      </c>
      <c r="B15" s="12" t="s">
        <v>365</v>
      </c>
      <c r="C15" s="23" t="s">
        <v>366</v>
      </c>
      <c r="D15" s="14" t="s">
        <v>367</v>
      </c>
      <c r="E15" s="14" t="s">
        <v>368</v>
      </c>
    </row>
    <row r="16" customFormat="false" ht="23.85" hidden="false" customHeight="false" outlineLevel="0" collapsed="false">
      <c r="A16" s="11" t="s">
        <v>369</v>
      </c>
      <c r="B16" s="12" t="s">
        <v>370</v>
      </c>
      <c r="C16" s="23" t="s">
        <v>366</v>
      </c>
      <c r="D16" s="14" t="s">
        <v>371</v>
      </c>
      <c r="E16" s="14" t="s">
        <v>372</v>
      </c>
    </row>
    <row r="17" customFormat="false" ht="35.05" hidden="false" customHeight="false" outlineLevel="0" collapsed="false">
      <c r="A17" s="11" t="s">
        <v>373</v>
      </c>
      <c r="B17" s="12" t="s">
        <v>374</v>
      </c>
      <c r="C17" s="51" t="s">
        <v>375</v>
      </c>
      <c r="D17" s="14" t="s">
        <v>376</v>
      </c>
      <c r="E17" s="14" t="s">
        <v>377</v>
      </c>
    </row>
    <row r="18" customFormat="false" ht="23.85" hidden="false" customHeight="false" outlineLevel="0" collapsed="false">
      <c r="A18" s="11" t="s">
        <v>378</v>
      </c>
      <c r="B18" s="12" t="s">
        <v>379</v>
      </c>
      <c r="C18" s="51" t="s">
        <v>375</v>
      </c>
      <c r="D18" s="14" t="s">
        <v>380</v>
      </c>
      <c r="E18" s="14" t="s">
        <v>348</v>
      </c>
    </row>
    <row r="19" customFormat="false" ht="23.85" hidden="false" customHeight="false" outlineLevel="0" collapsed="false">
      <c r="A19" s="11" t="s">
        <v>381</v>
      </c>
      <c r="B19" s="12" t="s">
        <v>382</v>
      </c>
      <c r="C19" s="23" t="s">
        <v>366</v>
      </c>
      <c r="D19" s="14" t="s">
        <v>383</v>
      </c>
      <c r="E19" s="14" t="s">
        <v>384</v>
      </c>
    </row>
    <row r="20" customFormat="false" ht="15" hidden="false" customHeight="false" outlineLevel="0" collapsed="false">
      <c r="A20" s="11" t="s">
        <v>385</v>
      </c>
      <c r="B20" s="12" t="s">
        <v>386</v>
      </c>
      <c r="C20" s="23" t="s">
        <v>366</v>
      </c>
      <c r="D20" s="14" t="s">
        <v>387</v>
      </c>
      <c r="E20" s="14" t="s">
        <v>388</v>
      </c>
    </row>
    <row r="21" customFormat="false" ht="23.85" hidden="false" customHeight="false" outlineLevel="0" collapsed="false">
      <c r="B21" s="12" t="s">
        <v>389</v>
      </c>
      <c r="C21" s="11" t="str">
        <f aca="false">IF(COUNTIF(C15:C20,"Y")=6,"Y","N")</f>
        <v>N</v>
      </c>
      <c r="D21" s="14" t="str">
        <f aca="false">IF(C21="Y","All six gates pass.","Gates failed: "&amp;(6-COUNTIF(C15:C20,"Y"))&amp;" of 6 — the solution is not eligible for cross-group certification until these are closed.")</f>
        <v>Gates failed: 4 of 6 — the solution is not eligible for cross-group certification until these are closed.</v>
      </c>
    </row>
    <row r="23" customFormat="false" ht="15" hidden="false" customHeight="false" outlineLevel="0" collapsed="false">
      <c r="A23" s="16" t="s">
        <v>390</v>
      </c>
    </row>
    <row r="24" customFormat="false" ht="15" hidden="false" customHeight="false" outlineLevel="0" collapsed="false">
      <c r="B24" s="12" t="s">
        <v>2</v>
      </c>
      <c r="C24" s="48" t="n">
        <f aca="false">ROUND(F11,1)</f>
        <v>49.2</v>
      </c>
    </row>
    <row r="25" customFormat="false" ht="23.85" hidden="false" customHeight="false" outlineLevel="0" collapsed="false">
      <c r="B25" s="12" t="s">
        <v>391</v>
      </c>
      <c r="C25" s="11" t="str">
        <f aca="false">IF(F11&gt;=A_Scoring_Model!$C$20,"Tier 1 · Certified",IF(F11&gt;=A_Scoring_Model!$C$21,"Tier 2 · Conditional",IF(F11&gt;=A_Scoring_Model!$C$22,"Tier 3 · Group-local",IF(F11&gt;=A_Scoring_Model!$C$23,"Tier 4 · Rework","Not eligible"))))</f>
        <v>Tier 4 · Rework</v>
      </c>
    </row>
    <row r="26" customFormat="false" ht="23.85" hidden="false" customHeight="false" outlineLevel="0" collapsed="false">
      <c r="B26" s="12" t="s">
        <v>392</v>
      </c>
      <c r="C26" s="11" t="str">
        <f aca="false">IF(OR(C21&lt;&gt;"Y",F11&lt;A_Scoring_Model!$C$23),"Not eligible",IF(F11&gt;=A_Scoring_Model!$C$20,"Tier 1 · Certified",IF(F11&gt;=A_Scoring_Model!$C$21,"Tier 2 · Conditional",IF(F11&gt;=A_Scoring_Model!$C$22,"Tier 3 · Group-local","Tier 4 · Rework"))))</f>
        <v>Not eligible</v>
      </c>
    </row>
    <row r="27" customFormat="false" ht="23.85" hidden="false" customHeight="false" outlineLevel="0" collapsed="false">
      <c r="B27" s="12" t="s">
        <v>393</v>
      </c>
      <c r="C27" s="48" t="n">
        <f aca="false">ROUND(H11,1)</f>
        <v>92.8</v>
      </c>
    </row>
    <row r="28" customFormat="false" ht="23.85" hidden="false" customHeight="false" outlineLevel="0" collapsed="false">
      <c r="B28" s="12" t="s">
        <v>394</v>
      </c>
      <c r="C28" s="11" t="str">
        <f aca="false">IF(H11&gt;=A_Scoring_Model!$C$20,"Tier 1 · Certified",IF(H11&gt;=A_Scoring_Model!$C$21,"Tier 2 · Conditional",IF(H11&gt;=A_Scoring_Model!$C$22,"Tier 3 · Group-local",IF(H11&gt;=A_Scoring_Model!$C$23,"Tier 4 · Rework","Not eligible"))))</f>
        <v>Tier 1 · Certified</v>
      </c>
    </row>
    <row r="30" customFormat="false" ht="15" hidden="false" customHeight="false" outlineLevel="0" collapsed="false">
      <c r="B30" s="2" t="s">
        <v>395</v>
      </c>
    </row>
  </sheetData>
  <conditionalFormatting sqref="C25:C28">
    <cfRule type="cellIs" priority="2" operator="equal" aboveAverage="0" equalAverage="0" bottom="0" percent="0" rank="0" text="" dxfId="11">
      <formula>"Tier 1 · Certified"</formula>
    </cfRule>
    <cfRule type="cellIs" priority="3" operator="equal" aboveAverage="0" equalAverage="0" bottom="0" percent="0" rank="0" text="" dxfId="13">
      <formula>"Tier 2 · Conditional"</formula>
    </cfRule>
    <cfRule type="cellIs" priority="4" operator="equal" aboveAverage="0" equalAverage="0" bottom="0" percent="0" rank="0" text="" dxfId="12">
      <formula>"Tier 3 · Group-local"</formula>
    </cfRule>
    <cfRule type="cellIs" priority="5" operator="equal" aboveAverage="0" equalAverage="0" bottom="0" percent="0" rank="0" text="" dxfId="14">
      <formula>"Tier 4 · Rework"</formula>
    </cfRule>
    <cfRule type="cellIs" priority="6" operator="equal" aboveAverage="0" equalAverage="0" bottom="0" percent="0" rank="0" text="" dxfId="10">
      <formula>"Not eligible"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76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46"/>
  </cols>
  <sheetData>
    <row r="1" customFormat="false" ht="18.55" hidden="false" customHeight="false" outlineLevel="0" collapsed="false">
      <c r="A1" s="1" t="s">
        <v>396</v>
      </c>
    </row>
    <row r="2" customFormat="false" ht="15" hidden="false" customHeight="false" outlineLevel="0" collapsed="false">
      <c r="A2" s="2" t="s">
        <v>397</v>
      </c>
    </row>
    <row r="4" customFormat="false" ht="15" hidden="false" customHeight="false" outlineLevel="0" collapsed="false">
      <c r="A4" s="10" t="s">
        <v>398</v>
      </c>
      <c r="B4" s="10" t="s">
        <v>399</v>
      </c>
      <c r="C4" s="10" t="s">
        <v>400</v>
      </c>
      <c r="D4" s="10" t="s">
        <v>401</v>
      </c>
      <c r="E4" s="10" t="s">
        <v>308</v>
      </c>
      <c r="F4" s="10" t="s">
        <v>145</v>
      </c>
      <c r="G4" s="10" t="s">
        <v>402</v>
      </c>
      <c r="H4" s="10" t="s">
        <v>403</v>
      </c>
    </row>
    <row r="5" customFormat="false" ht="23.85" hidden="false" customHeight="false" outlineLevel="0" collapsed="false">
      <c r="A5" s="11" t="n">
        <v>1</v>
      </c>
      <c r="B5" s="23" t="s">
        <v>404</v>
      </c>
      <c r="C5" s="14" t="s">
        <v>405</v>
      </c>
      <c r="D5" s="14" t="s">
        <v>406</v>
      </c>
      <c r="E5" s="14" t="s">
        <v>407</v>
      </c>
      <c r="F5" s="14" t="s">
        <v>408</v>
      </c>
      <c r="G5" s="14" t="s">
        <v>409</v>
      </c>
      <c r="H5" s="14" t="s">
        <v>410</v>
      </c>
    </row>
    <row r="6" customFormat="false" ht="23.85" hidden="false" customHeight="false" outlineLevel="0" collapsed="false">
      <c r="A6" s="11" t="n">
        <v>2</v>
      </c>
      <c r="B6" s="23" t="s">
        <v>404</v>
      </c>
      <c r="C6" s="14" t="s">
        <v>64</v>
      </c>
      <c r="D6" s="14" t="s">
        <v>411</v>
      </c>
      <c r="E6" s="14" t="s">
        <v>412</v>
      </c>
      <c r="F6" s="14" t="s">
        <v>413</v>
      </c>
      <c r="G6" s="14" t="s">
        <v>414</v>
      </c>
      <c r="H6" s="14" t="s">
        <v>415</v>
      </c>
    </row>
    <row r="7" customFormat="false" ht="23.85" hidden="false" customHeight="false" outlineLevel="0" collapsed="false">
      <c r="A7" s="11" t="n">
        <v>3</v>
      </c>
      <c r="B7" s="23" t="s">
        <v>404</v>
      </c>
      <c r="C7" s="14" t="s">
        <v>52</v>
      </c>
      <c r="D7" s="14" t="s">
        <v>416</v>
      </c>
      <c r="E7" s="14" t="s">
        <v>417</v>
      </c>
      <c r="F7" s="14" t="s">
        <v>418</v>
      </c>
      <c r="G7" s="14" t="s">
        <v>419</v>
      </c>
      <c r="H7" s="14" t="s">
        <v>420</v>
      </c>
    </row>
    <row r="8" customFormat="false" ht="15" hidden="false" customHeight="false" outlineLevel="0" collapsed="false">
      <c r="A8" s="11" t="n">
        <v>4</v>
      </c>
      <c r="B8" s="52" t="s">
        <v>213</v>
      </c>
      <c r="C8" s="14" t="s">
        <v>55</v>
      </c>
      <c r="D8" s="14" t="s">
        <v>421</v>
      </c>
      <c r="E8" s="14" t="s">
        <v>422</v>
      </c>
      <c r="F8" s="14" t="s">
        <v>418</v>
      </c>
      <c r="G8" s="14" t="s">
        <v>423</v>
      </c>
      <c r="H8" s="14" t="s">
        <v>424</v>
      </c>
    </row>
    <row r="9" customFormat="false" ht="23.85" hidden="false" customHeight="false" outlineLevel="0" collapsed="false">
      <c r="A9" s="11" t="n">
        <v>5</v>
      </c>
      <c r="B9" s="52" t="s">
        <v>213</v>
      </c>
      <c r="C9" s="14" t="s">
        <v>55</v>
      </c>
      <c r="D9" s="14" t="s">
        <v>425</v>
      </c>
      <c r="E9" s="14" t="s">
        <v>426</v>
      </c>
      <c r="F9" s="14" t="s">
        <v>427</v>
      </c>
      <c r="G9" s="14" t="s">
        <v>428</v>
      </c>
      <c r="H9" s="14" t="s">
        <v>429</v>
      </c>
    </row>
    <row r="10" customFormat="false" ht="15" hidden="false" customHeight="false" outlineLevel="0" collapsed="false">
      <c r="A10" s="11" t="n">
        <v>6</v>
      </c>
      <c r="B10" s="52" t="s">
        <v>213</v>
      </c>
      <c r="C10" s="14" t="s">
        <v>64</v>
      </c>
      <c r="D10" s="14" t="s">
        <v>430</v>
      </c>
      <c r="E10" s="14" t="s">
        <v>431</v>
      </c>
      <c r="F10" s="14" t="s">
        <v>432</v>
      </c>
      <c r="G10" s="14" t="s">
        <v>433</v>
      </c>
      <c r="H10" s="14" t="s">
        <v>434</v>
      </c>
    </row>
    <row r="11" customFormat="false" ht="15" hidden="false" customHeight="false" outlineLevel="0" collapsed="false">
      <c r="A11" s="11" t="n">
        <v>7</v>
      </c>
      <c r="B11" s="52" t="s">
        <v>213</v>
      </c>
      <c r="C11" s="14" t="s">
        <v>435</v>
      </c>
      <c r="D11" s="14" t="s">
        <v>436</v>
      </c>
      <c r="E11" s="14" t="s">
        <v>437</v>
      </c>
      <c r="F11" s="14" t="s">
        <v>418</v>
      </c>
      <c r="G11" s="14" t="s">
        <v>438</v>
      </c>
      <c r="H11" s="14" t="s">
        <v>439</v>
      </c>
    </row>
    <row r="12" customFormat="false" ht="23.85" hidden="false" customHeight="false" outlineLevel="0" collapsed="false">
      <c r="A12" s="11" t="n">
        <v>8</v>
      </c>
      <c r="B12" s="24" t="s">
        <v>198</v>
      </c>
      <c r="C12" s="14" t="s">
        <v>58</v>
      </c>
      <c r="D12" s="14" t="s">
        <v>440</v>
      </c>
      <c r="E12" s="14" t="s">
        <v>441</v>
      </c>
      <c r="F12" s="14" t="s">
        <v>418</v>
      </c>
      <c r="G12" s="14" t="s">
        <v>419</v>
      </c>
      <c r="H12" s="14" t="s">
        <v>442</v>
      </c>
    </row>
    <row r="13" customFormat="false" ht="15" hidden="false" customHeight="false" outlineLevel="0" collapsed="false">
      <c r="A13" s="11" t="n">
        <v>9</v>
      </c>
      <c r="B13" s="24" t="s">
        <v>198</v>
      </c>
      <c r="C13" s="14" t="s">
        <v>58</v>
      </c>
      <c r="D13" s="14" t="s">
        <v>443</v>
      </c>
      <c r="E13" s="14" t="s">
        <v>444</v>
      </c>
      <c r="F13" s="14" t="s">
        <v>418</v>
      </c>
      <c r="G13" s="14" t="s">
        <v>433</v>
      </c>
      <c r="H13" s="14" t="s">
        <v>445</v>
      </c>
    </row>
    <row r="14" customFormat="false" ht="15" hidden="false" customHeight="false" outlineLevel="0" collapsed="false">
      <c r="A14" s="11" t="n">
        <v>10</v>
      </c>
      <c r="B14" s="24" t="s">
        <v>198</v>
      </c>
      <c r="C14" s="14" t="s">
        <v>61</v>
      </c>
      <c r="D14" s="14" t="s">
        <v>446</v>
      </c>
      <c r="E14" s="14" t="s">
        <v>447</v>
      </c>
      <c r="F14" s="14" t="s">
        <v>418</v>
      </c>
      <c r="G14" s="14" t="s">
        <v>448</v>
      </c>
      <c r="H14" s="14" t="s">
        <v>449</v>
      </c>
    </row>
    <row r="15" customFormat="false" ht="15" hidden="false" customHeight="false" outlineLevel="0" collapsed="false">
      <c r="A15" s="11" t="n">
        <v>11</v>
      </c>
      <c r="B15" s="24" t="s">
        <v>198</v>
      </c>
      <c r="C15" s="14" t="s">
        <v>61</v>
      </c>
      <c r="D15" s="14" t="s">
        <v>450</v>
      </c>
      <c r="E15" s="14" t="s">
        <v>451</v>
      </c>
      <c r="F15" s="14" t="s">
        <v>418</v>
      </c>
      <c r="G15" s="14" t="s">
        <v>438</v>
      </c>
      <c r="H15" s="14" t="s">
        <v>449</v>
      </c>
    </row>
    <row r="16" customFormat="false" ht="23.85" hidden="false" customHeight="false" outlineLevel="0" collapsed="false">
      <c r="A16" s="11" t="n">
        <v>12</v>
      </c>
      <c r="B16" s="24" t="s">
        <v>198</v>
      </c>
      <c r="C16" s="14" t="s">
        <v>58</v>
      </c>
      <c r="D16" s="14" t="s">
        <v>452</v>
      </c>
      <c r="E16" s="14" t="s">
        <v>453</v>
      </c>
      <c r="F16" s="14" t="s">
        <v>427</v>
      </c>
      <c r="G16" s="14" t="s">
        <v>423</v>
      </c>
      <c r="H16" s="14" t="s">
        <v>454</v>
      </c>
    </row>
    <row r="17" customFormat="false" ht="15" hidden="false" customHeight="false" outlineLevel="0" collapsed="false">
      <c r="A17" s="11" t="n">
        <v>13</v>
      </c>
      <c r="B17" s="46" t="s">
        <v>185</v>
      </c>
      <c r="C17" s="14" t="s">
        <v>364</v>
      </c>
      <c r="D17" s="14" t="s">
        <v>455</v>
      </c>
      <c r="E17" s="14" t="s">
        <v>456</v>
      </c>
      <c r="F17" s="14" t="s">
        <v>457</v>
      </c>
      <c r="G17" s="14" t="s">
        <v>448</v>
      </c>
      <c r="H17" s="14" t="s">
        <v>458</v>
      </c>
    </row>
    <row r="18" customFormat="false" ht="15" hidden="false" customHeight="false" outlineLevel="0" collapsed="false">
      <c r="A18" s="11" t="n">
        <v>14</v>
      </c>
      <c r="B18" s="46" t="s">
        <v>185</v>
      </c>
      <c r="C18" s="14" t="s">
        <v>67</v>
      </c>
      <c r="D18" s="14" t="s">
        <v>459</v>
      </c>
      <c r="E18" s="14" t="s">
        <v>460</v>
      </c>
      <c r="F18" s="14" t="s">
        <v>418</v>
      </c>
      <c r="G18" s="14" t="s">
        <v>419</v>
      </c>
      <c r="H18" s="14" t="s">
        <v>461</v>
      </c>
    </row>
  </sheetData>
  <autoFilter ref="A4:H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842"/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08"/>
    <col collapsed="false" customWidth="true" hidden="false" outlineLevel="0" max="4" min="4" style="0" width="60"/>
    <col collapsed="false" customWidth="true" hidden="false" outlineLevel="0" max="7" min="5" style="0" width="12"/>
    <col collapsed="false" customWidth="true" hidden="false" outlineLevel="0" max="8" min="8" style="0" width="20"/>
  </cols>
  <sheetData>
    <row r="1" customFormat="false" ht="18.55" hidden="false" customHeight="false" outlineLevel="0" collapsed="false">
      <c r="A1" s="1" t="s">
        <v>462</v>
      </c>
    </row>
    <row r="2" customFormat="false" ht="15" hidden="false" customHeight="false" outlineLevel="0" collapsed="false">
      <c r="A2" s="2" t="s">
        <v>463</v>
      </c>
    </row>
    <row r="4" customFormat="false" ht="23.85" hidden="false" customHeight="false" outlineLevel="0" collapsed="false">
      <c r="A4" s="10" t="s">
        <v>464</v>
      </c>
      <c r="B4" s="10" t="s">
        <v>465</v>
      </c>
      <c r="C4" s="10" t="s">
        <v>466</v>
      </c>
      <c r="D4" s="10" t="s">
        <v>145</v>
      </c>
      <c r="E4" s="10" t="s">
        <v>467</v>
      </c>
      <c r="F4" s="10" t="s">
        <v>468</v>
      </c>
      <c r="G4" s="10" t="s">
        <v>469</v>
      </c>
      <c r="H4" s="10" t="s">
        <v>390</v>
      </c>
    </row>
    <row r="5" customFormat="false" ht="404.45" hidden="false" customHeight="false" outlineLevel="0" collapsed="false">
      <c r="A5" s="53" t="s">
        <v>470</v>
      </c>
      <c r="B5" s="12" t="s">
        <v>471</v>
      </c>
      <c r="C5" s="14" t="s">
        <v>472</v>
      </c>
      <c r="D5" s="14" t="s">
        <v>473</v>
      </c>
      <c r="E5" s="14" t="s">
        <v>474</v>
      </c>
      <c r="F5" s="14" t="s">
        <v>475</v>
      </c>
      <c r="G5" s="14" t="s">
        <v>476</v>
      </c>
      <c r="H5" s="12" t="s">
        <v>477</v>
      </c>
    </row>
    <row r="6" customFormat="false" ht="337.3" hidden="false" customHeight="false" outlineLevel="0" collapsed="false">
      <c r="A6" s="53" t="s">
        <v>478</v>
      </c>
      <c r="B6" s="12" t="s">
        <v>479</v>
      </c>
      <c r="C6" s="14" t="s">
        <v>480</v>
      </c>
      <c r="D6" s="14" t="s">
        <v>481</v>
      </c>
      <c r="E6" s="14" t="s">
        <v>482</v>
      </c>
      <c r="F6" s="14" t="s">
        <v>483</v>
      </c>
      <c r="G6" s="14" t="s">
        <v>484</v>
      </c>
      <c r="H6" s="12" t="s">
        <v>485</v>
      </c>
    </row>
    <row r="8" customFormat="false" ht="15" hidden="false" customHeight="false" outlineLevel="0" collapsed="false">
      <c r="A8" s="16" t="s">
        <v>486</v>
      </c>
    </row>
    <row r="9" customFormat="false" ht="23.85" hidden="false" customHeight="false" outlineLevel="0" collapsed="false">
      <c r="A9" s="10" t="s">
        <v>48</v>
      </c>
      <c r="B9" s="10" t="s">
        <v>49</v>
      </c>
      <c r="C9" s="10" t="s">
        <v>50</v>
      </c>
      <c r="D9" s="10" t="s">
        <v>355</v>
      </c>
      <c r="E9" s="10" t="s">
        <v>470</v>
      </c>
      <c r="F9" s="10" t="s">
        <v>478</v>
      </c>
      <c r="G9" s="10" t="s">
        <v>487</v>
      </c>
    </row>
    <row r="10" customFormat="false" ht="15" hidden="false" customHeight="false" outlineLevel="0" collapsed="false">
      <c r="A10" s="11" t="s">
        <v>52</v>
      </c>
      <c r="B10" s="12" t="s">
        <v>53</v>
      </c>
      <c r="C10" s="47" t="n">
        <f aca="false">A_Scoring_Model!C5</f>
        <v>0.3</v>
      </c>
      <c r="D10" s="49" t="n">
        <f aca="false">IFERROR(AVERAGEIFS(C_KPI_Evaluation!$K$5:$K$38,C_KPI_Evaluation!$B$5:$B$38,A10),"")</f>
        <v>31.8095238095238</v>
      </c>
      <c r="E10" s="49" t="n">
        <f aca="false">IFERROR(AVERAGEIFS(C_KPI_Evaluation!$R$5:$R$38,C_KPI_Evaluation!$B$5:$B$38,A10),"")</f>
        <v>80.952380952381</v>
      </c>
      <c r="F10" s="48" t="n">
        <f aca="false">IFERROR(AVERAGEIFS(C_KPI_Evaluation!$O$5:$O$38,C_KPI_Evaluation!$B$5:$B$38,A10),"")</f>
        <v>91.0476190476191</v>
      </c>
      <c r="G10" s="49" t="n">
        <f aca="false">F10-D10</f>
        <v>59.2380952380952</v>
      </c>
    </row>
    <row r="11" customFormat="false" ht="15" hidden="false" customHeight="false" outlineLevel="0" collapsed="false">
      <c r="A11" s="11" t="s">
        <v>55</v>
      </c>
      <c r="B11" s="12" t="s">
        <v>56</v>
      </c>
      <c r="C11" s="47" t="n">
        <f aca="false">A_Scoring_Model!C6</f>
        <v>0.2</v>
      </c>
      <c r="D11" s="49" t="n">
        <f aca="false">IFERROR(AVERAGEIFS(C_KPI_Evaluation!$K$5:$K$38,C_KPI_Evaluation!$B$5:$B$38,A11),"")</f>
        <v>66.6666666666667</v>
      </c>
      <c r="E11" s="49" t="n">
        <f aca="false">IFERROR(AVERAGEIFS(C_KPI_Evaluation!$R$5:$R$38,C_KPI_Evaluation!$B$5:$B$38,A11),"")</f>
        <v>66.6666666666667</v>
      </c>
      <c r="F11" s="48" t="n">
        <f aca="false">IFERROR(AVERAGEIFS(C_KPI_Evaluation!$O$5:$O$38,C_KPI_Evaluation!$B$5:$B$38,A11),"")</f>
        <v>93.3333333333333</v>
      </c>
      <c r="G11" s="49" t="n">
        <f aca="false">F11-D11</f>
        <v>26.6666666666667</v>
      </c>
    </row>
    <row r="12" customFormat="false" ht="15" hidden="false" customHeight="false" outlineLevel="0" collapsed="false">
      <c r="A12" s="11" t="s">
        <v>58</v>
      </c>
      <c r="B12" s="12" t="s">
        <v>59</v>
      </c>
      <c r="C12" s="47" t="n">
        <f aca="false">A_Scoring_Model!C7</f>
        <v>0.15</v>
      </c>
      <c r="D12" s="49" t="n">
        <f aca="false">IFERROR(AVERAGEIFS(C_KPI_Evaluation!$K$5:$K$38,C_KPI_Evaluation!$B$5:$B$38,A12),"")</f>
        <v>52.116</v>
      </c>
      <c r="E12" s="49" t="n">
        <f aca="false">IFERROR(AVERAGEIFS(C_KPI_Evaluation!$R$5:$R$38,C_KPI_Evaluation!$B$5:$B$38,A12),"")</f>
        <v>68.916</v>
      </c>
      <c r="F12" s="48" t="n">
        <f aca="false">IFERROR(AVERAGEIFS(C_KPI_Evaluation!$O$5:$O$38,C_KPI_Evaluation!$B$5:$B$38,A12),"")</f>
        <v>90.4</v>
      </c>
      <c r="G12" s="49" t="n">
        <f aca="false">F12-D12</f>
        <v>38.284</v>
      </c>
    </row>
    <row r="13" customFormat="false" ht="15" hidden="false" customHeight="false" outlineLevel="0" collapsed="false">
      <c r="A13" s="11" t="s">
        <v>61</v>
      </c>
      <c r="B13" s="12" t="s">
        <v>62</v>
      </c>
      <c r="C13" s="47" t="n">
        <f aca="false">A_Scoring_Model!C8</f>
        <v>0.1</v>
      </c>
      <c r="D13" s="49" t="n">
        <f aca="false">IFERROR(AVERAGEIFS(C_KPI_Evaluation!$K$5:$K$38,C_KPI_Evaluation!$B$5:$B$38,A13),"")</f>
        <v>44</v>
      </c>
      <c r="E13" s="49" t="n">
        <f aca="false">IFERROR(AVERAGEIFS(C_KPI_Evaluation!$R$5:$R$38,C_KPI_Evaluation!$B$5:$B$38,A13),"")</f>
        <v>76</v>
      </c>
      <c r="F13" s="48" t="n">
        <f aca="false">IFERROR(AVERAGEIFS(C_KPI_Evaluation!$O$5:$O$38,C_KPI_Evaluation!$B$5:$B$38,A13),"")</f>
        <v>94.1333333333334</v>
      </c>
      <c r="G13" s="49" t="n">
        <f aca="false">F13-D13</f>
        <v>50.1333333333334</v>
      </c>
    </row>
    <row r="14" customFormat="false" ht="15" hidden="false" customHeight="false" outlineLevel="0" collapsed="false">
      <c r="A14" s="11" t="s">
        <v>64</v>
      </c>
      <c r="B14" s="12" t="s">
        <v>65</v>
      </c>
      <c r="C14" s="47" t="n">
        <f aca="false">A_Scoring_Model!C9</f>
        <v>0.15</v>
      </c>
      <c r="D14" s="49" t="n">
        <f aca="false">IFERROR(AVERAGEIFS(C_KPI_Evaluation!$K$5:$K$38,C_KPI_Evaluation!$B$5:$B$38,A14),"")</f>
        <v>50</v>
      </c>
      <c r="E14" s="49" t="n">
        <f aca="false">IFERROR(AVERAGEIFS(C_KPI_Evaluation!$R$5:$R$38,C_KPI_Evaluation!$B$5:$B$38,A14),"")</f>
        <v>81</v>
      </c>
      <c r="F14" s="48" t="n">
        <f aca="false">IFERROR(AVERAGEIFS(C_KPI_Evaluation!$O$5:$O$38,C_KPI_Evaluation!$B$5:$B$38,A14),"")</f>
        <v>92.5</v>
      </c>
      <c r="G14" s="49" t="n">
        <f aca="false">F14-D14</f>
        <v>42.5</v>
      </c>
    </row>
    <row r="15" customFormat="false" ht="15" hidden="false" customHeight="false" outlineLevel="0" collapsed="false">
      <c r="A15" s="11" t="s">
        <v>67</v>
      </c>
      <c r="B15" s="12" t="s">
        <v>68</v>
      </c>
      <c r="C15" s="47" t="n">
        <f aca="false">A_Scoring_Model!C10</f>
        <v>0.1</v>
      </c>
      <c r="D15" s="49" t="n">
        <f aca="false">IFERROR(AVERAGEIFS(C_KPI_Evaluation!$K$5:$K$38,C_KPI_Evaluation!$B$5:$B$38,A15),"")</f>
        <v>65.7142857142857</v>
      </c>
      <c r="E15" s="49" t="n">
        <f aca="false">IFERROR(AVERAGEIFS(C_KPI_Evaluation!$R$5:$R$38,C_KPI_Evaluation!$B$5:$B$38,A15),"")</f>
        <v>97.1428571428571</v>
      </c>
      <c r="F15" s="48" t="n">
        <f aca="false">IFERROR(AVERAGEIFS(C_KPI_Evaluation!$O$5:$O$38,C_KPI_Evaluation!$B$5:$B$38,A15),"")</f>
        <v>100</v>
      </c>
      <c r="G15" s="49" t="n">
        <f aca="false">F15-D15</f>
        <v>34.2857142857143</v>
      </c>
    </row>
    <row r="16" customFormat="false" ht="15" hidden="false" customHeight="false" outlineLevel="0" collapsed="false">
      <c r="B16" s="12" t="s">
        <v>360</v>
      </c>
      <c r="C16" s="50" t="n">
        <f aca="false">SUM(C10:C15)</f>
        <v>1</v>
      </c>
      <c r="D16" s="48" t="n">
        <f aca="false">SUMPRODUCT($C$10:$C$15,D$10:D$15)</f>
        <v>49.1650190476191</v>
      </c>
      <c r="E16" s="48" t="n">
        <f aca="false">SUMPRODUCT($C$10:$C$15,E$10:E$15)</f>
        <v>77.4207333333334</v>
      </c>
      <c r="F16" s="48" t="n">
        <f aca="false">SUMPRODUCT($C$10:$C$15,F$10:F$15)</f>
        <v>92.8292857142857</v>
      </c>
      <c r="G16" s="48" t="n">
        <f aca="false">F16-D16</f>
        <v>43.6642666666667</v>
      </c>
    </row>
    <row r="17" customFormat="false" ht="23.85" hidden="false" customHeight="false" outlineLevel="0" collapsed="false">
      <c r="B17" s="12" t="s">
        <v>76</v>
      </c>
      <c r="D17" s="11" t="str">
        <f aca="false">IF(D16&gt;=A_Scoring_Model!$C$20,"Tier 1 · Certified",IF(D16&gt;=A_Scoring_Model!$C$21,"Tier 2 · Conditional",IF(D16&gt;=A_Scoring_Model!$C$22,"Tier 3 · Group-local",IF(D16&gt;=A_Scoring_Model!$C$23,"Tier 4 · Rework","Not eligible"))))</f>
        <v>Tier 4 · Rework</v>
      </c>
      <c r="E17" s="11" t="str">
        <f aca="false">IF(E16&gt;=A_Scoring_Model!$C$20,"Tier 1 · Certified",IF(E16&gt;=A_Scoring_Model!$C$21,"Tier 2 · Conditional",IF(E16&gt;=A_Scoring_Model!$C$22,"Tier 3 · Group-local",IF(E16&gt;=A_Scoring_Model!$C$23,"Tier 4 · Rework","Not eligible"))))</f>
        <v>Tier 2 · Conditional</v>
      </c>
      <c r="F17" s="11" t="str">
        <f aca="false">IF(F16&gt;=A_Scoring_Model!$C$20,"Tier 1 · Certified",IF(F16&gt;=A_Scoring_Model!$C$21,"Tier 2 · Conditional",IF(F16&gt;=A_Scoring_Model!$C$22,"Tier 3 · Group-local",IF(F16&gt;=A_Scoring_Model!$C$23,"Tier 4 · Rework","Not eligible"))))</f>
        <v>Tier 1 · Certified</v>
      </c>
    </row>
    <row r="18" customFormat="false" ht="15" hidden="false" customHeight="false" outlineLevel="0" collapsed="false">
      <c r="B18" s="12" t="s">
        <v>389</v>
      </c>
      <c r="D18" s="11" t="str">
        <f aca="false">E_Scorecard!C21</f>
        <v>N</v>
      </c>
      <c r="E18" s="11" t="s">
        <v>375</v>
      </c>
      <c r="F18" s="11" t="s">
        <v>375</v>
      </c>
    </row>
    <row r="19" customFormat="false" ht="23.85" hidden="false" customHeight="false" outlineLevel="0" collapsed="false">
      <c r="B19" s="12" t="s">
        <v>488</v>
      </c>
      <c r="D19" s="11" t="str">
        <f aca="false">IF(D18="Y",D17,"Not eligible")</f>
        <v>Not eligible</v>
      </c>
      <c r="E19" s="11" t="str">
        <f aca="false">IF(E18="Y",E17,"Not eligible")</f>
        <v>Tier 2 · Conditional</v>
      </c>
      <c r="F19" s="11" t="str">
        <f aca="false">IF(F18="Y",F17,"Not eligible")</f>
        <v>Tier 1 · Certified</v>
      </c>
    </row>
    <row r="21" customFormat="false" ht="15" hidden="false" customHeight="false" outlineLevel="0" collapsed="false">
      <c r="A21" s="16" t="s">
        <v>489</v>
      </c>
    </row>
    <row r="22" customFormat="false" ht="15" hidden="false" customHeight="false" outlineLevel="0" collapsed="false">
      <c r="A22" s="10" t="s">
        <v>362</v>
      </c>
      <c r="B22" s="10" t="s">
        <v>99</v>
      </c>
      <c r="C22" s="10" t="s">
        <v>490</v>
      </c>
      <c r="D22" s="10" t="s">
        <v>491</v>
      </c>
      <c r="E22" s="10" t="s">
        <v>464</v>
      </c>
    </row>
    <row r="23" customFormat="false" ht="15" hidden="false" customHeight="false" outlineLevel="0" collapsed="false">
      <c r="A23" s="11" t="s">
        <v>364</v>
      </c>
      <c r="B23" s="12" t="s">
        <v>365</v>
      </c>
      <c r="C23" s="23" t="s">
        <v>366</v>
      </c>
      <c r="D23" s="14" t="s">
        <v>368</v>
      </c>
      <c r="E23" s="39" t="s">
        <v>470</v>
      </c>
    </row>
    <row r="24" customFormat="false" ht="15" hidden="false" customHeight="false" outlineLevel="0" collapsed="false">
      <c r="A24" s="11" t="s">
        <v>369</v>
      </c>
      <c r="B24" s="12" t="s">
        <v>370</v>
      </c>
      <c r="C24" s="23" t="s">
        <v>366</v>
      </c>
      <c r="D24" s="14" t="s">
        <v>372</v>
      </c>
      <c r="E24" s="39" t="s">
        <v>470</v>
      </c>
    </row>
    <row r="25" customFormat="false" ht="15" hidden="false" customHeight="false" outlineLevel="0" collapsed="false">
      <c r="A25" s="11" t="s">
        <v>373</v>
      </c>
      <c r="B25" s="12" t="s">
        <v>374</v>
      </c>
      <c r="C25" s="51" t="s">
        <v>375</v>
      </c>
      <c r="D25" s="14" t="s">
        <v>492</v>
      </c>
      <c r="E25" s="39" t="s">
        <v>92</v>
      </c>
    </row>
    <row r="26" customFormat="false" ht="15" hidden="false" customHeight="false" outlineLevel="0" collapsed="false">
      <c r="A26" s="11" t="s">
        <v>378</v>
      </c>
      <c r="B26" s="12" t="s">
        <v>379</v>
      </c>
      <c r="C26" s="51" t="s">
        <v>375</v>
      </c>
      <c r="D26" s="14" t="s">
        <v>492</v>
      </c>
      <c r="E26" s="39" t="s">
        <v>92</v>
      </c>
    </row>
    <row r="27" customFormat="false" ht="15" hidden="false" customHeight="false" outlineLevel="0" collapsed="false">
      <c r="A27" s="11" t="s">
        <v>381</v>
      </c>
      <c r="B27" s="12" t="s">
        <v>382</v>
      </c>
      <c r="C27" s="23" t="s">
        <v>366</v>
      </c>
      <c r="D27" s="14" t="s">
        <v>384</v>
      </c>
      <c r="E27" s="39" t="s">
        <v>470</v>
      </c>
    </row>
    <row r="28" customFormat="false" ht="15" hidden="false" customHeight="false" outlineLevel="0" collapsed="false">
      <c r="A28" s="11" t="s">
        <v>385</v>
      </c>
      <c r="B28" s="12" t="s">
        <v>386</v>
      </c>
      <c r="C28" s="23" t="s">
        <v>366</v>
      </c>
      <c r="D28" s="14" t="s">
        <v>388</v>
      </c>
      <c r="E28" s="39" t="s">
        <v>470</v>
      </c>
    </row>
    <row r="30" customFormat="false" ht="15" hidden="false" customHeight="false" outlineLevel="0" collapsed="false">
      <c r="A30" s="16" t="s">
        <v>493</v>
      </c>
    </row>
    <row r="31" customFormat="false" ht="23.85" hidden="false" customHeight="false" outlineLevel="0" collapsed="false">
      <c r="A31" s="10" t="s">
        <v>494</v>
      </c>
      <c r="B31" s="10" t="s">
        <v>165</v>
      </c>
      <c r="C31" s="10" t="s">
        <v>48</v>
      </c>
      <c r="D31" s="10" t="s">
        <v>167</v>
      </c>
      <c r="E31" s="10" t="s">
        <v>490</v>
      </c>
      <c r="F31" s="10" t="s">
        <v>470</v>
      </c>
      <c r="G31" s="10" t="s">
        <v>495</v>
      </c>
      <c r="H31" s="10" t="s">
        <v>496</v>
      </c>
    </row>
    <row r="32" customFormat="false" ht="15" hidden="false" customHeight="false" outlineLevel="0" collapsed="false">
      <c r="A32" s="11" t="n">
        <v>1</v>
      </c>
      <c r="B32" s="39" t="s">
        <v>180</v>
      </c>
      <c r="C32" s="39" t="s">
        <v>52</v>
      </c>
      <c r="D32" s="14" t="s">
        <v>182</v>
      </c>
      <c r="E32" s="54" t="n">
        <f aca="false">C_KPI_Evaluation!J5</f>
        <v>0.6</v>
      </c>
      <c r="F32" s="54" t="n">
        <f aca="false">C_KPI_Evaluation!Q5</f>
        <v>0.72</v>
      </c>
      <c r="G32" s="54" t="n">
        <f aca="false">C_KPI_Evaluation!N5</f>
        <v>0.82</v>
      </c>
      <c r="H32" s="55" t="n">
        <f aca="false">ROUND((C_KPI_Evaluation!O5-C_KPI_Evaluation!K5)*INDEX(A_Scoring_Model!$C$5:$C$10,MATCH(C32,A_Scoring_Model!$A$5:$A$10,0))/COUNTIF(C_KPI_Evaluation!$B$5:$B$38,C32),2)</f>
        <v>3.94</v>
      </c>
    </row>
    <row r="33" customFormat="false" ht="15" hidden="false" customHeight="false" outlineLevel="0" collapsed="false">
      <c r="A33" s="11" t="n">
        <v>2</v>
      </c>
      <c r="B33" s="39" t="s">
        <v>191</v>
      </c>
      <c r="C33" s="39" t="s">
        <v>52</v>
      </c>
      <c r="D33" s="14" t="s">
        <v>192</v>
      </c>
      <c r="E33" s="54" t="n">
        <f aca="false">C_KPI_Evaluation!J7</f>
        <v>0.45</v>
      </c>
      <c r="F33" s="54" t="n">
        <f aca="false">C_KPI_Evaluation!Q7</f>
        <v>0.78</v>
      </c>
      <c r="G33" s="54" t="n">
        <f aca="false">C_KPI_Evaluation!N7</f>
        <v>0.8</v>
      </c>
      <c r="H33" s="55" t="n">
        <f aca="false">ROUND((C_KPI_Evaluation!O7-C_KPI_Evaluation!K7)*INDEX(A_Scoring_Model!$C$5:$C$10,MATCH(C33,A_Scoring_Model!$A$5:$A$10,0))/COUNTIF(C_KPI_Evaluation!$B$5:$B$38,C33),2)</f>
        <v>3.71</v>
      </c>
    </row>
    <row r="34" customFormat="false" ht="15" hidden="false" customHeight="false" outlineLevel="0" collapsed="false">
      <c r="A34" s="11" t="n">
        <v>3</v>
      </c>
      <c r="B34" s="39" t="s">
        <v>195</v>
      </c>
      <c r="C34" s="39" t="s">
        <v>52</v>
      </c>
      <c r="D34" s="14" t="s">
        <v>196</v>
      </c>
      <c r="E34" s="56" t="n">
        <f aca="false">C_KPI_Evaluation!J8</f>
        <v>0.36</v>
      </c>
      <c r="F34" s="56" t="n">
        <f aca="false">C_KPI_Evaluation!Q8</f>
        <v>0.88</v>
      </c>
      <c r="G34" s="56" t="n">
        <f aca="false">C_KPI_Evaluation!N8</f>
        <v>0.9</v>
      </c>
      <c r="H34" s="55" t="n">
        <f aca="false">ROUND((C_KPI_Evaluation!O8-C_KPI_Evaluation!K8)*INDEX(A_Scoring_Model!$C$5:$C$10,MATCH(C34,A_Scoring_Model!$A$5:$A$10,0))/COUNTIF(C_KPI_Evaluation!$B$5:$B$38,C34),2)</f>
        <v>3.43</v>
      </c>
    </row>
    <row r="35" customFormat="false" ht="15" hidden="false" customHeight="false" outlineLevel="0" collapsed="false">
      <c r="A35" s="11" t="n">
        <v>4</v>
      </c>
      <c r="B35" s="39" t="s">
        <v>277</v>
      </c>
      <c r="C35" s="39" t="s">
        <v>64</v>
      </c>
      <c r="D35" s="14" t="s">
        <v>278</v>
      </c>
      <c r="E35" s="56" t="n">
        <f aca="false">C_KPI_Evaluation!J31</f>
        <v>0.19</v>
      </c>
      <c r="F35" s="56" t="n">
        <f aca="false">C_KPI_Evaluation!Q31</f>
        <v>0.3</v>
      </c>
      <c r="G35" s="56" t="n">
        <f aca="false">C_KPI_Evaluation!N31</f>
        <v>0.45</v>
      </c>
      <c r="H35" s="55" t="n">
        <f aca="false">ROUND((C_KPI_Evaluation!O31-C_KPI_Evaluation!K31)*INDEX(A_Scoring_Model!$C$5:$C$10,MATCH(C35,A_Scoring_Model!$A$5:$A$10,0))/COUNTIF(C_KPI_Evaluation!$B$5:$B$38,C35),2)</f>
        <v>3.38</v>
      </c>
    </row>
    <row r="36" customFormat="false" ht="15" hidden="false" customHeight="false" outlineLevel="0" collapsed="false">
      <c r="A36" s="11" t="n">
        <v>5</v>
      </c>
      <c r="B36" s="39" t="s">
        <v>187</v>
      </c>
      <c r="C36" s="39" t="s">
        <v>52</v>
      </c>
      <c r="D36" s="14" t="s">
        <v>188</v>
      </c>
      <c r="E36" s="54" t="n">
        <f aca="false">C_KPI_Evaluation!J6</f>
        <v>0.4</v>
      </c>
      <c r="F36" s="54" t="n">
        <f aca="false">C_KPI_Evaluation!Q6</f>
        <v>0.68</v>
      </c>
      <c r="G36" s="54" t="n">
        <f aca="false">C_KPI_Evaluation!N6</f>
        <v>0.72</v>
      </c>
      <c r="H36" s="55" t="n">
        <f aca="false">ROUND((C_KPI_Evaluation!O6-C_KPI_Evaluation!K6)*INDEX(A_Scoring_Model!$C$5:$C$10,MATCH(C36,A_Scoring_Model!$A$5:$A$10,0))/COUNTIF(C_KPI_Evaluation!$B$5:$B$38,C36),2)</f>
        <v>3.37</v>
      </c>
    </row>
    <row r="37" customFormat="false" ht="15" hidden="false" customHeight="false" outlineLevel="0" collapsed="false">
      <c r="A37" s="11" t="n">
        <v>6</v>
      </c>
      <c r="B37" s="39" t="s">
        <v>230</v>
      </c>
      <c r="C37" s="39" t="s">
        <v>55</v>
      </c>
      <c r="D37" s="14" t="s">
        <v>231</v>
      </c>
      <c r="E37" s="57" t="n">
        <f aca="false">C_KPI_Evaluation!J17</f>
        <v>0</v>
      </c>
      <c r="F37" s="57" t="n">
        <f aca="false">C_KPI_Evaluation!Q17</f>
        <v>0</v>
      </c>
      <c r="G37" s="57" t="n">
        <f aca="false">C_KPI_Evaluation!N17</f>
        <v>1</v>
      </c>
      <c r="H37" s="55" t="n">
        <f aca="false">ROUND((C_KPI_Evaluation!O17-C_KPI_Evaluation!K17)*INDEX(A_Scoring_Model!$C$5:$C$10,MATCH(C37,A_Scoring_Model!$A$5:$A$10,0))/COUNTIF(C_KPI_Evaluation!$B$5:$B$38,C37),2)</f>
        <v>3.33</v>
      </c>
    </row>
    <row r="38" customFormat="false" ht="15" hidden="false" customHeight="false" outlineLevel="0" collapsed="false">
      <c r="A38" s="11" t="n">
        <v>7</v>
      </c>
      <c r="B38" s="39" t="s">
        <v>274</v>
      </c>
      <c r="C38" s="39" t="s">
        <v>64</v>
      </c>
      <c r="D38" s="14" t="s">
        <v>275</v>
      </c>
      <c r="E38" s="56" t="n">
        <f aca="false">C_KPI_Evaluation!J30</f>
        <v>0</v>
      </c>
      <c r="F38" s="56" t="n">
        <f aca="false">C_KPI_Evaluation!Q30</f>
        <v>0.52</v>
      </c>
      <c r="G38" s="56" t="n">
        <f aca="false">C_KPI_Evaluation!N30</f>
        <v>0.6</v>
      </c>
      <c r="H38" s="55" t="n">
        <f aca="false">ROUND((C_KPI_Evaluation!O30-C_KPI_Evaluation!K30)*INDEX(A_Scoring_Model!$C$5:$C$10,MATCH(C38,A_Scoring_Model!$A$5:$A$10,0))/COUNTIF(C_KPI_Evaluation!$B$5:$B$38,C38),2)</f>
        <v>3</v>
      </c>
    </row>
    <row r="39" customFormat="false" ht="15" hidden="false" customHeight="false" outlineLevel="0" collapsed="false">
      <c r="A39" s="11" t="n">
        <v>8</v>
      </c>
      <c r="B39" s="39" t="s">
        <v>241</v>
      </c>
      <c r="C39" s="39" t="s">
        <v>58</v>
      </c>
      <c r="D39" s="14" t="s">
        <v>242</v>
      </c>
      <c r="E39" s="58" t="n">
        <f aca="false">C_KPI_Evaluation!J20</f>
        <v>87500</v>
      </c>
      <c r="F39" s="58" t="n">
        <f aca="false">C_KPI_Evaluation!Q20</f>
        <v>60000</v>
      </c>
      <c r="G39" s="58" t="n">
        <f aca="false">C_KPI_Evaluation!N20</f>
        <v>55000</v>
      </c>
      <c r="H39" s="55" t="n">
        <f aca="false">ROUND((C_KPI_Evaluation!O20-C_KPI_Evaluation!K20)*INDEX(A_Scoring_Model!$C$5:$C$10,MATCH(C39,A_Scoring_Model!$A$5:$A$10,0))/COUNTIF(C_KPI_Evaluation!$B$5:$B$38,C39),2)</f>
        <v>2.76</v>
      </c>
    </row>
    <row r="40" customFormat="false" ht="15" hidden="false" customHeight="false" outlineLevel="0" collapsed="false">
      <c r="A40" s="11" t="n">
        <v>9</v>
      </c>
      <c r="B40" s="39" t="s">
        <v>237</v>
      </c>
      <c r="C40" s="39" t="s">
        <v>58</v>
      </c>
      <c r="D40" s="14" t="s">
        <v>238</v>
      </c>
      <c r="E40" s="58" t="n">
        <f aca="false">C_KPI_Evaluation!J19</f>
        <v>4.6</v>
      </c>
      <c r="F40" s="58" t="n">
        <f aca="false">C_KPI_Evaluation!Q19</f>
        <v>20</v>
      </c>
      <c r="G40" s="58" t="n">
        <f aca="false">C_KPI_Evaluation!N19</f>
        <v>60</v>
      </c>
      <c r="H40" s="55" t="n">
        <f aca="false">ROUND((C_KPI_Evaluation!O19-C_KPI_Evaluation!K19)*INDEX(A_Scoring_Model!$C$5:$C$10,MATCH(C40,A_Scoring_Model!$A$5:$A$10,0))/COUNTIF(C_KPI_Evaluation!$B$5:$B$38,C40),2)</f>
        <v>2.04</v>
      </c>
    </row>
    <row r="41" customFormat="false" ht="15" hidden="false" customHeight="false" outlineLevel="0" collapsed="false">
      <c r="A41" s="11" t="n">
        <v>10</v>
      </c>
      <c r="B41" s="39" t="s">
        <v>210</v>
      </c>
      <c r="C41" s="39" t="s">
        <v>55</v>
      </c>
      <c r="D41" s="14" t="s">
        <v>211</v>
      </c>
      <c r="E41" s="58" t="n">
        <f aca="false">C_KPI_Evaluation!J12</f>
        <v>1</v>
      </c>
      <c r="F41" s="58" t="n">
        <f aca="false">C_KPI_Evaluation!Q12</f>
        <v>1</v>
      </c>
      <c r="G41" s="58" t="n">
        <f aca="false">C_KPI_Evaluation!N12</f>
        <v>2</v>
      </c>
      <c r="H41" s="55" t="n">
        <f aca="false">ROUND((C_KPI_Evaluation!O12-C_KPI_Evaluation!K12)*INDEX(A_Scoring_Model!$C$5:$C$10,MATCH(C41,A_Scoring_Model!$A$5:$A$10,0))/COUNTIF(C_KPI_Evaluation!$B$5:$B$38,C41),2)</f>
        <v>2</v>
      </c>
    </row>
    <row r="43" customFormat="false" ht="15" hidden="false" customHeight="false" outlineLevel="0" collapsed="false">
      <c r="B43" s="2" t="s">
        <v>497</v>
      </c>
    </row>
    <row r="45" customFormat="false" ht="15" hidden="false" customHeight="false" outlineLevel="0" collapsed="false">
      <c r="A45" s="16" t="s">
        <v>498</v>
      </c>
    </row>
    <row r="46" customFormat="false" ht="15" hidden="false" customHeight="false" outlineLevel="0" collapsed="false">
      <c r="A46" s="10" t="s">
        <v>398</v>
      </c>
      <c r="B46" s="10" t="s">
        <v>499</v>
      </c>
      <c r="C46" s="10" t="s">
        <v>500</v>
      </c>
    </row>
    <row r="47" customFormat="false" ht="23.85" hidden="false" customHeight="false" outlineLevel="0" collapsed="false">
      <c r="A47" s="11" t="n">
        <v>1</v>
      </c>
      <c r="B47" s="12" t="s">
        <v>501</v>
      </c>
      <c r="C47" s="14" t="s">
        <v>502</v>
      </c>
    </row>
    <row r="48" customFormat="false" ht="15" hidden="false" customHeight="false" outlineLevel="0" collapsed="false">
      <c r="A48" s="11" t="n">
        <v>2</v>
      </c>
      <c r="B48" s="12" t="s">
        <v>503</v>
      </c>
      <c r="C48" s="14" t="s">
        <v>504</v>
      </c>
    </row>
    <row r="49" customFormat="false" ht="23.85" hidden="false" customHeight="false" outlineLevel="0" collapsed="false">
      <c r="A49" s="11" t="n">
        <v>3</v>
      </c>
      <c r="B49" s="12" t="s">
        <v>505</v>
      </c>
      <c r="C49" s="14" t="s">
        <v>506</v>
      </c>
    </row>
    <row r="50" customFormat="false" ht="15" hidden="false" customHeight="false" outlineLevel="0" collapsed="false">
      <c r="A50" s="11" t="n">
        <v>4</v>
      </c>
      <c r="B50" s="12" t="s">
        <v>507</v>
      </c>
      <c r="C50" s="14" t="s">
        <v>508</v>
      </c>
    </row>
    <row r="51" customFormat="false" ht="23.85" hidden="false" customHeight="false" outlineLevel="0" collapsed="false">
      <c r="A51" s="11" t="n">
        <v>5</v>
      </c>
      <c r="B51" s="12" t="s">
        <v>509</v>
      </c>
      <c r="C51" s="14" t="s">
        <v>510</v>
      </c>
    </row>
    <row r="52" customFormat="false" ht="15" hidden="false" customHeight="false" outlineLevel="0" collapsed="false">
      <c r="A52" s="11" t="n">
        <v>6</v>
      </c>
      <c r="B52" s="12" t="s">
        <v>511</v>
      </c>
      <c r="C52" s="14" t="s">
        <v>512</v>
      </c>
    </row>
    <row r="54" customFormat="false" ht="15" hidden="false" customHeight="false" outlineLevel="0" collapsed="false">
      <c r="B54" s="2" t="s">
        <v>513</v>
      </c>
    </row>
  </sheetData>
  <conditionalFormatting sqref="D17:F17">
    <cfRule type="cellIs" priority="2" operator="equal" aboveAverage="0" equalAverage="0" bottom="0" percent="0" rank="0" text="" dxfId="11">
      <formula>"Tier 1 · Certified"</formula>
    </cfRule>
    <cfRule type="cellIs" priority="3" operator="equal" aboveAverage="0" equalAverage="0" bottom="0" percent="0" rank="0" text="" dxfId="13">
      <formula>"Tier 2 · Conditional"</formula>
    </cfRule>
    <cfRule type="cellIs" priority="4" operator="equal" aboveAverage="0" equalAverage="0" bottom="0" percent="0" rank="0" text="" dxfId="12">
      <formula>"Tier 3 · Group-local"</formula>
    </cfRule>
    <cfRule type="cellIs" priority="5" operator="equal" aboveAverage="0" equalAverage="0" bottom="0" percent="0" rank="0" text="" dxfId="14">
      <formula>"Tier 4 · Rework"</formula>
    </cfRule>
    <cfRule type="cellIs" priority="6" operator="equal" aboveAverage="0" equalAverage="0" bottom="0" percent="0" rank="0" text="" dxfId="10">
      <formula>"Not eligible"</formula>
    </cfRule>
  </conditionalFormatting>
  <conditionalFormatting sqref="D19:F19">
    <cfRule type="cellIs" priority="7" operator="equal" aboveAverage="0" equalAverage="0" bottom="0" percent="0" rank="0" text="" dxfId="11">
      <formula>"Tier 1 · Certified"</formula>
    </cfRule>
    <cfRule type="cellIs" priority="8" operator="equal" aboveAverage="0" equalAverage="0" bottom="0" percent="0" rank="0" text="" dxfId="13">
      <formula>"Tier 2 · Conditional"</formula>
    </cfRule>
    <cfRule type="cellIs" priority="9" operator="equal" aboveAverage="0" equalAverage="0" bottom="0" percent="0" rank="0" text="" dxfId="12">
      <formula>"Tier 3 · Group-local"</formula>
    </cfRule>
    <cfRule type="cellIs" priority="10" operator="equal" aboveAverage="0" equalAverage="0" bottom="0" percent="0" rank="0" text="" dxfId="14">
      <formula>"Tier 4 · Rework"</formula>
    </cfRule>
    <cfRule type="cellIs" priority="11" operator="equal" aboveAverage="0" equalAverage="0" bottom="0" percent="0" rank="0" text="" dxfId="10">
      <formula>"Not eligible"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842"/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44"/>
    <col collapsed="false" customWidth="true" hidden="false" outlineLevel="0" max="5" min="5" style="0" width="18"/>
  </cols>
  <sheetData>
    <row r="1" customFormat="false" ht="18.55" hidden="false" customHeight="false" outlineLevel="0" collapsed="false">
      <c r="A1" s="1" t="s">
        <v>514</v>
      </c>
    </row>
    <row r="2" customFormat="false" ht="15" hidden="false" customHeight="false" outlineLevel="0" collapsed="false">
      <c r="A2" s="2" t="s">
        <v>515</v>
      </c>
    </row>
    <row r="4" customFormat="false" ht="15" hidden="false" customHeight="false" outlineLevel="0" collapsed="false">
      <c r="A4" s="10" t="s">
        <v>398</v>
      </c>
      <c r="B4" s="10" t="s">
        <v>516</v>
      </c>
      <c r="C4" s="10" t="s">
        <v>517</v>
      </c>
      <c r="D4" s="10" t="s">
        <v>518</v>
      </c>
      <c r="E4" s="10" t="s">
        <v>519</v>
      </c>
    </row>
    <row r="5" customFormat="false" ht="15" hidden="false" customHeight="false" outlineLevel="0" collapsed="false">
      <c r="A5" s="39" t="n">
        <v>1</v>
      </c>
      <c r="B5" s="12" t="s">
        <v>520</v>
      </c>
      <c r="C5" s="14" t="s">
        <v>521</v>
      </c>
      <c r="D5" s="14" t="s">
        <v>522</v>
      </c>
      <c r="E5" s="14" t="s">
        <v>523</v>
      </c>
    </row>
    <row r="6" customFormat="false" ht="15" hidden="false" customHeight="false" outlineLevel="0" collapsed="false">
      <c r="A6" s="39" t="n">
        <v>2</v>
      </c>
      <c r="B6" s="12" t="s">
        <v>524</v>
      </c>
      <c r="C6" s="14" t="s">
        <v>525</v>
      </c>
      <c r="D6" s="14" t="s">
        <v>522</v>
      </c>
      <c r="E6" s="14" t="s">
        <v>523</v>
      </c>
    </row>
    <row r="7" customFormat="false" ht="15" hidden="false" customHeight="false" outlineLevel="0" collapsed="false">
      <c r="A7" s="39" t="n">
        <v>3</v>
      </c>
      <c r="B7" s="12" t="s">
        <v>526</v>
      </c>
      <c r="C7" s="14" t="s">
        <v>527</v>
      </c>
      <c r="D7" s="14" t="s">
        <v>522</v>
      </c>
      <c r="E7" s="14" t="s">
        <v>523</v>
      </c>
    </row>
    <row r="8" customFormat="false" ht="15" hidden="false" customHeight="false" outlineLevel="0" collapsed="false">
      <c r="A8" s="39" t="n">
        <v>4</v>
      </c>
      <c r="B8" s="12" t="s">
        <v>528</v>
      </c>
      <c r="C8" s="14" t="s">
        <v>529</v>
      </c>
      <c r="D8" s="14" t="s">
        <v>522</v>
      </c>
      <c r="E8" s="14" t="s">
        <v>523</v>
      </c>
    </row>
    <row r="9" customFormat="false" ht="15" hidden="false" customHeight="false" outlineLevel="0" collapsed="false">
      <c r="A9" s="39" t="n">
        <v>5</v>
      </c>
      <c r="B9" s="12" t="s">
        <v>530</v>
      </c>
      <c r="C9" s="14" t="s">
        <v>531</v>
      </c>
      <c r="D9" s="14" t="s">
        <v>522</v>
      </c>
      <c r="E9" s="14" t="s">
        <v>523</v>
      </c>
    </row>
    <row r="10" customFormat="false" ht="15" hidden="false" customHeight="false" outlineLevel="0" collapsed="false">
      <c r="A10" s="39" t="n">
        <v>6</v>
      </c>
      <c r="B10" s="12" t="s">
        <v>532</v>
      </c>
      <c r="C10" s="14" t="s">
        <v>533</v>
      </c>
      <c r="D10" s="14" t="s">
        <v>522</v>
      </c>
      <c r="E10" s="14" t="s">
        <v>523</v>
      </c>
    </row>
    <row r="11" customFormat="false" ht="15" hidden="false" customHeight="false" outlineLevel="0" collapsed="false">
      <c r="A11" s="39" t="n">
        <v>7</v>
      </c>
      <c r="B11" s="12" t="s">
        <v>534</v>
      </c>
      <c r="C11" s="14" t="s">
        <v>535</v>
      </c>
      <c r="D11" s="14" t="s">
        <v>522</v>
      </c>
      <c r="E11" s="14" t="s">
        <v>523</v>
      </c>
    </row>
    <row r="12" customFormat="false" ht="15" hidden="false" customHeight="false" outlineLevel="0" collapsed="false">
      <c r="A12" s="39" t="n">
        <v>8</v>
      </c>
      <c r="B12" s="12" t="s">
        <v>536</v>
      </c>
      <c r="C12" s="14" t="s">
        <v>537</v>
      </c>
      <c r="D12" s="14" t="s">
        <v>538</v>
      </c>
      <c r="E12" s="14" t="s">
        <v>523</v>
      </c>
    </row>
    <row r="13" customFormat="false" ht="15" hidden="false" customHeight="false" outlineLevel="0" collapsed="false">
      <c r="A13" s="39" t="n">
        <v>9</v>
      </c>
      <c r="B13" s="12" t="s">
        <v>539</v>
      </c>
      <c r="C13" s="14" t="s">
        <v>540</v>
      </c>
      <c r="D13" s="14" t="s">
        <v>541</v>
      </c>
      <c r="E13" s="14" t="s">
        <v>523</v>
      </c>
    </row>
    <row r="14" customFormat="false" ht="15" hidden="false" customHeight="false" outlineLevel="0" collapsed="false">
      <c r="A14" s="39" t="n">
        <v>10</v>
      </c>
      <c r="B14" s="12" t="s">
        <v>542</v>
      </c>
      <c r="C14" s="14" t="s">
        <v>543</v>
      </c>
      <c r="D14" s="14" t="s">
        <v>541</v>
      </c>
      <c r="E14" s="14" t="s">
        <v>523</v>
      </c>
    </row>
    <row r="15" customFormat="false" ht="15" hidden="false" customHeight="false" outlineLevel="0" collapsed="false">
      <c r="A15" s="39" t="n">
        <v>11</v>
      </c>
      <c r="B15" s="12" t="s">
        <v>544</v>
      </c>
      <c r="C15" s="14" t="s">
        <v>545</v>
      </c>
      <c r="D15" s="14" t="s">
        <v>541</v>
      </c>
      <c r="E15" s="14" t="s">
        <v>523</v>
      </c>
    </row>
    <row r="16" customFormat="false" ht="23.85" hidden="false" customHeight="false" outlineLevel="0" collapsed="false">
      <c r="A16" s="39" t="n">
        <v>12</v>
      </c>
      <c r="B16" s="12" t="s">
        <v>546</v>
      </c>
      <c r="C16" s="14" t="s">
        <v>547</v>
      </c>
      <c r="D16" s="14" t="s">
        <v>548</v>
      </c>
      <c r="E16" s="14" t="s">
        <v>523</v>
      </c>
    </row>
    <row r="17" customFormat="false" ht="15" hidden="false" customHeight="false" outlineLevel="0" collapsed="false">
      <c r="A17" s="39" t="n">
        <v>13</v>
      </c>
      <c r="B17" s="12" t="s">
        <v>549</v>
      </c>
      <c r="C17" s="14" t="s">
        <v>550</v>
      </c>
      <c r="D17" s="14" t="s">
        <v>551</v>
      </c>
      <c r="E17" s="14" t="s">
        <v>523</v>
      </c>
    </row>
    <row r="18" customFormat="false" ht="15" hidden="false" customHeight="false" outlineLevel="0" collapsed="false">
      <c r="A18" s="39" t="n">
        <v>14</v>
      </c>
      <c r="B18" s="12" t="s">
        <v>552</v>
      </c>
      <c r="C18" s="14" t="s">
        <v>553</v>
      </c>
      <c r="D18" s="14" t="s">
        <v>554</v>
      </c>
      <c r="E18" s="14" t="s">
        <v>523</v>
      </c>
    </row>
    <row r="19" customFormat="false" ht="15" hidden="false" customHeight="false" outlineLevel="0" collapsed="false">
      <c r="A19" s="39" t="n">
        <v>15</v>
      </c>
      <c r="B19" s="12" t="s">
        <v>555</v>
      </c>
      <c r="C19" s="14" t="s">
        <v>556</v>
      </c>
      <c r="D19" s="14" t="s">
        <v>557</v>
      </c>
      <c r="E19" s="14" t="s">
        <v>523</v>
      </c>
    </row>
    <row r="20" customFormat="false" ht="15" hidden="false" customHeight="false" outlineLevel="0" collapsed="false">
      <c r="A20" s="39" t="n">
        <v>16</v>
      </c>
      <c r="B20" s="12" t="s">
        <v>558</v>
      </c>
      <c r="C20" s="14" t="s">
        <v>559</v>
      </c>
      <c r="D20" s="14" t="s">
        <v>560</v>
      </c>
      <c r="E20" s="14" t="s">
        <v>523</v>
      </c>
    </row>
    <row r="21" customFormat="false" ht="15" hidden="false" customHeight="false" outlineLevel="0" collapsed="false">
      <c r="A21" s="39" t="n">
        <v>17</v>
      </c>
      <c r="B21" s="12" t="s">
        <v>561</v>
      </c>
      <c r="C21" s="14" t="s">
        <v>562</v>
      </c>
      <c r="D21" s="14" t="s">
        <v>563</v>
      </c>
      <c r="E21" s="14" t="s">
        <v>523</v>
      </c>
    </row>
    <row r="22" customFormat="false" ht="23.85" hidden="false" customHeight="false" outlineLevel="0" collapsed="false">
      <c r="A22" s="39" t="n">
        <v>18</v>
      </c>
      <c r="B22" s="12" t="s">
        <v>564</v>
      </c>
      <c r="C22" s="14" t="s">
        <v>565</v>
      </c>
      <c r="D22" s="14" t="s">
        <v>566</v>
      </c>
      <c r="E22" s="14" t="s">
        <v>523</v>
      </c>
    </row>
    <row r="23" customFormat="false" ht="15" hidden="false" customHeight="false" outlineLevel="0" collapsed="false">
      <c r="A23" s="39" t="n">
        <v>19</v>
      </c>
      <c r="B23" s="12" t="s">
        <v>567</v>
      </c>
      <c r="C23" s="14" t="s">
        <v>568</v>
      </c>
      <c r="D23" s="14" t="s">
        <v>569</v>
      </c>
      <c r="E23" s="14" t="s">
        <v>523</v>
      </c>
    </row>
    <row r="24" customFormat="false" ht="23.85" hidden="false" customHeight="false" outlineLevel="0" collapsed="false">
      <c r="A24" s="39" t="n">
        <v>20</v>
      </c>
      <c r="B24" s="12" t="s">
        <v>570</v>
      </c>
      <c r="C24" s="14" t="s">
        <v>571</v>
      </c>
      <c r="D24" s="14" t="s">
        <v>572</v>
      </c>
      <c r="E24" s="14" t="s">
        <v>573</v>
      </c>
    </row>
    <row r="25" customFormat="false" ht="23.85" hidden="false" customHeight="false" outlineLevel="0" collapsed="false">
      <c r="A25" s="39" t="n">
        <v>21</v>
      </c>
      <c r="B25" s="12" t="s">
        <v>574</v>
      </c>
      <c r="C25" s="14" t="s">
        <v>575</v>
      </c>
      <c r="D25" s="14" t="s">
        <v>576</v>
      </c>
      <c r="E25" s="14" t="s">
        <v>573</v>
      </c>
    </row>
    <row r="26" customFormat="false" ht="15" hidden="false" customHeight="false" outlineLevel="0" collapsed="false">
      <c r="A26" s="39" t="n">
        <v>22</v>
      </c>
      <c r="B26" s="12" t="s">
        <v>577</v>
      </c>
      <c r="C26" s="14" t="s">
        <v>578</v>
      </c>
      <c r="D26" s="14" t="s">
        <v>579</v>
      </c>
      <c r="E26" s="14" t="s">
        <v>580</v>
      </c>
    </row>
    <row r="28" customFormat="false" ht="15" hidden="false" customHeight="false" outlineLevel="0" collapsed="false">
      <c r="B28" s="2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2026-09-30T01:37:10Z</dcterms:created>
  <dc:creator>openpyxl</dc:creator>
  <dc:description/>
  <dc:language>en-US</dc:language>
  <cp:lastModifiedBy/>
  <dcterms:modified xsi:type="dcterms:W3CDTF">2026-09-30T01:37:10Z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